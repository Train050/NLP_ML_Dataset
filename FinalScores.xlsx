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eega\Desktop\School\UCF\Spring 2026\NLP\NLP_ML_Dataset\"/>
    </mc:Choice>
  </mc:AlternateContent>
  <xr:revisionPtr revIDLastSave="0" documentId="13_ncr:1_{1AFBAC86-0728-47A9-91D3-B2866D9939D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 Tables" sheetId="1" r:id="rId1"/>
    <sheet name="qwen2FinalScores" sheetId="4" r:id="rId2"/>
    <sheet name="llama3FinalScores" sheetId="3" r:id="rId3"/>
    <sheet name="gemma4FinalScores" sheetId="2" r:id="rId4"/>
  </sheets>
  <definedNames>
    <definedName name="_xlnm._FilterDatabase" localSheetId="1" hidden="1">qwen2FinalScores!$J$1:$K$5</definedName>
    <definedName name="ExternalData_1" localSheetId="3" hidden="1">gemma4FinalScores!$A$1:$C$2001</definedName>
    <definedName name="ExternalData_2" localSheetId="2" hidden="1">llama3FinalScores!$A$1:$C$2001</definedName>
    <definedName name="ExternalData_3" localSheetId="1" hidden="1">qwen2FinalScores!$A$1:$C$2001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AD2" i="1"/>
  <c r="O20" i="1"/>
  <c r="M20" i="1"/>
  <c r="P20" i="1"/>
  <c r="N20" i="1"/>
  <c r="L20" i="1"/>
  <c r="M3" i="1"/>
  <c r="M12" i="1"/>
  <c r="M11" i="1"/>
  <c r="M10" i="1"/>
  <c r="M9" i="1"/>
  <c r="M8" i="1"/>
  <c r="M7" i="1"/>
  <c r="M6" i="1"/>
  <c r="M5" i="1"/>
  <c r="M4" i="1"/>
  <c r="I3" i="1"/>
  <c r="I12" i="1"/>
  <c r="I11" i="1"/>
  <c r="I10" i="1"/>
  <c r="I9" i="1"/>
  <c r="I8" i="1"/>
  <c r="I7" i="1"/>
  <c r="I6" i="1"/>
  <c r="I5" i="1"/>
  <c r="I4" i="1"/>
  <c r="E11" i="1"/>
  <c r="E10" i="1"/>
  <c r="E9" i="1"/>
  <c r="E8" i="1"/>
  <c r="E7" i="1"/>
  <c r="E6" i="1"/>
  <c r="E5" i="1"/>
  <c r="E4" i="1"/>
  <c r="E12" i="1"/>
  <c r="E3" i="1"/>
  <c r="AD4" i="1"/>
  <c r="AA4" i="1"/>
  <c r="X4" i="1"/>
  <c r="AA2" i="1"/>
  <c r="X2" i="1"/>
  <c r="J20" i="1" a="1"/>
  <c r="J20" i="1" s="1"/>
  <c r="G20" i="1" a="1"/>
  <c r="G20" i="1" s="1"/>
  <c r="D20" i="1" a="1"/>
  <c r="D20" i="1" s="1"/>
  <c r="L3" i="1" a="1"/>
  <c r="L3" i="1" s="1"/>
  <c r="H3" i="1" a="1"/>
  <c r="H3" i="1" s="1"/>
  <c r="D3" i="1" a="1"/>
  <c r="D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B29B83-5020-4B0E-9B7D-3EF0AEB6BED8}" keepAlive="1" name="Query - gemma4" description="Connection to the 'gemma4' query in the workbook." type="5" refreshedVersion="0" background="1">
    <dbPr connection="Provider=Microsoft.Mashup.OleDb.1;Data Source=$Workbook$;Location=gemma4;Extended Properties=&quot;&quot;" command="SELECT * FROM [gemma4]"/>
  </connection>
  <connection id="2" xr16:uid="{20E19A72-1624-4519-A26E-D4F35FCA4EB0}" keepAlive="1" name="Query - gemma4FinalScores" description="Connection to the 'gemma4FinalScores' query in the workbook." type="5" refreshedVersion="8" background="1" saveData="1">
    <dbPr connection="Provider=Microsoft.Mashup.OleDb.1;Data Source=$Workbook$;Location=gemma4FinalScores;Extended Properties=&quot;&quot;" command="SELECT * FROM [gemma4FinalScores]"/>
  </connection>
  <connection id="3" xr16:uid="{07C45234-814A-457E-9F1E-4079689184EB}" keepAlive="1" name="Query - llama3" description="Connection to the 'llama3' query in the workbook." type="5" refreshedVersion="0" background="1">
    <dbPr connection="Provider=Microsoft.Mashup.OleDb.1;Data Source=$Workbook$;Location=llama3;Extended Properties=&quot;&quot;" command="SELECT * FROM [llama3]"/>
  </connection>
  <connection id="4" xr16:uid="{2ADEE0F5-9B70-4193-B93B-B479BFC48078}" keepAlive="1" name="Query - llama3FinalScores" description="Connection to the 'llama3FinalScores' query in the workbook." type="5" refreshedVersion="8" background="1" saveData="1">
    <dbPr connection="Provider=Microsoft.Mashup.OleDb.1;Data Source=$Workbook$;Location=llama3FinalScores;Extended Properties=&quot;&quot;" command="SELECT * FROM [llama3FinalScores]"/>
  </connection>
  <connection id="5" xr16:uid="{36BA8427-E2C4-4362-9CC8-81DDDC7AB1FF}" keepAlive="1" name="Query - qwen2" description="Connection to the 'qwen2' query in the workbook." type="5" refreshedVersion="0" background="1">
    <dbPr connection="Provider=Microsoft.Mashup.OleDb.1;Data Source=$Workbook$;Location=qwen2;Extended Properties=&quot;&quot;" command="SELECT * FROM [qwen2]"/>
  </connection>
  <connection id="6" xr16:uid="{6AE26EC4-D694-40A9-BCB9-CC770DD29B7A}" keepAlive="1" name="Query - qwen2FinalScores" description="Connection to the 'qwen2FinalScores' query in the workbook." type="5" refreshedVersion="8" background="1" saveData="1">
    <dbPr connection="Provider=Microsoft.Mashup.OleDb.1;Data Source=$Workbook$;Location=qwen2FinalScores;Extended Properties=&quot;&quot;" command="SELECT * FROM [qwen2FinalScor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<sst xmlns="http://schemas.openxmlformats.org/spreadsheetml/2006/main" count="18186" uniqueCount="126">
  <si>
    <t>llmModel</t>
  </si>
  <si>
    <t>iteration</t>
  </si>
  <si>
    <t>finalScore</t>
  </si>
  <si>
    <t>gemma4:e2b</t>
  </si>
  <si>
    <t>llama3.2:3b</t>
  </si>
  <si>
    <t>qwen2.5:3b</t>
  </si>
  <si>
    <t>execTime</t>
  </si>
  <si>
    <t>programLang</t>
  </si>
  <si>
    <t>vulnType</t>
  </si>
  <si>
    <t>vulnSeverity</t>
  </si>
  <si>
    <t>C</t>
  </si>
  <si>
    <t>Bypass</t>
  </si>
  <si>
    <t>DoS Overflow +Info</t>
  </si>
  <si>
    <t/>
  </si>
  <si>
    <t>DoS Overflow</t>
  </si>
  <si>
    <t>DoS</t>
  </si>
  <si>
    <t>DoS Exec Code Overflow Mem. Corr.</t>
  </si>
  <si>
    <t>+Info</t>
  </si>
  <si>
    <t>DoS Exec Code</t>
  </si>
  <si>
    <t>CPP</t>
  </si>
  <si>
    <t>DoS Exec Code Overflow</t>
  </si>
  <si>
    <t>Overflow</t>
  </si>
  <si>
    <t>Exec Code</t>
  </si>
  <si>
    <t>Exec Code Overflow</t>
  </si>
  <si>
    <t>DoS +Info</t>
  </si>
  <si>
    <t>Exec Code Bypass</t>
  </si>
  <si>
    <t>Overflow +Info</t>
  </si>
  <si>
    <t>Dir. Trav.</t>
  </si>
  <si>
    <t>+Priv</t>
  </si>
  <si>
    <t>DoS Overflow Mem. Corr.</t>
  </si>
  <si>
    <t>DoS Mem. Corr.</t>
  </si>
  <si>
    <t>Exec Code Overflow +Info</t>
  </si>
  <si>
    <t>DoS Exec Code Mem. Corr. Bypass</t>
  </si>
  <si>
    <t>Overflow +Priv</t>
  </si>
  <si>
    <t>DoS Exec Code Mem. Corr.</t>
  </si>
  <si>
    <t>Overflow Mem. Corr. +Info</t>
  </si>
  <si>
    <t>DoS Bypass</t>
  </si>
  <si>
    <t>Exec Code +Priv</t>
  </si>
  <si>
    <t>Bypass +Info</t>
  </si>
  <si>
    <t xml:space="preserve">DoS Exec Code Overflow </t>
  </si>
  <si>
    <t xml:space="preserve">Exec Code </t>
  </si>
  <si>
    <t xml:space="preserve">DoS </t>
  </si>
  <si>
    <t xml:space="preserve">Exec Code Overflow </t>
  </si>
  <si>
    <t xml:space="preserve">+Info </t>
  </si>
  <si>
    <t xml:space="preserve">DoS +Info </t>
  </si>
  <si>
    <t xml:space="preserve">Bypass </t>
  </si>
  <si>
    <t xml:space="preserve">DoS Overflow </t>
  </si>
  <si>
    <t xml:space="preserve">Overflow </t>
  </si>
  <si>
    <t xml:space="preserve">Overflow +Priv </t>
  </si>
  <si>
    <t xml:space="preserve">DoS Overflow +Priv </t>
  </si>
  <si>
    <t xml:space="preserve">DoS +Priv </t>
  </si>
  <si>
    <t xml:space="preserve">DoS Overflow +Priv Mem. Corr. </t>
  </si>
  <si>
    <t xml:space="preserve">Sql </t>
  </si>
  <si>
    <t xml:space="preserve">DoS Overflow Mem. Corr. </t>
  </si>
  <si>
    <t xml:space="preserve">DoS Exec Code </t>
  </si>
  <si>
    <t xml:space="preserve">DoS Mem. Corr. </t>
  </si>
  <si>
    <t xml:space="preserve">+Priv </t>
  </si>
  <si>
    <t xml:space="preserve">Overflow +Priv +Info </t>
  </si>
  <si>
    <t xml:space="preserve">DoS +Priv Mem. Corr. </t>
  </si>
  <si>
    <t xml:space="preserve">Bypass +Info </t>
  </si>
  <si>
    <t xml:space="preserve">DoS Exec Code Overflow Mem. Corr. </t>
  </si>
  <si>
    <t xml:space="preserve">Overflow +Info </t>
  </si>
  <si>
    <t xml:space="preserve">+Priv +Info </t>
  </si>
  <si>
    <t xml:space="preserve">DoS Overflow Bypass </t>
  </si>
  <si>
    <t xml:space="preserve">DoS Exec Code Mem. Corr. </t>
  </si>
  <si>
    <t xml:space="preserve">DoS Overflow +Priv Mem. Corr. +Info </t>
  </si>
  <si>
    <t xml:space="preserve">Exec Code Sql </t>
  </si>
  <si>
    <t xml:space="preserve">Dir. Trav. </t>
  </si>
  <si>
    <t>Range</t>
  </si>
  <si>
    <t>0-9</t>
  </si>
  <si>
    <t>Frequencies</t>
  </si>
  <si>
    <t>89</t>
  </si>
  <si>
    <t>79</t>
  </si>
  <si>
    <t>69</t>
  </si>
  <si>
    <t>59</t>
  </si>
  <si>
    <t>49</t>
  </si>
  <si>
    <t>39</t>
  </si>
  <si>
    <t>29</t>
  </si>
  <si>
    <t>19</t>
  </si>
  <si>
    <t>9</t>
  </si>
  <si>
    <t>Threshold</t>
  </si>
  <si>
    <t>20-29</t>
  </si>
  <si>
    <t>30-39</t>
  </si>
  <si>
    <t>40-49</t>
  </si>
  <si>
    <t>50-59</t>
  </si>
  <si>
    <t>60-69</t>
  </si>
  <si>
    <t>70-79</t>
  </si>
  <si>
    <t>80-89</t>
  </si>
  <si>
    <t>90-100</t>
  </si>
  <si>
    <t>10-19</t>
  </si>
  <si>
    <t>Qwen 2.5 Scoring Frequencies</t>
  </si>
  <si>
    <t>Llama 3.2 Frequencies</t>
  </si>
  <si>
    <t>Gemma 4 Frequencies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</si>
  <si>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</si>
  <si>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</si>
  <si>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</si>
  <si>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</si>
  <si>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</si>
  <si>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</si>
  <si>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</si>
  <si>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</si>
  <si>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</si>
  <si>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</si>
  <si>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</si>
  <si>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</si>
  <si>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</si>
  <si>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</si>
  <si>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</si>
  <si>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</si>
  <si>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</si>
  <si>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</si>
  <si>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</si>
  <si>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96-100</t>
  </si>
  <si>
    <t>Qwen 2.5 Running Times</t>
  </si>
  <si>
    <t>Llama 3.2 Running Times</t>
  </si>
  <si>
    <t>Gemma 4 Running Times</t>
  </si>
  <si>
    <t>Average:</t>
  </si>
  <si>
    <t>Qwen 2.5 Scoring Average</t>
  </si>
  <si>
    <t>Llama 3.2 Scoring Average</t>
  </si>
  <si>
    <t>Gemma 4 Scoring Average</t>
  </si>
  <si>
    <t>Average Running Time</t>
  </si>
  <si>
    <t>Average Accuracy</t>
  </si>
  <si>
    <t>Qwen 2.5</t>
  </si>
  <si>
    <t>Llama 3.2</t>
  </si>
  <si>
    <t>Gemma 4</t>
  </si>
  <si>
    <t>Running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</si>
</sst>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Distribution of Aggregated LLM Accuracy Scores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Qwen 2.5</c:v>
          </c:tx>
          <c:spPr>
            <a:solidFill>
              <a:schemeClr val="accent1"/>
            </a:solidFill>
          </c:spPr>
          <c:invertIfNegative val="0"/>
          <c:dLbls>
            <c:dLbl>
              <c:idx val="6"/>
              <c:layout>
                <c:manualLayout>
                  <c:x val="0"/>
                  <c:y val="1.78372331408301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B-4EA2-AAE4-C2E423EB5D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'All Tables'!$J$3:$J$12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90-100</c:v>
                </c:pt>
              </c:strCache>
            </c:strRef>
          </c:cat>
          <c:val>
            <c:numRef>
              <c:f>'All Tables'!$D$3:$D$12</c:f>
              <c:numCache>
                <c:formatCode>General</c:formatCode>
                <c:ptCount val="10"/>
                <c:pt idx="0">
                  <c:v>24</c:v>
                </c:pt>
                <c:pt idx="1">
                  <c:v>211</c:v>
                </c:pt>
                <c:pt idx="2">
                  <c:v>257</c:v>
                </c:pt>
                <c:pt idx="3">
                  <c:v>272</c:v>
                </c:pt>
                <c:pt idx="4">
                  <c:v>185</c:v>
                </c:pt>
                <c:pt idx="5">
                  <c:v>74</c:v>
                </c:pt>
                <c:pt idx="6">
                  <c:v>43</c:v>
                </c:pt>
                <c:pt idx="7">
                  <c:v>180</c:v>
                </c:pt>
                <c:pt idx="8">
                  <c:v>196</c:v>
                </c:pt>
                <c:pt idx="9">
                  <c:v>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55E-402A-9DF7-86E22DAE7865}"/>
            </c:ext>
          </c:extLst>
        </c:ser>
        <c:ser>
          <c:idx val="4"/>
          <c:order val="1"/>
          <c:tx>
            <c:v>Llama 3.2</c:v>
          </c:tx>
          <c:spPr>
            <a:solidFill>
              <a:schemeClr val="accent2"/>
            </a:solidFill>
          </c:spPr>
          <c:invertIfNegative val="0"/>
          <c:dLbls>
            <c:dLbl>
              <c:idx val="4"/>
              <c:layout>
                <c:manualLayout>
                  <c:x val="1.9159102466952485E-3"/>
                  <c:y val="5.94574438027670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B-4EA2-AAE4-C2E423EB5DD2}"/>
                </c:ext>
              </c:extLst>
            </c:dLbl>
            <c:dLbl>
              <c:idx val="7"/>
              <c:layout>
                <c:manualLayout>
                  <c:x val="1.9159102466953187E-3"/>
                  <c:y val="2.08101053309684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55E-402A-9DF7-86E22DAE7865}"/>
                </c:ext>
              </c:extLst>
            </c:dLbl>
            <c:dLbl>
              <c:idx val="9"/>
              <c:layout>
                <c:manualLayout>
                  <c:x val="0"/>
                  <c:y val="1.48643609506917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55E-402A-9DF7-86E22DAE78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'All Tables'!$J$3:$J$12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90-100</c:v>
                </c:pt>
              </c:strCache>
            </c:strRef>
          </c:cat>
          <c:val>
            <c:numRef>
              <c:f>'All Tables'!$H$3:$H$12</c:f>
              <c:numCache>
                <c:formatCode>General</c:formatCode>
                <c:ptCount val="10"/>
                <c:pt idx="0">
                  <c:v>97</c:v>
                </c:pt>
                <c:pt idx="1">
                  <c:v>98</c:v>
                </c:pt>
                <c:pt idx="2">
                  <c:v>102</c:v>
                </c:pt>
                <c:pt idx="3">
                  <c:v>120</c:v>
                </c:pt>
                <c:pt idx="4">
                  <c:v>116</c:v>
                </c:pt>
                <c:pt idx="5">
                  <c:v>29</c:v>
                </c:pt>
                <c:pt idx="6">
                  <c:v>50</c:v>
                </c:pt>
                <c:pt idx="7">
                  <c:v>177</c:v>
                </c:pt>
                <c:pt idx="8">
                  <c:v>714</c:v>
                </c:pt>
                <c:pt idx="9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55E-402A-9DF7-86E22DAE7865}"/>
            </c:ext>
          </c:extLst>
        </c:ser>
        <c:ser>
          <c:idx val="5"/>
          <c:order val="2"/>
          <c:tx>
            <c:v>Gemma 4</c:v>
          </c:tx>
          <c:spPr>
            <a:solidFill>
              <a:srgbClr val="FF0000"/>
            </a:solidFill>
            <a:ln>
              <a:solidFill>
                <a:schemeClr val="accent1">
                  <a:alpha val="91000"/>
                </a:schemeClr>
              </a:solidFill>
            </a:ln>
          </c:spPr>
          <c:invertIfNegative val="0"/>
          <c:dLbls>
            <c:dLbl>
              <c:idx val="4"/>
              <c:layout>
                <c:manualLayout>
                  <c:x val="7.0249230853718939E-17"/>
                  <c:y val="5.94574438027670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B-4EA2-AAE4-C2E423EB5DD2}"/>
                </c:ext>
              </c:extLst>
            </c:dLbl>
            <c:dLbl>
              <c:idx val="5"/>
              <c:layout>
                <c:manualLayout>
                  <c:x val="0"/>
                  <c:y val="1.78372331408301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B-4EA2-AAE4-C2E423EB5DD2}"/>
                </c:ext>
              </c:extLst>
            </c:dLbl>
            <c:dLbl>
              <c:idx val="6"/>
              <c:layout>
                <c:manualLayout>
                  <c:x val="-1.4049846170743788E-16"/>
                  <c:y val="1.78372331408299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B-4EA2-AAE4-C2E423EB5DD2}"/>
                </c:ext>
              </c:extLst>
            </c:dLbl>
            <c:dLbl>
              <c:idx val="7"/>
              <c:layout>
                <c:manualLayout>
                  <c:x val="1.9159102466953187E-3"/>
                  <c:y val="8.918616570414943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B-4EA2-AAE4-C2E423EB5D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'All Tables'!$J$3:$J$12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90-100</c:v>
                </c:pt>
              </c:strCache>
            </c:strRef>
          </c:cat>
          <c:val>
            <c:numRef>
              <c:f>'All Tables'!$L$3:$L$12</c:f>
              <c:numCache>
                <c:formatCode>General</c:formatCode>
                <c:ptCount val="10"/>
                <c:pt idx="0">
                  <c:v>431</c:v>
                </c:pt>
                <c:pt idx="1">
                  <c:v>49</c:v>
                </c:pt>
                <c:pt idx="2">
                  <c:v>43</c:v>
                </c:pt>
                <c:pt idx="3">
                  <c:v>40</c:v>
                </c:pt>
                <c:pt idx="4">
                  <c:v>31</c:v>
                </c:pt>
                <c:pt idx="5">
                  <c:v>23</c:v>
                </c:pt>
                <c:pt idx="6">
                  <c:v>32</c:v>
                </c:pt>
                <c:pt idx="7">
                  <c:v>58</c:v>
                </c:pt>
                <c:pt idx="8">
                  <c:v>28</c:v>
                </c:pt>
                <c:pt idx="9">
                  <c:v>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55E-402A-9DF7-86E22DAE78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10"/>
        <c:axId val="584773583"/>
        <c:axId val="584771183"/>
      </c:barChart>
      <c:catAx>
        <c:axId val="58477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Score Intervals (in %</a:t>
                </a:r>
                <a:r>
                  <a:rPr lang="en-US" sz="1600" b="1" baseline="0"/>
                  <a:t> accuracy)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71183"/>
        <c:crosses val="autoZero"/>
        <c:auto val="0"/>
        <c:lblAlgn val="ctr"/>
        <c:lblOffset val="100"/>
        <c:tickMarkSkip val="1"/>
        <c:noMultiLvlLbl val="0"/>
      </c:catAx>
      <c:valAx>
        <c:axId val="58477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Frequency of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7358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Distribution</a:t>
            </a:r>
            <a:r>
              <a:rPr lang="en-US" sz="2000" b="1" baseline="0"/>
              <a:t> of Running Times Across Score Intervals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Qwen 2.5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Tables'!$J$3:$J$12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90-100</c:v>
                </c:pt>
              </c:strCache>
            </c:strRef>
          </c:cat>
          <c:val>
            <c:numRef>
              <c:f>'All Tables'!$E$3:$E$12</c:f>
              <c:numCache>
                <c:formatCode>0.00</c:formatCode>
                <c:ptCount val="10"/>
                <c:pt idx="0">
                  <c:v>12.864638606707254</c:v>
                </c:pt>
                <c:pt idx="1">
                  <c:v>4.2619068306204264</c:v>
                </c:pt>
                <c:pt idx="2">
                  <c:v>4.589704641572232</c:v>
                </c:pt>
                <c:pt idx="3">
                  <c:v>4.8717311348985222</c:v>
                </c:pt>
                <c:pt idx="4">
                  <c:v>6.1010056998278648</c:v>
                </c:pt>
                <c:pt idx="5">
                  <c:v>6.1681572553273796</c:v>
                </c:pt>
                <c:pt idx="6">
                  <c:v>6.2593348137167997</c:v>
                </c:pt>
                <c:pt idx="7">
                  <c:v>8.3841402027342049</c:v>
                </c:pt>
                <c:pt idx="8">
                  <c:v>8.4310721244130811</c:v>
                </c:pt>
                <c:pt idx="9">
                  <c:v>7.6404562009278161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2-473E-8961-B10A821460B4}"/>
            </c:ext>
          </c:extLst>
        </c:ser>
        <c:ser>
          <c:idx val="1"/>
          <c:order val="1"/>
          <c:tx>
            <c:v>Llama 3.2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Tables'!$J$3:$J$12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90-100</c:v>
                </c:pt>
              </c:strCache>
            </c:strRef>
          </c:cat>
          <c:val>
            <c:numRef>
              <c:f>'All Tables'!$I$3:$I$12</c:f>
              <c:numCache>
                <c:formatCode>0.00</c:formatCode>
                <c:ptCount val="10"/>
                <c:pt idx="0">
                  <c:v>8.5977946360086666</c:v>
                </c:pt>
                <c:pt idx="1">
                  <c:v>6.40142825914889</c:v>
                </c:pt>
                <c:pt idx="2">
                  <c:v>9.242833446053897</c:v>
                </c:pt>
                <c:pt idx="3">
                  <c:v>6.3557063142458601</c:v>
                </c:pt>
                <c:pt idx="4">
                  <c:v>6.2257544213327867</c:v>
                </c:pt>
                <c:pt idx="5">
                  <c:v>5.6787824466310699</c:v>
                </c:pt>
                <c:pt idx="6">
                  <c:v>5.5219961166381832</c:v>
                </c:pt>
                <c:pt idx="7">
                  <c:v>4.9644957316123834</c:v>
                </c:pt>
                <c:pt idx="8">
                  <c:v>6.0702090640695827</c:v>
                </c:pt>
                <c:pt idx="9">
                  <c:v>7.0245239307702905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F2-473E-8961-B10A821460B4}"/>
            </c:ext>
          </c:extLst>
        </c:ser>
        <c:ser>
          <c:idx val="2"/>
          <c:order val="2"/>
          <c:tx>
            <c:v>Gemma 4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340237723907577E-2"/>
                  <c:y val="-4.34634356316459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F2-473E-8961-B10A821460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Tables'!$J$3:$J$12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90-100</c:v>
                </c:pt>
              </c:strCache>
            </c:strRef>
          </c:cat>
          <c:val>
            <c:numRef>
              <c:f>'All Tables'!$M$3:$M$12</c:f>
              <c:numCache>
                <c:formatCode>0.00</c:formatCode>
                <c:ptCount val="10"/>
                <c:pt idx="0">
                  <c:v>32.57261046677344</c:v>
                </c:pt>
                <c:pt idx="1">
                  <c:v>28.705428541554095</c:v>
                </c:pt>
                <c:pt idx="2">
                  <c:v>28.928513021320683</c:v>
                </c:pt>
                <c:pt idx="3">
                  <c:v>29.724606916565595</c:v>
                </c:pt>
                <c:pt idx="4">
                  <c:v>30.189385089358769</c:v>
                </c:pt>
                <c:pt idx="5">
                  <c:v>26.790873250445806</c:v>
                </c:pt>
                <c:pt idx="6">
                  <c:v>26.93013322076132</c:v>
                </c:pt>
                <c:pt idx="7">
                  <c:v>42.422185634242162</c:v>
                </c:pt>
                <c:pt idx="8">
                  <c:v>27.82115078823907</c:v>
                </c:pt>
                <c:pt idx="9">
                  <c:v>30.646220714827948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F2-473E-8961-B10A821460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17229792"/>
        <c:axId val="317230272"/>
      </c:lineChart>
      <c:catAx>
        <c:axId val="31722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Score Intervals (in % accuracy)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30272"/>
        <c:crosses val="autoZero"/>
        <c:auto val="1"/>
        <c:lblAlgn val="ctr"/>
        <c:lblOffset val="100"/>
        <c:noMultiLvlLbl val="0"/>
      </c:catAx>
      <c:valAx>
        <c:axId val="3172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Running Time (in 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2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Average LLM Bug</a:t>
            </a:r>
            <a:r>
              <a:rPr lang="en-US" sz="1600" b="1" baseline="0"/>
              <a:t> Fixing Accuracy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Qwen 2.5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Qwen 2.5</c:v>
              </c:pt>
            </c:strLit>
          </c:cat>
          <c:val>
            <c:numRef>
              <c:f>'All Tables'!$L$20</c:f>
              <c:numCache>
                <c:formatCode>General</c:formatCode>
                <c:ptCount val="1"/>
                <c:pt idx="0">
                  <c:v>58.575000000000003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1-4640-B71D-2733EB5B77E5}"/>
            </c:ext>
          </c:extLst>
        </c:ser>
        <c:ser>
          <c:idx val="1"/>
          <c:order val="1"/>
          <c:tx>
            <c:v>Llama 3.2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Qwen 2.5</c:v>
              </c:pt>
            </c:strLit>
          </c:cat>
          <c:val>
            <c:numRef>
              <c:f>'All Tables'!$N$20</c:f>
              <c:numCache>
                <c:formatCode>General</c:formatCode>
                <c:ptCount val="1"/>
                <c:pt idx="0">
                  <c:v>69.174000000000007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1-4640-B71D-2733EB5B77E5}"/>
            </c:ext>
          </c:extLst>
        </c:ser>
        <c:ser>
          <c:idx val="2"/>
          <c:order val="2"/>
          <c:tx>
            <c:v>Gemma 4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Qwen 2.5</c:v>
              </c:pt>
            </c:strLit>
          </c:cat>
          <c:val>
            <c:numRef>
              <c:f>'All Tables'!$P$20</c:f>
              <c:numCache>
                <c:formatCode>General</c:formatCode>
                <c:ptCount val="1"/>
                <c:pt idx="0">
                  <c:v>70.000500000000002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1-4640-B71D-2733EB5B7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8130463"/>
        <c:axId val="674744447"/>
      </c:barChart>
      <c:catAx>
        <c:axId val="668130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4744447"/>
        <c:crosses val="autoZero"/>
        <c:auto val="1"/>
        <c:lblAlgn val="ctr"/>
        <c:lblOffset val="100"/>
        <c:noMultiLvlLbl val="0"/>
      </c:catAx>
      <c:valAx>
        <c:axId val="67474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50" b="1"/>
                  <a:t>Model</a:t>
                </a:r>
                <a:r>
                  <a:rPr lang="en-US" sz="1550" b="1" baseline="0"/>
                  <a:t> Accuracy ( in % accuracy)</a:t>
                </a:r>
                <a:endParaRPr lang="en-US" sz="1550" b="1"/>
              </a:p>
            </c:rich>
          </c:tx>
          <c:layout>
            <c:manualLayout>
              <c:xMode val="edge"/>
              <c:yMode val="edge"/>
              <c:x val="2.3980815347721823E-2"/>
              <c:y val="9.73824458383380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13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352424</xdr:colOff>
      <xdr:row>9</xdr:row>
      <xdr:rowOff>88245</xdr:rowOff>
    </xdr:from>
    <xdr:to>
      <xdr:col>31</xdr:col>
      <xdr:colOff>330012</xdr:colOff>
      <xdr:row>31</xdr:row>
      <xdr:rowOff>12045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B541E-B0DD-8C4B-74D9-866B52406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168088</xdr:colOff>
      <xdr:row>31</xdr:row>
      <xdr:rowOff>101975</xdr:rowOff>
    </xdr:from>
    <xdr:to>
      <xdr:col>31</xdr:col>
      <xdr:colOff>459441</xdr:colOff>
      <xdr:row>56</xdr:row>
      <xdr:rowOff>134471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7FC8F8C-2B63-5B08-65C9-E9213A180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1000125</xdr:colOff>
      <xdr:row>23</xdr:row>
      <xdr:rowOff>180975</xdr:rowOff>
    </xdr:from>
    <xdr:to>
      <xdr:col>16</xdr:col>
      <xdr:colOff>409575</xdr:colOff>
      <xdr:row>41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6E262B-350D-B553-D51D-6F3A9CC78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EE6DC13E-DED1-438C-B951-13E90C286902}" autoFormatId="16" applyNumberFormats="0" applyBorderFormats="0" applyFontFormats="0" applyPatternFormats="0" applyAlignmentFormats="0" applyWidthHeightFormats="0">
  <queryTableRefresh nextId="10" unboundColumnsRight="4">
    <queryTableFields count="7">
      <queryTableField id="1" name="llmModel" tableColumnId="1"/>
      <queryTableField id="2" name="iteration" tableColumnId="2"/>
      <queryTableField id="3" name="finalScore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9CA2472-6730-45BA-956F-38806ABCB7C4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llmModel" tableColumnId="1"/>
      <queryTableField id="2" name="iteration" tableColumnId="2"/>
      <queryTableField id="3" name="finalScore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97E7FD-8C6F-4657-B1AC-811759A85C32}" autoFormatId="16" applyNumberFormats="0" applyBorderFormats="0" applyFontFormats="0" applyPatternFormats="0" applyAlignmentFormats="0" applyWidthHeightFormats="0">
  <queryTableRefresh nextId="4">
    <queryTableFields count="3">
      <queryTableField id="1" name="llmModel" tableColumnId="1"/>
      <queryTableField id="2" name="iteration" tableColumnId="2"/>
      <queryTableField id="3" name="finalScor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FB87F5-8460-4442-BA64-61D292037358}" name="qwen2FinalScores" displayName="qwen2FinalScores" ref="A1:G2001" tableType="queryTable" totalsRowShown="0">
  <autoFilter ref="A1:G2001" xr:uid="{43FB87F5-8460-4442-BA64-61D292037358}"/>
  <tableColumns count="7">
    <tableColumn id="1" xr3:uid="{5437BCBD-361F-4E75-947A-234EBC6FCBA1}" uniqueName="1" name="llmModel" queryTableFieldId="1" dataDxfId="6"/>
    <tableColumn id="2" xr3:uid="{FDDF074E-4F45-4A0E-BA9D-8152FFE7D91D}" uniqueName="2" name="iteration" queryTableFieldId="2"/>
    <tableColumn id="3" xr3:uid="{35531C24-AC6F-425D-9DD0-74C353D6C730}" uniqueName="3" name="finalScore" queryTableFieldId="3"/>
    <tableColumn id="4" xr3:uid="{FBBDA979-0405-448F-A085-C3B61F6B071D}" uniqueName="4" name="execTime" queryTableFieldId="4"/>
    <tableColumn id="5" xr3:uid="{5021C3F5-020D-4DC7-8132-738584C11763}" uniqueName="5" name="programLang" queryTableFieldId="5" dataDxfId="5"/>
    <tableColumn id="6" xr3:uid="{F9D2DE7F-B6E7-4469-BCEA-C4DD27974025}" uniqueName="6" name="vulnType" queryTableFieldId="6" dataDxfId="4"/>
    <tableColumn id="7" xr3:uid="{211F7D1F-581A-4026-9E69-DB9793548108}" uniqueName="7" name="vulnSeverity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67FE88-1B6E-48A2-9376-3195D2358A18}" name="llama3FinalScores" displayName="llama3FinalScores" ref="A1:G2001" tableType="queryTable" totalsRowShown="0">
  <autoFilter ref="A1:G2001" xr:uid="{2367FE88-1B6E-48A2-9376-3195D2358A18}"/>
  <tableColumns count="7">
    <tableColumn id="1" xr3:uid="{3F7C21D9-F49A-41C7-8D7F-432B46D9CDBA}" uniqueName="1" name="llmModel" queryTableFieldId="1" dataDxfId="3"/>
    <tableColumn id="2" xr3:uid="{1346B70F-6ADB-4C5C-83E4-139D5D163C93}" uniqueName="2" name="iteration" queryTableFieldId="2"/>
    <tableColumn id="3" xr3:uid="{31414295-2374-4B23-8470-86EA5363C969}" uniqueName="3" name="finalScore" queryTableFieldId="3"/>
    <tableColumn id="4" xr3:uid="{E18F9162-D43C-477C-B9E0-6669D2F0CF94}" uniqueName="4" name="execTime" queryTableFieldId="4"/>
    <tableColumn id="5" xr3:uid="{5BD07422-5B95-4C8D-A81A-64ADAC40EBD5}" uniqueName="5" name="programLang" queryTableFieldId="5" dataDxfId="2"/>
    <tableColumn id="6" xr3:uid="{4C785F07-4EB7-4082-B98F-C22FA840979A}" uniqueName="6" name="vulnType" queryTableFieldId="6" dataDxfId="1"/>
    <tableColumn id="7" xr3:uid="{CE54466A-AD0F-458E-BBEE-8D564F3ECF97}" uniqueName="7" name="vulnSeverity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8A435-D3A3-48B0-94B6-1F8F9578ECD7}" name="gemma4FinalScores" displayName="gemma4FinalScores" ref="A1:C2001" tableType="queryTable" totalsRowShown="0">
  <autoFilter ref="A1:C2001" xr:uid="{F9E8A435-D3A3-48B0-94B6-1F8F9578ECD7}"/>
  <tableColumns count="3">
    <tableColumn id="1" xr3:uid="{7FB9A8E2-31D0-4ECC-991C-04B54AF27DEF}" uniqueName="1" name="llmModel" queryTableFieldId="1" dataDxfId="0"/>
    <tableColumn id="2" xr3:uid="{048B33AD-98AA-4D26-87F3-6E6BF2B05814}" uniqueName="2" name="iteration" queryTableFieldId="2"/>
    <tableColumn id="3" xr3:uid="{DDBA1831-6A98-446C-A728-A7D7B1534207}" uniqueName="3" name="finalScor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9"/>
  <sheetViews>
    <sheetView tabSelected="1" topLeftCell="B1" zoomScaleNormal="100" workbookViewId="0">
      <selection activeCell="L40" sqref="L40"/>
    </sheetView>
  </sheetViews>
  <sheetFormatPr defaultRowHeight="15" x14ac:dyDescent="0.25"/>
  <cols>
    <col min="2" max="2" width="10.42578125" bestFit="1" customWidth="1"/>
    <col min="3" max="3" width="6.42578125" bestFit="1" customWidth="1"/>
    <col min="4" max="4" width="11.85546875" bestFit="1" customWidth="1"/>
    <col min="5" max="5" width="22" bestFit="1" customWidth="1"/>
    <col min="6" max="6" width="10.42578125" bestFit="1" customWidth="1"/>
    <col min="7" max="7" width="11.85546875" bestFit="1" customWidth="1"/>
    <col min="8" max="8" width="9.85546875" bestFit="1" customWidth="1"/>
    <col min="9" max="9" width="22" bestFit="1" customWidth="1"/>
    <col min="10" max="10" width="11.85546875" bestFit="1" customWidth="1"/>
    <col min="12" max="12" width="16.5703125" bestFit="1" customWidth="1"/>
    <col min="13" max="13" width="22" bestFit="1" customWidth="1"/>
    <col min="14" max="16" width="16.5703125" bestFit="1" customWidth="1"/>
    <col min="17" max="17" width="13.28515625" bestFit="1" customWidth="1"/>
    <col min="18" max="18" width="12.42578125" bestFit="1" customWidth="1"/>
    <col min="21" max="21" width="12.42578125" bestFit="1" customWidth="1"/>
  </cols>
  <sheetData>
    <row r="1" spans="2:31" x14ac:dyDescent="0.25">
      <c r="B1" s="9" t="s">
        <v>90</v>
      </c>
      <c r="C1" s="9"/>
      <c r="D1" s="9"/>
      <c r="E1" s="9"/>
      <c r="F1" s="9" t="s">
        <v>91</v>
      </c>
      <c r="G1" s="9"/>
      <c r="H1" s="9"/>
      <c r="I1" s="9"/>
      <c r="J1" s="9" t="s">
        <v>92</v>
      </c>
      <c r="K1" s="9"/>
      <c r="L1" s="9"/>
      <c r="M1" s="9"/>
      <c r="O1" s="5"/>
      <c r="P1" s="9"/>
      <c r="Q1" s="9"/>
      <c r="R1" s="9"/>
      <c r="S1" s="9"/>
      <c r="T1" s="9"/>
      <c r="U1" s="9"/>
      <c r="W1" s="9" t="s">
        <v>113</v>
      </c>
      <c r="X1" s="9"/>
      <c r="Y1" s="9"/>
      <c r="Z1" s="9" t="s">
        <v>114</v>
      </c>
      <c r="AA1" s="9"/>
      <c r="AB1" s="9"/>
      <c r="AC1" s="9" t="s">
        <v>115</v>
      </c>
      <c r="AD1" s="9"/>
      <c r="AE1" s="9"/>
    </row>
    <row r="2" spans="2:31" x14ac:dyDescent="0.25">
      <c r="B2" t="s">
        <v>80</v>
      </c>
      <c r="C2" t="s">
        <v>68</v>
      </c>
      <c r="D2" t="s">
        <v>70</v>
      </c>
      <c r="E2" t="s">
        <v>120</v>
      </c>
      <c r="F2" t="s">
        <v>80</v>
      </c>
      <c r="G2" t="s">
        <v>68</v>
      </c>
      <c r="H2" t="s">
        <v>70</v>
      </c>
      <c r="I2" t="s">
        <v>120</v>
      </c>
      <c r="J2" s="5" t="s">
        <v>80</v>
      </c>
      <c r="K2" s="5" t="s">
        <v>68</v>
      </c>
      <c r="L2" s="5" t="s">
        <v>70</v>
      </c>
      <c r="M2" t="s">
        <v>120</v>
      </c>
      <c r="S2" s="5"/>
      <c r="T2" s="5"/>
      <c r="U2" s="5"/>
      <c r="W2" s="5" t="s">
        <v>116</v>
      </c>
      <c r="X2">
        <f>AVERAGE(qwen2FinalScores[execTime])</f>
        <v>6.4959848253726955</v>
      </c>
      <c r="Z2" s="5" t="s">
        <v>116</v>
      </c>
      <c r="AA2">
        <f>AVERAGE(llama3FinalScores[execTime])</f>
        <v>6.5168926188945768</v>
      </c>
      <c r="AC2" s="5" t="s">
        <v>116</v>
      </c>
      <c r="AD2">
        <f>AVERAGE(gemma4FinalScores!D2:D2001)</f>
        <v>30.800196396266632</v>
      </c>
    </row>
    <row r="3" spans="2:31" x14ac:dyDescent="0.25">
      <c r="B3" s="5" t="s">
        <v>69</v>
      </c>
      <c r="C3" s="5" t="s">
        <v>79</v>
      </c>
      <c r="D3" s="5" cm="1">
        <f t="array" ref="D3:D12">FREQUENCY(VALUE(qwen2FinalScores[finalScore]), VALUE(C3:C11))</f>
        <v>24</v>
      </c>
      <c r="E3" s="7">
        <f>AVERAGEIF(qwen2FinalScores[finalScore], "&lt;= 9", qwen2FinalScores[execTime])</f>
        <v>12.864638606707254</v>
      </c>
      <c r="F3" s="5" t="s">
        <v>69</v>
      </c>
      <c r="G3" s="5" t="s">
        <v>79</v>
      </c>
      <c r="H3" s="5" cm="1">
        <f t="array" ref="H3:H12">FREQUENCY(VALUE(llama3FinalScores[finalScore]), VALUE(G3:G11))</f>
        <v>97</v>
      </c>
      <c r="I3" s="7">
        <f>AVERAGEIF(llama3FinalScores[finalScore], "&lt;= 9", llama3FinalScores[execTime])</f>
        <v>8.5977946360086666</v>
      </c>
      <c r="J3" s="5" t="s">
        <v>69</v>
      </c>
      <c r="K3" s="5" t="s">
        <v>79</v>
      </c>
      <c r="L3" s="5" cm="1">
        <f t="array" ref="L3:L12">FREQUENCY(VALUE(gemma4FinalScores[finalScore]), VALUE(K3:K11))</f>
        <v>431</v>
      </c>
      <c r="M3" s="7">
        <f>AVERAGEIF(gemma4FinalScores[finalScore], "&lt; 10", gemma4FinalScores!D2:D2001)</f>
        <v>32.57261046677344</v>
      </c>
      <c r="N3" s="8"/>
      <c r="O3" s="5"/>
      <c r="P3" s="5"/>
      <c r="Q3" s="5"/>
      <c r="R3" s="5"/>
      <c r="S3" s="5"/>
      <c r="T3" s="5"/>
      <c r="U3" s="5"/>
      <c r="W3" s="9" t="s">
        <v>117</v>
      </c>
      <c r="X3" s="9"/>
      <c r="Y3" s="9"/>
      <c r="Z3" s="9" t="s">
        <v>118</v>
      </c>
      <c r="AA3" s="9"/>
      <c r="AB3" s="9"/>
      <c r="AC3" s="9" t="s">
        <v>119</v>
      </c>
      <c r="AD3" s="9"/>
      <c r="AE3" s="9"/>
    </row>
    <row r="4" spans="2:31" x14ac:dyDescent="0.25">
      <c r="B4" s="6" t="s">
        <v>89</v>
      </c>
      <c r="C4" s="5" t="s">
        <v>78</v>
      </c>
      <c r="D4" s="5">
        <v>211</v>
      </c>
      <c r="E4" s="7">
        <f>AVERAGEIFS(qwen2FinalScores[execTime], qwen2FinalScores[finalScore], "&gt;= 10", qwen2FinalScores[finalScore], "&lt; 20")</f>
        <v>4.2619068306204264</v>
      </c>
      <c r="F4" s="6" t="s">
        <v>89</v>
      </c>
      <c r="G4" s="5" t="s">
        <v>78</v>
      </c>
      <c r="H4" s="5">
        <v>98</v>
      </c>
      <c r="I4" s="7">
        <f>AVERAGEIFS(llama3FinalScores[execTime], llama3FinalScores[finalScore], "&gt;= 10", llama3FinalScores[finalScore], "&lt; 20")</f>
        <v>6.40142825914889</v>
      </c>
      <c r="J4" s="6" t="s">
        <v>89</v>
      </c>
      <c r="K4" s="5" t="s">
        <v>78</v>
      </c>
      <c r="L4" s="5">
        <v>49</v>
      </c>
      <c r="M4" s="7">
        <f>AVERAGEIFS(gemma4FinalScores!D2:D2001, qwen2FinalScores[finalScore], "&gt;= 10", qwen2FinalScores[finalScore], "&lt; 20")</f>
        <v>28.705428541554095</v>
      </c>
      <c r="N4" s="8"/>
      <c r="O4" s="5"/>
      <c r="P4" s="6"/>
      <c r="Q4" s="5"/>
      <c r="R4" s="5"/>
      <c r="S4" s="6"/>
      <c r="T4" s="5"/>
      <c r="U4" s="5"/>
      <c r="W4" t="s">
        <v>116</v>
      </c>
      <c r="X4">
        <f>AVERAGE(qwen2FinalScores[finalScore])</f>
        <v>58.575000000000003</v>
      </c>
      <c r="Z4" t="s">
        <v>116</v>
      </c>
      <c r="AA4">
        <f>AVERAGE(llama3FinalScores[finalScore])</f>
        <v>69.174000000000007</v>
      </c>
      <c r="AC4" t="s">
        <v>116</v>
      </c>
      <c r="AD4">
        <f>AVERAGE(gemma4FinalScores[finalScore])</f>
        <v>70.000500000000002</v>
      </c>
    </row>
    <row r="5" spans="2:31" x14ac:dyDescent="0.25">
      <c r="B5" s="5" t="s">
        <v>81</v>
      </c>
      <c r="C5" s="5" t="s">
        <v>77</v>
      </c>
      <c r="D5" s="5">
        <v>257</v>
      </c>
      <c r="E5" s="7">
        <f>AVERAGEIFS(qwen2FinalScores[execTime], qwen2FinalScores[finalScore], "&gt;= 20", qwen2FinalScores[finalScore], "&lt; 30")</f>
        <v>4.589704641572232</v>
      </c>
      <c r="F5" s="5" t="s">
        <v>81</v>
      </c>
      <c r="G5" s="5" t="s">
        <v>77</v>
      </c>
      <c r="H5" s="5">
        <v>102</v>
      </c>
      <c r="I5" s="7">
        <f>AVERAGEIFS(llama3FinalScores[execTime], llama3FinalScores[finalScore], "&gt;= 20", llama3FinalScores[finalScore], "&lt; 30")</f>
        <v>9.242833446053897</v>
      </c>
      <c r="J5" s="5" t="s">
        <v>81</v>
      </c>
      <c r="K5" s="5" t="s">
        <v>77</v>
      </c>
      <c r="L5" s="5">
        <v>43</v>
      </c>
      <c r="M5" s="7">
        <f>AVERAGEIFS(gemma4FinalScores!D2:D2001, qwen2FinalScores[finalScore], "&gt;= 20", qwen2FinalScores[finalScore], "&lt; 30")</f>
        <v>28.928513021320683</v>
      </c>
      <c r="N5" s="8"/>
      <c r="O5" s="5"/>
      <c r="P5" s="5"/>
      <c r="Q5" s="5"/>
      <c r="R5" s="5"/>
      <c r="S5" s="5"/>
      <c r="T5" s="5"/>
      <c r="U5" s="5"/>
    </row>
    <row r="6" spans="2:31" x14ac:dyDescent="0.25">
      <c r="B6" s="5" t="s">
        <v>82</v>
      </c>
      <c r="C6" s="5" t="s">
        <v>76</v>
      </c>
      <c r="D6" s="5">
        <v>272</v>
      </c>
      <c r="E6" s="7">
        <f>AVERAGEIFS(qwen2FinalScores[execTime], qwen2FinalScores[finalScore], "&gt;= 30", qwen2FinalScores[finalScore], "&lt; 40")</f>
        <v>4.8717311348985222</v>
      </c>
      <c r="F6" s="5" t="s">
        <v>82</v>
      </c>
      <c r="G6" s="5" t="s">
        <v>76</v>
      </c>
      <c r="H6" s="5">
        <v>120</v>
      </c>
      <c r="I6" s="7">
        <f>AVERAGEIFS(llama3FinalScores[execTime], llama3FinalScores[finalScore], "&gt;= 30", llama3FinalScores[finalScore], "&lt; 40")</f>
        <v>6.3557063142458601</v>
      </c>
      <c r="J6" s="5" t="s">
        <v>82</v>
      </c>
      <c r="K6" s="5" t="s">
        <v>76</v>
      </c>
      <c r="L6" s="5">
        <v>40</v>
      </c>
      <c r="M6" s="7">
        <f>AVERAGEIFS(gemma4FinalScores!D2:D2001, qwen2FinalScores[finalScore], "&gt;= 30", qwen2FinalScores[finalScore], "&lt; 40")</f>
        <v>29.724606916565595</v>
      </c>
      <c r="N6" s="8"/>
      <c r="O6" s="5"/>
      <c r="P6" s="5"/>
      <c r="Q6" s="5"/>
      <c r="R6" s="5"/>
      <c r="S6" s="5"/>
      <c r="T6" s="5"/>
      <c r="U6" s="5"/>
    </row>
    <row r="7" spans="2:31" x14ac:dyDescent="0.25">
      <c r="B7" s="5" t="s">
        <v>83</v>
      </c>
      <c r="C7" s="5" t="s">
        <v>75</v>
      </c>
      <c r="D7" s="5">
        <v>185</v>
      </c>
      <c r="E7" s="7">
        <f>AVERAGEIFS(qwen2FinalScores[execTime], qwen2FinalScores[finalScore], "&gt;= 40", qwen2FinalScores[finalScore], "&lt; 50")</f>
        <v>6.1010056998278648</v>
      </c>
      <c r="F7" s="5" t="s">
        <v>83</v>
      </c>
      <c r="G7" s="5" t="s">
        <v>75</v>
      </c>
      <c r="H7" s="5">
        <v>116</v>
      </c>
      <c r="I7" s="7">
        <f>AVERAGEIFS(llama3FinalScores[execTime], llama3FinalScores[finalScore], "&gt;= 40", llama3FinalScores[finalScore], "&lt; 50")</f>
        <v>6.2257544213327867</v>
      </c>
      <c r="J7" s="5" t="s">
        <v>83</v>
      </c>
      <c r="K7" s="5" t="s">
        <v>75</v>
      </c>
      <c r="L7" s="5">
        <v>31</v>
      </c>
      <c r="M7" s="7">
        <f>AVERAGEIFS(gemma4FinalScores!D2:D2001, qwen2FinalScores[finalScore], "&gt;= 40", qwen2FinalScores[finalScore], "&lt; 50")</f>
        <v>30.189385089358769</v>
      </c>
      <c r="N7" s="8"/>
      <c r="O7" s="5"/>
      <c r="P7" s="5"/>
      <c r="Q7" s="5"/>
      <c r="R7" s="5"/>
      <c r="S7" s="5"/>
      <c r="T7" s="5"/>
      <c r="U7" s="5"/>
    </row>
    <row r="8" spans="2:31" x14ac:dyDescent="0.25">
      <c r="B8" s="5" t="s">
        <v>84</v>
      </c>
      <c r="C8" s="5" t="s">
        <v>74</v>
      </c>
      <c r="D8" s="5">
        <v>74</v>
      </c>
      <c r="E8" s="7">
        <f>AVERAGEIFS(qwen2FinalScores[execTime], qwen2FinalScores[finalScore], "&gt;= 50", qwen2FinalScores[finalScore], "&lt; 60")</f>
        <v>6.1681572553273796</v>
      </c>
      <c r="F8" s="5" t="s">
        <v>84</v>
      </c>
      <c r="G8" s="5" t="s">
        <v>74</v>
      </c>
      <c r="H8" s="5">
        <v>29</v>
      </c>
      <c r="I8" s="7">
        <f>AVERAGEIFS(llama3FinalScores[execTime], llama3FinalScores[finalScore], "&gt;= 50", llama3FinalScores[finalScore], "&lt; 60")</f>
        <v>5.6787824466310699</v>
      </c>
      <c r="J8" s="5" t="s">
        <v>84</v>
      </c>
      <c r="K8" s="5" t="s">
        <v>74</v>
      </c>
      <c r="L8" s="5">
        <v>23</v>
      </c>
      <c r="M8" s="7">
        <f>AVERAGEIFS(gemma4FinalScores!D2:D2001, qwen2FinalScores[finalScore], "&gt;= 50", qwen2FinalScores[finalScore], "&lt; 60")</f>
        <v>26.790873250445806</v>
      </c>
      <c r="N8" s="8"/>
      <c r="O8" s="5"/>
      <c r="P8" s="5"/>
      <c r="Q8" s="5"/>
      <c r="R8" s="5"/>
      <c r="S8" s="5"/>
      <c r="T8" s="5"/>
      <c r="U8" s="5"/>
    </row>
    <row r="9" spans="2:31" x14ac:dyDescent="0.25">
      <c r="B9" s="5" t="s">
        <v>85</v>
      </c>
      <c r="C9" s="5" t="s">
        <v>73</v>
      </c>
      <c r="D9" s="5">
        <v>43</v>
      </c>
      <c r="E9" s="7">
        <f>AVERAGEIFS(qwen2FinalScores[execTime], qwen2FinalScores[finalScore], "&gt;= 60", qwen2FinalScores[finalScore], "&lt; 70")</f>
        <v>6.2593348137167997</v>
      </c>
      <c r="F9" s="5" t="s">
        <v>85</v>
      </c>
      <c r="G9" s="5" t="s">
        <v>73</v>
      </c>
      <c r="H9" s="5">
        <v>50</v>
      </c>
      <c r="I9" s="7">
        <f>AVERAGEIFS(llama3FinalScores[execTime], llama3FinalScores[finalScore], "&gt;= 60", llama3FinalScores[finalScore], "&lt; 70")</f>
        <v>5.5219961166381832</v>
      </c>
      <c r="J9" s="5" t="s">
        <v>85</v>
      </c>
      <c r="K9" s="5" t="s">
        <v>73</v>
      </c>
      <c r="L9" s="5">
        <v>32</v>
      </c>
      <c r="M9" s="7">
        <f>AVERAGEIFS(gemma4FinalScores!D2:D2001, qwen2FinalScores[finalScore], "&gt;= 60", qwen2FinalScores[finalScore], "&lt; 70")</f>
        <v>26.93013322076132</v>
      </c>
      <c r="N9" s="8"/>
      <c r="O9" s="5"/>
      <c r="P9" s="5"/>
      <c r="Q9" s="5"/>
      <c r="R9" s="5"/>
      <c r="S9" s="5"/>
      <c r="T9" s="5"/>
      <c r="U9" s="5"/>
    </row>
    <row r="10" spans="2:31" x14ac:dyDescent="0.25">
      <c r="B10" s="5" t="s">
        <v>86</v>
      </c>
      <c r="C10" s="5" t="s">
        <v>72</v>
      </c>
      <c r="D10" s="5">
        <v>180</v>
      </c>
      <c r="E10" s="7">
        <f>AVERAGEIFS(qwen2FinalScores[execTime], qwen2FinalScores[finalScore], "&gt;= 70", qwen2FinalScores[finalScore], "&lt; 80")</f>
        <v>8.3841402027342049</v>
      </c>
      <c r="F10" s="5" t="s">
        <v>86</v>
      </c>
      <c r="G10" s="5" t="s">
        <v>72</v>
      </c>
      <c r="H10" s="5">
        <v>177</v>
      </c>
      <c r="I10" s="7">
        <f>AVERAGEIFS(llama3FinalScores[execTime], llama3FinalScores[finalScore], "&gt;= 70", llama3FinalScores[finalScore], "&lt; 80")</f>
        <v>4.9644957316123834</v>
      </c>
      <c r="J10" s="5" t="s">
        <v>86</v>
      </c>
      <c r="K10" s="5" t="s">
        <v>72</v>
      </c>
      <c r="L10" s="5">
        <v>58</v>
      </c>
      <c r="M10" s="7">
        <f>AVERAGEIFS(gemma4FinalScores!D2:D2001, qwen2FinalScores[finalScore], "&gt;= 70", qwen2FinalScores[finalScore], "&lt; 80")</f>
        <v>42.422185634242162</v>
      </c>
      <c r="N10" s="8"/>
      <c r="O10" s="5"/>
      <c r="P10" s="5"/>
      <c r="Q10" s="5"/>
      <c r="R10" s="5"/>
      <c r="S10" s="5"/>
      <c r="T10" s="5"/>
      <c r="U10" s="5"/>
    </row>
    <row r="11" spans="2:31" x14ac:dyDescent="0.25">
      <c r="B11" s="5" t="s">
        <v>87</v>
      </c>
      <c r="C11" s="5" t="s">
        <v>71</v>
      </c>
      <c r="D11" s="5">
        <v>196</v>
      </c>
      <c r="E11" s="7">
        <f>AVERAGEIFS(qwen2FinalScores[execTime], qwen2FinalScores[finalScore], "&gt;= 80", qwen2FinalScores[finalScore], "&lt; 90")</f>
        <v>8.4310721244130811</v>
      </c>
      <c r="F11" s="5" t="s">
        <v>87</v>
      </c>
      <c r="G11" s="5" t="s">
        <v>71</v>
      </c>
      <c r="H11" s="5">
        <v>714</v>
      </c>
      <c r="I11" s="7">
        <f>AVERAGEIFS(llama3FinalScores[execTime], llama3FinalScores[finalScore], "&gt;= 80", llama3FinalScores[finalScore], "&lt; 90")</f>
        <v>6.0702090640695827</v>
      </c>
      <c r="J11" s="5" t="s">
        <v>87</v>
      </c>
      <c r="K11" s="5" t="s">
        <v>71</v>
      </c>
      <c r="L11" s="5">
        <v>28</v>
      </c>
      <c r="M11" s="7">
        <f>AVERAGEIFS(gemma4FinalScores!D2:D2001, qwen2FinalScores[finalScore], "&gt;= 80", qwen2FinalScores[finalScore], "&lt; 90")</f>
        <v>27.82115078823907</v>
      </c>
      <c r="N11" s="8"/>
      <c r="O11" s="5"/>
      <c r="P11" s="5"/>
      <c r="Q11" s="5"/>
      <c r="R11" s="5"/>
      <c r="S11" s="5"/>
      <c r="T11" s="5"/>
      <c r="U11" s="5"/>
    </row>
    <row r="12" spans="2:31" x14ac:dyDescent="0.25">
      <c r="B12" s="5" t="s">
        <v>88</v>
      </c>
      <c r="C12" s="5">
        <v>90</v>
      </c>
      <c r="D12" s="5">
        <v>558</v>
      </c>
      <c r="E12" s="7">
        <f>AVERAGEIF(qwen2FinalScores[finalScore], "&gt;= 90", qwen2FinalScores[execTime])</f>
        <v>7.6404562009278161</v>
      </c>
      <c r="F12" s="5" t="s">
        <v>88</v>
      </c>
      <c r="G12" s="5">
        <v>90</v>
      </c>
      <c r="H12" s="5">
        <v>497</v>
      </c>
      <c r="I12" s="7">
        <f>AVERAGEIF(llama3FinalScores[finalScore], "&gt;= 90", llama3FinalScores[execTime])</f>
        <v>7.0245239307702905</v>
      </c>
      <c r="J12" s="5" t="s">
        <v>88</v>
      </c>
      <c r="K12" s="5">
        <v>90</v>
      </c>
      <c r="L12" s="5">
        <v>1265</v>
      </c>
      <c r="M12" s="7">
        <f>AVERAGEIF(gemma4FinalScores[finalScore], "&gt;= 90", gemma4FinalScores!D2:D2001)</f>
        <v>30.646220714827948</v>
      </c>
      <c r="N12" s="8"/>
      <c r="O12" s="5"/>
      <c r="P12" s="5"/>
      <c r="Q12" s="5"/>
      <c r="R12" s="5"/>
      <c r="S12" s="5"/>
      <c r="T12" s="5"/>
      <c r="U12" s="5"/>
    </row>
    <row r="18" spans="2:17" x14ac:dyDescent="0.25">
      <c r="B18" s="9" t="s">
        <v>90</v>
      </c>
      <c r="C18" s="9"/>
      <c r="D18" s="9"/>
      <c r="E18" s="9" t="s">
        <v>91</v>
      </c>
      <c r="F18" s="9"/>
      <c r="G18" s="9"/>
      <c r="H18" s="9" t="s">
        <v>92</v>
      </c>
      <c r="I18" s="9"/>
      <c r="J18" s="9"/>
      <c r="L18" s="9" t="s">
        <v>122</v>
      </c>
      <c r="M18" s="9"/>
      <c r="N18" s="9" t="s">
        <v>123</v>
      </c>
      <c r="O18" s="9"/>
      <c r="P18" s="9" t="s">
        <v>124</v>
      </c>
      <c r="Q18" s="9"/>
    </row>
    <row r="19" spans="2:17" x14ac:dyDescent="0.25">
      <c r="B19" t="s">
        <v>80</v>
      </c>
      <c r="C19" t="s">
        <v>68</v>
      </c>
      <c r="D19" t="s">
        <v>70</v>
      </c>
      <c r="E19" t="s">
        <v>80</v>
      </c>
      <c r="F19" t="s">
        <v>68</v>
      </c>
      <c r="G19" t="s">
        <v>70</v>
      </c>
      <c r="H19" s="5" t="s">
        <v>80</v>
      </c>
      <c r="I19" s="5" t="s">
        <v>68</v>
      </c>
      <c r="J19" s="5" t="s">
        <v>70</v>
      </c>
      <c r="L19" s="5" t="s">
        <v>121</v>
      </c>
      <c r="M19" s="5" t="s">
        <v>125</v>
      </c>
      <c r="N19" s="5" t="s">
        <v>121</v>
      </c>
      <c r="O19" s="5" t="s">
        <v>125</v>
      </c>
      <c r="P19" s="5" t="s">
        <v>121</v>
      </c>
      <c r="Q19" s="5" t="s">
        <v>125</v>
      </c>
    </row>
    <row r="20" spans="2:17" x14ac:dyDescent="0.25">
      <c r="B20" s="5" t="s">
        <v>93</v>
      </c>
      <c r="C20" s="5">
        <v>5</v>
      </c>
      <c r="D20" s="5" cm="1">
        <f t="array" ref="D20:D39">FREQUENCY(VALUE(qwen2FinalScores[finalScore]), VALUE(C20:C38))</f>
        <v>21</v>
      </c>
      <c r="E20" s="5" t="s">
        <v>93</v>
      </c>
      <c r="F20" s="5">
        <v>5</v>
      </c>
      <c r="G20" s="5" cm="1">
        <f t="array" ref="G20:G39">FREQUENCY(VALUE(llama3FinalScores[finalScore]), VALUE(F20:F38))</f>
        <v>90</v>
      </c>
      <c r="H20" s="5" t="s">
        <v>93</v>
      </c>
      <c r="I20" s="5">
        <v>5</v>
      </c>
      <c r="J20" s="5" cm="1">
        <f t="array" ref="J20:J39">FREQUENCY(VALUE(gemma4FinalScores[finalScore]), VALUE(I20:I38))</f>
        <v>427</v>
      </c>
      <c r="L20" s="5">
        <f>AVERAGE(qwen2FinalScores[finalScore])</f>
        <v>58.575000000000003</v>
      </c>
      <c r="M20" s="5">
        <f>AVERAGE(qwen2FinalScores[execTime])</f>
        <v>6.4959848253726955</v>
      </c>
      <c r="N20" s="5">
        <f>AVERAGE(llama3FinalScores[finalScore])</f>
        <v>69.174000000000007</v>
      </c>
      <c r="O20" s="5">
        <f>AVERAGE(llama3FinalScores[execTime])</f>
        <v>6.5168926188945768</v>
      </c>
      <c r="P20" s="5">
        <f>AVERAGE(gemma4FinalScores[finalScore])</f>
        <v>70.000500000000002</v>
      </c>
      <c r="Q20" s="5">
        <f>AVERAGE(gemma4FinalScores!D2:D2001)</f>
        <v>30.800196396266632</v>
      </c>
    </row>
    <row r="21" spans="2:17" x14ac:dyDescent="0.25">
      <c r="B21" s="6" t="s">
        <v>94</v>
      </c>
      <c r="C21" s="5">
        <v>10</v>
      </c>
      <c r="D21" s="5">
        <v>37</v>
      </c>
      <c r="E21" s="6" t="s">
        <v>94</v>
      </c>
      <c r="F21" s="5">
        <v>10</v>
      </c>
      <c r="G21" s="5">
        <v>22</v>
      </c>
      <c r="H21" s="6" t="s">
        <v>94</v>
      </c>
      <c r="I21" s="5">
        <v>10</v>
      </c>
      <c r="J21" s="5">
        <v>23</v>
      </c>
    </row>
    <row r="22" spans="2:17" x14ac:dyDescent="0.25">
      <c r="B22" s="6" t="s">
        <v>95</v>
      </c>
      <c r="C22" s="5">
        <v>15</v>
      </c>
      <c r="D22" s="5">
        <v>105</v>
      </c>
      <c r="E22" s="6" t="s">
        <v>95</v>
      </c>
      <c r="F22" s="5">
        <v>15</v>
      </c>
      <c r="G22" s="5">
        <v>67</v>
      </c>
      <c r="H22" s="6" t="s">
        <v>95</v>
      </c>
      <c r="I22" s="5">
        <v>15</v>
      </c>
      <c r="J22" s="5">
        <v>30</v>
      </c>
    </row>
    <row r="23" spans="2:17" x14ac:dyDescent="0.25">
      <c r="B23" s="5" t="s">
        <v>96</v>
      </c>
      <c r="C23" s="5">
        <v>20</v>
      </c>
      <c r="D23" s="5">
        <v>152</v>
      </c>
      <c r="E23" s="5" t="s">
        <v>96</v>
      </c>
      <c r="F23" s="5">
        <v>20</v>
      </c>
      <c r="G23" s="5">
        <v>59</v>
      </c>
      <c r="H23" s="5" t="s">
        <v>96</v>
      </c>
      <c r="I23" s="5">
        <v>20</v>
      </c>
      <c r="J23" s="5">
        <v>32</v>
      </c>
    </row>
    <row r="24" spans="2:17" x14ac:dyDescent="0.25">
      <c r="B24" s="5" t="s">
        <v>97</v>
      </c>
      <c r="C24" s="5">
        <v>25</v>
      </c>
      <c r="D24" s="5">
        <v>107</v>
      </c>
      <c r="E24" s="5" t="s">
        <v>97</v>
      </c>
      <c r="F24" s="5">
        <v>25</v>
      </c>
      <c r="G24" s="5">
        <v>55</v>
      </c>
      <c r="H24" s="5" t="s">
        <v>97</v>
      </c>
      <c r="I24" s="5">
        <v>25</v>
      </c>
      <c r="J24" s="5">
        <v>10</v>
      </c>
    </row>
    <row r="25" spans="2:17" x14ac:dyDescent="0.25">
      <c r="B25" s="5" t="s">
        <v>98</v>
      </c>
      <c r="C25" s="5">
        <v>30</v>
      </c>
      <c r="D25" s="5">
        <v>206</v>
      </c>
      <c r="E25" s="5" t="s">
        <v>98</v>
      </c>
      <c r="F25" s="5">
        <v>30</v>
      </c>
      <c r="G25" s="5">
        <v>73</v>
      </c>
      <c r="H25" s="5" t="s">
        <v>98</v>
      </c>
      <c r="I25" s="5">
        <v>30</v>
      </c>
      <c r="J25" s="5">
        <v>25</v>
      </c>
    </row>
    <row r="26" spans="2:17" x14ac:dyDescent="0.25">
      <c r="B26" s="5" t="s">
        <v>99</v>
      </c>
      <c r="C26" s="5">
        <v>35</v>
      </c>
      <c r="D26" s="5">
        <v>14</v>
      </c>
      <c r="E26" s="5" t="s">
        <v>99</v>
      </c>
      <c r="F26" s="5">
        <v>35</v>
      </c>
      <c r="G26" s="5">
        <v>48</v>
      </c>
      <c r="H26" s="5" t="s">
        <v>99</v>
      </c>
      <c r="I26" s="5">
        <v>35</v>
      </c>
      <c r="J26" s="5">
        <v>16</v>
      </c>
    </row>
    <row r="27" spans="2:17" x14ac:dyDescent="0.25">
      <c r="B27" s="5" t="s">
        <v>100</v>
      </c>
      <c r="C27" s="5">
        <v>40</v>
      </c>
      <c r="D27" s="5">
        <v>169</v>
      </c>
      <c r="E27" s="5" t="s">
        <v>100</v>
      </c>
      <c r="F27" s="5">
        <v>40</v>
      </c>
      <c r="G27" s="5">
        <v>39</v>
      </c>
      <c r="H27" s="5" t="s">
        <v>100</v>
      </c>
      <c r="I27" s="5">
        <v>40</v>
      </c>
      <c r="J27" s="5">
        <v>24</v>
      </c>
    </row>
    <row r="28" spans="2:17" x14ac:dyDescent="0.25">
      <c r="B28" s="5" t="s">
        <v>101</v>
      </c>
      <c r="C28" s="5">
        <v>45</v>
      </c>
      <c r="D28" s="5">
        <v>19</v>
      </c>
      <c r="E28" s="5" t="s">
        <v>101</v>
      </c>
      <c r="F28" s="5">
        <v>45</v>
      </c>
      <c r="G28" s="5">
        <v>47</v>
      </c>
      <c r="H28" s="5" t="s">
        <v>101</v>
      </c>
      <c r="I28" s="5">
        <v>45</v>
      </c>
      <c r="J28" s="5">
        <v>7</v>
      </c>
    </row>
    <row r="29" spans="2:17" x14ac:dyDescent="0.25">
      <c r="B29" s="5" t="s">
        <v>102</v>
      </c>
      <c r="C29" s="5">
        <v>50</v>
      </c>
      <c r="D29" s="5">
        <v>149</v>
      </c>
      <c r="E29" s="5" t="s">
        <v>102</v>
      </c>
      <c r="F29" s="5">
        <v>50</v>
      </c>
      <c r="G29" s="5">
        <v>49</v>
      </c>
      <c r="H29" s="5" t="s">
        <v>102</v>
      </c>
      <c r="I29" s="5">
        <v>50</v>
      </c>
      <c r="J29" s="5">
        <v>19</v>
      </c>
    </row>
    <row r="30" spans="2:17" x14ac:dyDescent="0.25">
      <c r="B30" s="5" t="s">
        <v>103</v>
      </c>
      <c r="C30" s="5">
        <v>55</v>
      </c>
      <c r="D30" s="5">
        <v>10</v>
      </c>
      <c r="E30" s="5" t="s">
        <v>103</v>
      </c>
      <c r="F30" s="5">
        <v>55</v>
      </c>
      <c r="G30" s="5">
        <v>3</v>
      </c>
      <c r="H30" s="5" t="s">
        <v>103</v>
      </c>
      <c r="I30" s="5">
        <v>55</v>
      </c>
      <c r="J30" s="5">
        <v>3</v>
      </c>
    </row>
    <row r="31" spans="2:17" x14ac:dyDescent="0.25">
      <c r="B31" s="5" t="s">
        <v>104</v>
      </c>
      <c r="C31" s="5">
        <v>60</v>
      </c>
      <c r="D31" s="5">
        <v>55</v>
      </c>
      <c r="E31" s="5" t="s">
        <v>104</v>
      </c>
      <c r="F31" s="5">
        <v>60</v>
      </c>
      <c r="G31" s="5">
        <v>19</v>
      </c>
      <c r="H31" s="5" t="s">
        <v>104</v>
      </c>
      <c r="I31" s="5">
        <v>60</v>
      </c>
      <c r="J31" s="5">
        <v>23</v>
      </c>
    </row>
    <row r="32" spans="2:17" x14ac:dyDescent="0.25">
      <c r="B32" s="5" t="s">
        <v>105</v>
      </c>
      <c r="C32" s="5">
        <v>65</v>
      </c>
      <c r="D32" s="5">
        <v>9</v>
      </c>
      <c r="E32" s="5" t="s">
        <v>105</v>
      </c>
      <c r="F32" s="5">
        <v>65</v>
      </c>
      <c r="G32" s="5">
        <v>19</v>
      </c>
      <c r="H32" s="5" t="s">
        <v>105</v>
      </c>
      <c r="I32" s="5">
        <v>65</v>
      </c>
      <c r="J32" s="5">
        <v>10</v>
      </c>
    </row>
    <row r="33" spans="2:10" x14ac:dyDescent="0.25">
      <c r="B33" s="5" t="s">
        <v>106</v>
      </c>
      <c r="C33" s="5">
        <v>70</v>
      </c>
      <c r="D33" s="5">
        <v>157</v>
      </c>
      <c r="E33" s="5" t="s">
        <v>106</v>
      </c>
      <c r="F33" s="5">
        <v>70</v>
      </c>
      <c r="G33" s="5">
        <v>94</v>
      </c>
      <c r="H33" s="5" t="s">
        <v>106</v>
      </c>
      <c r="I33" s="5">
        <v>70</v>
      </c>
      <c r="J33" s="5">
        <v>48</v>
      </c>
    </row>
    <row r="34" spans="2:10" x14ac:dyDescent="0.25">
      <c r="B34" s="5" t="s">
        <v>107</v>
      </c>
      <c r="C34" s="5">
        <v>75</v>
      </c>
      <c r="D34" s="5">
        <v>25</v>
      </c>
      <c r="E34" s="5" t="s">
        <v>107</v>
      </c>
      <c r="F34" s="5">
        <v>75</v>
      </c>
      <c r="G34" s="5">
        <v>73</v>
      </c>
      <c r="H34" s="5" t="s">
        <v>107</v>
      </c>
      <c r="I34" s="5">
        <v>75</v>
      </c>
      <c r="J34" s="5">
        <v>10</v>
      </c>
    </row>
    <row r="35" spans="2:10" x14ac:dyDescent="0.25">
      <c r="B35" s="5" t="s">
        <v>108</v>
      </c>
      <c r="C35" s="5">
        <v>80</v>
      </c>
      <c r="D35" s="5">
        <v>100</v>
      </c>
      <c r="E35" s="5" t="s">
        <v>108</v>
      </c>
      <c r="F35" s="5">
        <v>80</v>
      </c>
      <c r="G35" s="5">
        <v>184</v>
      </c>
      <c r="H35" s="5" t="s">
        <v>108</v>
      </c>
      <c r="I35" s="5">
        <v>80</v>
      </c>
      <c r="J35" s="5">
        <v>14</v>
      </c>
    </row>
    <row r="36" spans="2:10" x14ac:dyDescent="0.25">
      <c r="B36" s="5" t="s">
        <v>109</v>
      </c>
      <c r="C36" s="5">
        <v>85</v>
      </c>
      <c r="D36" s="5">
        <v>58</v>
      </c>
      <c r="E36" s="5" t="s">
        <v>109</v>
      </c>
      <c r="F36" s="5">
        <v>85</v>
      </c>
      <c r="G36" s="5">
        <v>347</v>
      </c>
      <c r="H36" s="5" t="s">
        <v>109</v>
      </c>
      <c r="I36" s="5">
        <v>85</v>
      </c>
      <c r="J36" s="5">
        <v>13</v>
      </c>
    </row>
    <row r="37" spans="2:10" x14ac:dyDescent="0.25">
      <c r="B37" s="5" t="s">
        <v>110</v>
      </c>
      <c r="C37" s="5">
        <v>90</v>
      </c>
      <c r="D37" s="5">
        <v>102</v>
      </c>
      <c r="E37" s="5" t="s">
        <v>110</v>
      </c>
      <c r="F37" s="5">
        <v>90</v>
      </c>
      <c r="G37" s="5">
        <v>327</v>
      </c>
      <c r="H37" s="5" t="s">
        <v>110</v>
      </c>
      <c r="I37" s="5">
        <v>90</v>
      </c>
      <c r="J37" s="5">
        <v>21</v>
      </c>
    </row>
    <row r="38" spans="2:10" x14ac:dyDescent="0.25">
      <c r="B38" s="5" t="s">
        <v>111</v>
      </c>
      <c r="C38" s="5">
        <v>95</v>
      </c>
      <c r="D38" s="5">
        <v>17</v>
      </c>
      <c r="E38" s="5" t="s">
        <v>111</v>
      </c>
      <c r="F38" s="5">
        <v>95</v>
      </c>
      <c r="G38" s="5">
        <v>37</v>
      </c>
      <c r="H38" s="5" t="s">
        <v>111</v>
      </c>
      <c r="I38" s="5">
        <v>95</v>
      </c>
      <c r="J38" s="5">
        <v>20</v>
      </c>
    </row>
    <row r="39" spans="2:10" x14ac:dyDescent="0.25">
      <c r="B39" s="5" t="s">
        <v>112</v>
      </c>
      <c r="C39" s="5">
        <v>100</v>
      </c>
      <c r="D39" s="5">
        <v>488</v>
      </c>
      <c r="E39" s="5" t="s">
        <v>112</v>
      </c>
      <c r="F39" s="5">
        <v>100</v>
      </c>
      <c r="G39" s="5">
        <v>348</v>
      </c>
      <c r="H39" s="5" t="s">
        <v>112</v>
      </c>
      <c r="I39" s="5">
        <v>100</v>
      </c>
      <c r="J39" s="5">
        <v>1225</v>
      </c>
    </row>
  </sheetData>
  <mergeCells count="17">
    <mergeCell ref="P1:R1"/>
    <mergeCell ref="B1:E1"/>
    <mergeCell ref="F1:I1"/>
    <mergeCell ref="J1:M1"/>
    <mergeCell ref="B18:D18"/>
    <mergeCell ref="E18:G18"/>
    <mergeCell ref="H18:J18"/>
    <mergeCell ref="L18:M18"/>
    <mergeCell ref="N18:O18"/>
    <mergeCell ref="P18:Q18"/>
    <mergeCell ref="S1:U1"/>
    <mergeCell ref="W1:Y1"/>
    <mergeCell ref="Z1:AB1"/>
    <mergeCell ref="AC1:AE1"/>
    <mergeCell ref="W3:Y3"/>
    <mergeCell ref="Z3:AB3"/>
    <mergeCell ref="AC3:AE3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A7C3-08ED-44EF-B847-C211B36E01E3}">
  <dimension ref="A1:J2001"/>
  <sheetViews>
    <sheetView workbookViewId="0">
      <selection activeCell="J1972" sqref="J1972"/>
    </sheetView>
  </sheetViews>
  <sheetFormatPr defaultRowHeight="15" x14ac:dyDescent="0.25"/>
  <cols>
    <col min="1" max="1" width="12" bestFit="1" customWidth="1"/>
    <col min="2" max="2" width="11" bestFit="1" customWidth="1"/>
    <col min="3" max="3" width="12.140625" bestFit="1" customWidth="1"/>
    <col min="4" max="4" width="12" bestFit="1" customWidth="1"/>
    <col min="5" max="5" width="14.7109375" bestFit="1" customWidth="1"/>
    <col min="6" max="6" width="34.5703125" bestFit="1" customWidth="1"/>
    <col min="7" max="7" width="14.42578125" bestFit="1" customWidth="1"/>
    <col min="8" max="8" width="15.5703125" bestFit="1" customWidth="1"/>
    <col min="9" max="9" width="20.42578125" bestFit="1" customWidth="1"/>
    <col min="10" max="10" width="11.7109375" bestFit="1" customWidth="1"/>
    <col min="13" max="13" width="6.7109375" bestFit="1" customWidth="1"/>
    <col min="14" max="14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</row>
    <row r="2" spans="1:10" x14ac:dyDescent="0.25">
      <c r="A2" t="s">
        <v>5</v>
      </c>
      <c r="B2">
        <v>0</v>
      </c>
      <c r="C2">
        <v>100</v>
      </c>
      <c r="D2">
        <v>8.8047511577606201</v>
      </c>
      <c r="E2" t="s">
        <v>10</v>
      </c>
      <c r="F2" t="s">
        <v>11</v>
      </c>
      <c r="G2">
        <v>6</v>
      </c>
    </row>
    <row r="3" spans="1:10" x14ac:dyDescent="0.25">
      <c r="A3" t="s">
        <v>5</v>
      </c>
      <c r="B3">
        <v>1</v>
      </c>
      <c r="C3">
        <v>100</v>
      </c>
      <c r="D3">
        <v>17.169963836669922</v>
      </c>
      <c r="E3" t="s">
        <v>10</v>
      </c>
      <c r="F3" t="s">
        <v>12</v>
      </c>
      <c r="G3">
        <v>6.4</v>
      </c>
      <c r="J3" s="4"/>
    </row>
    <row r="4" spans="1:10" x14ac:dyDescent="0.25">
      <c r="A4" t="s">
        <v>5</v>
      </c>
      <c r="B4">
        <v>2</v>
      </c>
      <c r="C4">
        <v>75</v>
      </c>
      <c r="D4">
        <v>8.1851396560668945</v>
      </c>
      <c r="E4" t="s">
        <v>10</v>
      </c>
      <c r="F4" t="s">
        <v>14</v>
      </c>
      <c r="G4">
        <v>5</v>
      </c>
    </row>
    <row r="5" spans="1:10" x14ac:dyDescent="0.25">
      <c r="A5" t="s">
        <v>5</v>
      </c>
      <c r="B5">
        <v>3</v>
      </c>
      <c r="C5">
        <v>30</v>
      </c>
      <c r="D5">
        <v>3.1729569435119629</v>
      </c>
      <c r="E5" t="s">
        <v>10</v>
      </c>
      <c r="F5" t="s">
        <v>15</v>
      </c>
      <c r="G5">
        <v>4.3</v>
      </c>
    </row>
    <row r="6" spans="1:10" x14ac:dyDescent="0.25">
      <c r="A6" t="s">
        <v>5</v>
      </c>
      <c r="B6">
        <v>4</v>
      </c>
      <c r="C6">
        <v>21</v>
      </c>
      <c r="D6">
        <v>4.4220972061157227</v>
      </c>
      <c r="E6" t="s">
        <v>10</v>
      </c>
      <c r="F6" t="s">
        <v>16</v>
      </c>
      <c r="G6">
        <v>7.5</v>
      </c>
      <c r="J6" s="4"/>
    </row>
    <row r="7" spans="1:10" x14ac:dyDescent="0.25">
      <c r="A7" t="s">
        <v>5</v>
      </c>
      <c r="B7">
        <v>5</v>
      </c>
      <c r="C7">
        <v>17</v>
      </c>
      <c r="D7">
        <v>3.9285399913787842</v>
      </c>
      <c r="E7" t="s">
        <v>10</v>
      </c>
      <c r="F7" t="s">
        <v>14</v>
      </c>
      <c r="G7">
        <v>4.3</v>
      </c>
    </row>
    <row r="8" spans="1:10" x14ac:dyDescent="0.25">
      <c r="A8" t="s">
        <v>5</v>
      </c>
      <c r="B8">
        <v>6</v>
      </c>
      <c r="C8">
        <v>23</v>
      </c>
      <c r="D8">
        <v>3.8095278739929199</v>
      </c>
      <c r="E8" t="s">
        <v>10</v>
      </c>
      <c r="F8" t="s">
        <v>14</v>
      </c>
      <c r="G8">
        <v>4.3</v>
      </c>
    </row>
    <row r="9" spans="1:10" x14ac:dyDescent="0.25">
      <c r="A9" t="s">
        <v>5</v>
      </c>
      <c r="B9">
        <v>7</v>
      </c>
      <c r="C9">
        <v>100</v>
      </c>
      <c r="D9">
        <v>10.889456272125244</v>
      </c>
      <c r="E9" t="s">
        <v>10</v>
      </c>
      <c r="F9" t="s">
        <v>15</v>
      </c>
      <c r="G9">
        <v>6.8</v>
      </c>
      <c r="J9" s="4"/>
    </row>
    <row r="10" spans="1:10" x14ac:dyDescent="0.25">
      <c r="A10" t="s">
        <v>5</v>
      </c>
      <c r="B10">
        <v>8</v>
      </c>
      <c r="C10">
        <v>70</v>
      </c>
      <c r="D10">
        <v>2.8570456504821777</v>
      </c>
      <c r="E10" t="s">
        <v>10</v>
      </c>
      <c r="F10" t="s">
        <v>15</v>
      </c>
      <c r="G10">
        <v>6.8</v>
      </c>
    </row>
    <row r="11" spans="1:10" x14ac:dyDescent="0.25">
      <c r="A11" t="s">
        <v>5</v>
      </c>
      <c r="B11">
        <v>9</v>
      </c>
      <c r="C11">
        <v>100</v>
      </c>
      <c r="D11">
        <v>10.307254314422607</v>
      </c>
      <c r="E11" t="s">
        <v>10</v>
      </c>
      <c r="F11" t="s">
        <v>15</v>
      </c>
      <c r="G11">
        <v>6.8</v>
      </c>
    </row>
    <row r="12" spans="1:10" x14ac:dyDescent="0.25">
      <c r="A12" t="s">
        <v>5</v>
      </c>
      <c r="B12">
        <v>10</v>
      </c>
      <c r="C12">
        <v>89</v>
      </c>
      <c r="D12">
        <v>10.321040868759155</v>
      </c>
      <c r="E12" t="s">
        <v>10</v>
      </c>
      <c r="F12" t="s">
        <v>17</v>
      </c>
      <c r="G12">
        <v>5</v>
      </c>
    </row>
    <row r="13" spans="1:10" x14ac:dyDescent="0.25">
      <c r="A13" t="s">
        <v>5</v>
      </c>
      <c r="B13">
        <v>11</v>
      </c>
      <c r="C13">
        <v>16</v>
      </c>
      <c r="D13">
        <v>6.2805132865905762</v>
      </c>
      <c r="E13" t="s">
        <v>10</v>
      </c>
      <c r="F13" t="s">
        <v>15</v>
      </c>
      <c r="G13">
        <v>4.3</v>
      </c>
    </row>
    <row r="14" spans="1:10" x14ac:dyDescent="0.25">
      <c r="A14" t="s">
        <v>5</v>
      </c>
      <c r="B14">
        <v>12</v>
      </c>
      <c r="C14">
        <v>100</v>
      </c>
      <c r="D14">
        <v>3.7866320610046387</v>
      </c>
      <c r="E14" t="s">
        <v>10</v>
      </c>
      <c r="F14" t="s">
        <v>15</v>
      </c>
      <c r="G14">
        <v>4.3</v>
      </c>
    </row>
    <row r="15" spans="1:10" x14ac:dyDescent="0.25">
      <c r="A15" t="s">
        <v>5</v>
      </c>
      <c r="B15">
        <v>13</v>
      </c>
      <c r="C15">
        <v>87</v>
      </c>
      <c r="D15">
        <v>9.164884090423584</v>
      </c>
      <c r="E15" t="s">
        <v>10</v>
      </c>
      <c r="F15" t="s">
        <v>18</v>
      </c>
      <c r="G15">
        <v>6.8</v>
      </c>
    </row>
    <row r="16" spans="1:10" x14ac:dyDescent="0.25">
      <c r="A16" t="s">
        <v>5</v>
      </c>
      <c r="B16">
        <v>14</v>
      </c>
      <c r="C16">
        <v>60</v>
      </c>
      <c r="D16">
        <v>5.7185475826263428</v>
      </c>
      <c r="E16" t="s">
        <v>10</v>
      </c>
      <c r="F16" t="s">
        <v>18</v>
      </c>
      <c r="G16">
        <v>6.8</v>
      </c>
    </row>
    <row r="17" spans="1:7" x14ac:dyDescent="0.25">
      <c r="A17" t="s">
        <v>5</v>
      </c>
      <c r="B17">
        <v>15</v>
      </c>
      <c r="C17">
        <v>87</v>
      </c>
      <c r="D17">
        <v>8.7181575298309326</v>
      </c>
      <c r="E17" t="s">
        <v>10</v>
      </c>
      <c r="F17" t="s">
        <v>18</v>
      </c>
      <c r="G17">
        <v>6.8</v>
      </c>
    </row>
    <row r="18" spans="1:7" x14ac:dyDescent="0.25">
      <c r="A18" t="s">
        <v>5</v>
      </c>
      <c r="B18">
        <v>16</v>
      </c>
      <c r="C18">
        <v>70</v>
      </c>
      <c r="D18">
        <v>13.540936231613159</v>
      </c>
      <c r="E18" t="s">
        <v>10</v>
      </c>
      <c r="F18" t="s">
        <v>15</v>
      </c>
      <c r="G18">
        <v>4.3</v>
      </c>
    </row>
    <row r="19" spans="1:7" x14ac:dyDescent="0.25">
      <c r="A19" t="s">
        <v>5</v>
      </c>
      <c r="B19">
        <v>17</v>
      </c>
      <c r="C19">
        <v>87</v>
      </c>
      <c r="D19">
        <v>14.129216432571411</v>
      </c>
      <c r="E19" t="s">
        <v>10</v>
      </c>
      <c r="F19" t="s">
        <v>15</v>
      </c>
      <c r="G19">
        <v>4.3</v>
      </c>
    </row>
    <row r="20" spans="1:7" x14ac:dyDescent="0.25">
      <c r="A20" t="s">
        <v>5</v>
      </c>
      <c r="B20">
        <v>18</v>
      </c>
      <c r="C20">
        <v>20</v>
      </c>
      <c r="D20">
        <v>3.1786932945251465</v>
      </c>
      <c r="E20" t="s">
        <v>10</v>
      </c>
      <c r="F20" t="s">
        <v>15</v>
      </c>
      <c r="G20">
        <v>4.3</v>
      </c>
    </row>
    <row r="21" spans="1:7" x14ac:dyDescent="0.25">
      <c r="A21" t="s">
        <v>5</v>
      </c>
      <c r="B21">
        <v>19</v>
      </c>
      <c r="C21">
        <v>37</v>
      </c>
      <c r="D21">
        <v>3.342524528503418</v>
      </c>
      <c r="E21" t="s">
        <v>10</v>
      </c>
      <c r="F21" t="s">
        <v>15</v>
      </c>
      <c r="G21">
        <v>5</v>
      </c>
    </row>
    <row r="22" spans="1:7" x14ac:dyDescent="0.25">
      <c r="A22" t="s">
        <v>5</v>
      </c>
      <c r="B22">
        <v>20</v>
      </c>
      <c r="C22">
        <v>37</v>
      </c>
      <c r="D22">
        <v>3.3016407489776611</v>
      </c>
      <c r="E22" t="s">
        <v>10</v>
      </c>
      <c r="F22" t="s">
        <v>15</v>
      </c>
      <c r="G22">
        <v>5</v>
      </c>
    </row>
    <row r="23" spans="1:7" x14ac:dyDescent="0.25">
      <c r="A23" t="s">
        <v>5</v>
      </c>
      <c r="B23">
        <v>21</v>
      </c>
      <c r="C23">
        <v>47</v>
      </c>
      <c r="D23">
        <v>2.8046507835388184</v>
      </c>
      <c r="E23" t="s">
        <v>10</v>
      </c>
      <c r="F23" t="s">
        <v>15</v>
      </c>
      <c r="G23">
        <v>5</v>
      </c>
    </row>
    <row r="24" spans="1:7" x14ac:dyDescent="0.25">
      <c r="A24" t="s">
        <v>5</v>
      </c>
      <c r="B24">
        <v>22</v>
      </c>
      <c r="C24">
        <v>37</v>
      </c>
      <c r="D24">
        <v>3.1341352462768555</v>
      </c>
      <c r="E24" t="s">
        <v>10</v>
      </c>
      <c r="F24" t="s">
        <v>15</v>
      </c>
      <c r="G24">
        <v>5</v>
      </c>
    </row>
    <row r="25" spans="1:7" x14ac:dyDescent="0.25">
      <c r="A25" t="s">
        <v>5</v>
      </c>
      <c r="B25">
        <v>23</v>
      </c>
      <c r="C25">
        <v>20</v>
      </c>
      <c r="D25">
        <v>3.0609691143035889</v>
      </c>
      <c r="E25" t="s">
        <v>10</v>
      </c>
      <c r="F25" t="s">
        <v>15</v>
      </c>
      <c r="G25">
        <v>5</v>
      </c>
    </row>
    <row r="26" spans="1:7" x14ac:dyDescent="0.25">
      <c r="A26" t="s">
        <v>5</v>
      </c>
      <c r="B26">
        <v>24</v>
      </c>
      <c r="C26">
        <v>20</v>
      </c>
      <c r="D26">
        <v>2.8182780742645264</v>
      </c>
      <c r="E26" t="s">
        <v>10</v>
      </c>
      <c r="F26" t="s">
        <v>15</v>
      </c>
      <c r="G26">
        <v>5</v>
      </c>
    </row>
    <row r="27" spans="1:7" x14ac:dyDescent="0.25">
      <c r="A27" t="s">
        <v>5</v>
      </c>
      <c r="B27">
        <v>25</v>
      </c>
      <c r="C27">
        <v>37</v>
      </c>
      <c r="D27">
        <v>3.1707847118377686</v>
      </c>
      <c r="E27" t="s">
        <v>10</v>
      </c>
      <c r="F27" t="s">
        <v>15</v>
      </c>
      <c r="G27">
        <v>5</v>
      </c>
    </row>
    <row r="28" spans="1:7" x14ac:dyDescent="0.25">
      <c r="A28" t="s">
        <v>5</v>
      </c>
      <c r="B28">
        <v>26</v>
      </c>
      <c r="C28">
        <v>30</v>
      </c>
      <c r="D28">
        <v>3.0478336811065674</v>
      </c>
      <c r="E28" t="s">
        <v>10</v>
      </c>
      <c r="F28" t="s">
        <v>15</v>
      </c>
      <c r="G28">
        <v>5</v>
      </c>
    </row>
    <row r="29" spans="1:7" x14ac:dyDescent="0.25">
      <c r="A29" t="s">
        <v>5</v>
      </c>
      <c r="B29">
        <v>27</v>
      </c>
      <c r="C29">
        <v>60</v>
      </c>
      <c r="D29">
        <v>4.062230110168457</v>
      </c>
      <c r="E29" t="s">
        <v>10</v>
      </c>
      <c r="F29" t="s">
        <v>15</v>
      </c>
      <c r="G29">
        <v>5</v>
      </c>
    </row>
    <row r="30" spans="1:7" x14ac:dyDescent="0.25">
      <c r="A30" t="s">
        <v>5</v>
      </c>
      <c r="B30">
        <v>28</v>
      </c>
      <c r="C30">
        <v>42</v>
      </c>
      <c r="D30">
        <v>13.303628206253052</v>
      </c>
      <c r="E30" t="s">
        <v>10</v>
      </c>
      <c r="F30" t="s">
        <v>15</v>
      </c>
      <c r="G30">
        <v>5</v>
      </c>
    </row>
    <row r="31" spans="1:7" x14ac:dyDescent="0.25">
      <c r="A31" t="s">
        <v>5</v>
      </c>
      <c r="B31">
        <v>29</v>
      </c>
      <c r="C31">
        <v>40</v>
      </c>
      <c r="D31">
        <v>3.329012393951416</v>
      </c>
      <c r="E31" t="s">
        <v>10</v>
      </c>
      <c r="F31" t="s">
        <v>15</v>
      </c>
      <c r="G31">
        <v>5</v>
      </c>
    </row>
    <row r="32" spans="1:7" x14ac:dyDescent="0.25">
      <c r="A32" t="s">
        <v>5</v>
      </c>
      <c r="B32">
        <v>30</v>
      </c>
      <c r="C32">
        <v>87</v>
      </c>
      <c r="D32">
        <v>9.3381388187408447</v>
      </c>
      <c r="E32" t="s">
        <v>10</v>
      </c>
      <c r="F32" t="s">
        <v>15</v>
      </c>
      <c r="G32">
        <v>5</v>
      </c>
    </row>
    <row r="33" spans="1:7" x14ac:dyDescent="0.25">
      <c r="A33" t="s">
        <v>5</v>
      </c>
      <c r="B33">
        <v>31</v>
      </c>
      <c r="C33">
        <v>75</v>
      </c>
      <c r="D33">
        <v>5.2600336074829102</v>
      </c>
      <c r="E33" t="s">
        <v>10</v>
      </c>
      <c r="F33" t="s">
        <v>15</v>
      </c>
      <c r="G33">
        <v>5</v>
      </c>
    </row>
    <row r="34" spans="1:7" x14ac:dyDescent="0.25">
      <c r="A34" t="s">
        <v>5</v>
      </c>
      <c r="B34">
        <v>32</v>
      </c>
      <c r="C34">
        <v>87</v>
      </c>
      <c r="D34">
        <v>6.1013777256011963</v>
      </c>
      <c r="E34" t="s">
        <v>10</v>
      </c>
      <c r="F34" t="s">
        <v>15</v>
      </c>
      <c r="G34">
        <v>1.9</v>
      </c>
    </row>
    <row r="35" spans="1:7" x14ac:dyDescent="0.25">
      <c r="A35" t="s">
        <v>5</v>
      </c>
      <c r="B35">
        <v>33</v>
      </c>
      <c r="C35">
        <v>100</v>
      </c>
      <c r="D35">
        <v>10.512178897857666</v>
      </c>
      <c r="E35" t="s">
        <v>10</v>
      </c>
      <c r="F35" t="s">
        <v>11</v>
      </c>
      <c r="G35">
        <v>7.5</v>
      </c>
    </row>
    <row r="36" spans="1:7" x14ac:dyDescent="0.25">
      <c r="A36" t="s">
        <v>5</v>
      </c>
      <c r="B36">
        <v>34</v>
      </c>
      <c r="C36">
        <v>70</v>
      </c>
      <c r="D36">
        <v>7.9207804203033447</v>
      </c>
      <c r="E36" t="s">
        <v>10</v>
      </c>
      <c r="F36" t="s">
        <v>11</v>
      </c>
      <c r="G36">
        <v>7.5</v>
      </c>
    </row>
    <row r="37" spans="1:7" x14ac:dyDescent="0.25">
      <c r="A37" t="s">
        <v>5</v>
      </c>
      <c r="B37">
        <v>35</v>
      </c>
      <c r="C37">
        <v>47</v>
      </c>
      <c r="D37">
        <v>5.0251350402832031</v>
      </c>
      <c r="E37" t="s">
        <v>10</v>
      </c>
      <c r="F37" t="s">
        <v>13</v>
      </c>
      <c r="G37">
        <v>5</v>
      </c>
    </row>
    <row r="38" spans="1:7" x14ac:dyDescent="0.25">
      <c r="A38" t="s">
        <v>5</v>
      </c>
      <c r="B38">
        <v>36</v>
      </c>
      <c r="C38">
        <v>84</v>
      </c>
      <c r="D38">
        <v>13.586991786956787</v>
      </c>
      <c r="E38" t="s">
        <v>10</v>
      </c>
      <c r="F38" t="s">
        <v>13</v>
      </c>
      <c r="G38">
        <v>5</v>
      </c>
    </row>
    <row r="39" spans="1:7" x14ac:dyDescent="0.25">
      <c r="A39" t="s">
        <v>5</v>
      </c>
      <c r="B39">
        <v>37</v>
      </c>
      <c r="C39">
        <v>70</v>
      </c>
      <c r="D39">
        <v>4.3369772434234619</v>
      </c>
      <c r="E39" t="s">
        <v>19</v>
      </c>
      <c r="F39" t="s">
        <v>16</v>
      </c>
      <c r="G39">
        <v>9.3000000000000007</v>
      </c>
    </row>
    <row r="40" spans="1:7" x14ac:dyDescent="0.25">
      <c r="A40" t="s">
        <v>5</v>
      </c>
      <c r="B40">
        <v>38</v>
      </c>
      <c r="C40">
        <v>80</v>
      </c>
      <c r="D40">
        <v>8.359297513961792</v>
      </c>
      <c r="E40" t="s">
        <v>19</v>
      </c>
      <c r="F40" t="s">
        <v>20</v>
      </c>
      <c r="G40">
        <v>6.8</v>
      </c>
    </row>
    <row r="41" spans="1:7" x14ac:dyDescent="0.25">
      <c r="A41" t="s">
        <v>5</v>
      </c>
      <c r="B41">
        <v>39</v>
      </c>
      <c r="C41">
        <v>100</v>
      </c>
      <c r="D41">
        <v>6.5633282661437988</v>
      </c>
      <c r="E41" t="s">
        <v>19</v>
      </c>
      <c r="F41" t="s">
        <v>20</v>
      </c>
      <c r="G41">
        <v>6.8</v>
      </c>
    </row>
    <row r="42" spans="1:7" x14ac:dyDescent="0.25">
      <c r="A42" t="s">
        <v>5</v>
      </c>
      <c r="B42">
        <v>40</v>
      </c>
      <c r="C42">
        <v>37</v>
      </c>
      <c r="D42">
        <v>2.8808197975158691</v>
      </c>
      <c r="E42" t="s">
        <v>19</v>
      </c>
      <c r="F42" t="s">
        <v>20</v>
      </c>
      <c r="G42">
        <v>6.8</v>
      </c>
    </row>
    <row r="43" spans="1:7" x14ac:dyDescent="0.25">
      <c r="A43" t="s">
        <v>5</v>
      </c>
      <c r="B43">
        <v>41</v>
      </c>
      <c r="C43">
        <v>37</v>
      </c>
      <c r="D43">
        <v>7.805854320526123</v>
      </c>
      <c r="E43" t="s">
        <v>19</v>
      </c>
      <c r="F43" t="s">
        <v>20</v>
      </c>
      <c r="G43">
        <v>6.8</v>
      </c>
    </row>
    <row r="44" spans="1:7" x14ac:dyDescent="0.25">
      <c r="A44" t="s">
        <v>5</v>
      </c>
      <c r="B44">
        <v>42</v>
      </c>
      <c r="C44">
        <v>19</v>
      </c>
      <c r="D44">
        <v>8.4100766181945801</v>
      </c>
      <c r="E44" t="s">
        <v>19</v>
      </c>
      <c r="F44" t="s">
        <v>20</v>
      </c>
      <c r="G44">
        <v>6.8</v>
      </c>
    </row>
    <row r="45" spans="1:7" x14ac:dyDescent="0.25">
      <c r="A45" t="s">
        <v>5</v>
      </c>
      <c r="B45">
        <v>43</v>
      </c>
      <c r="C45">
        <v>100</v>
      </c>
      <c r="D45">
        <v>8.620434045791626</v>
      </c>
      <c r="E45" t="s">
        <v>19</v>
      </c>
      <c r="F45" t="s">
        <v>20</v>
      </c>
      <c r="G45">
        <v>6.8</v>
      </c>
    </row>
    <row r="46" spans="1:7" x14ac:dyDescent="0.25">
      <c r="A46" t="s">
        <v>5</v>
      </c>
      <c r="B46">
        <v>44</v>
      </c>
      <c r="C46">
        <v>100</v>
      </c>
      <c r="D46">
        <v>9.806873083114624</v>
      </c>
      <c r="E46" t="s">
        <v>19</v>
      </c>
      <c r="F46" t="s">
        <v>20</v>
      </c>
      <c r="G46">
        <v>6.8</v>
      </c>
    </row>
    <row r="47" spans="1:7" x14ac:dyDescent="0.25">
      <c r="A47" t="s">
        <v>5</v>
      </c>
      <c r="B47">
        <v>45</v>
      </c>
      <c r="C47">
        <v>100</v>
      </c>
      <c r="D47">
        <v>3.9263908863067627</v>
      </c>
      <c r="E47" t="s">
        <v>19</v>
      </c>
      <c r="F47" t="s">
        <v>20</v>
      </c>
      <c r="G47">
        <v>6.8</v>
      </c>
    </row>
    <row r="48" spans="1:7" x14ac:dyDescent="0.25">
      <c r="A48" t="s">
        <v>5</v>
      </c>
      <c r="B48">
        <v>46</v>
      </c>
      <c r="C48">
        <v>24</v>
      </c>
      <c r="D48">
        <v>3.1220779418945313</v>
      </c>
      <c r="E48" t="s">
        <v>19</v>
      </c>
      <c r="F48" t="s">
        <v>20</v>
      </c>
      <c r="G48">
        <v>6.8</v>
      </c>
    </row>
    <row r="49" spans="1:7" x14ac:dyDescent="0.25">
      <c r="A49" t="s">
        <v>5</v>
      </c>
      <c r="B49">
        <v>47</v>
      </c>
      <c r="C49">
        <v>100</v>
      </c>
      <c r="D49">
        <v>3.9531586170196533</v>
      </c>
      <c r="E49" t="s">
        <v>19</v>
      </c>
      <c r="F49" t="s">
        <v>20</v>
      </c>
      <c r="G49">
        <v>6.8</v>
      </c>
    </row>
    <row r="50" spans="1:7" x14ac:dyDescent="0.25">
      <c r="A50" t="s">
        <v>5</v>
      </c>
      <c r="B50">
        <v>48</v>
      </c>
      <c r="C50">
        <v>27</v>
      </c>
      <c r="D50">
        <v>3.1811351776123047</v>
      </c>
      <c r="E50" t="s">
        <v>19</v>
      </c>
      <c r="F50" t="s">
        <v>20</v>
      </c>
      <c r="G50">
        <v>6.8</v>
      </c>
    </row>
    <row r="51" spans="1:7" x14ac:dyDescent="0.25">
      <c r="A51" t="s">
        <v>5</v>
      </c>
      <c r="B51">
        <v>49</v>
      </c>
      <c r="C51">
        <v>40</v>
      </c>
      <c r="D51">
        <v>3.2464041709899902</v>
      </c>
      <c r="E51" t="s">
        <v>19</v>
      </c>
      <c r="F51" t="s">
        <v>20</v>
      </c>
      <c r="G51">
        <v>6.8</v>
      </c>
    </row>
    <row r="52" spans="1:7" x14ac:dyDescent="0.25">
      <c r="A52" t="s">
        <v>5</v>
      </c>
      <c r="B52">
        <v>50</v>
      </c>
      <c r="C52">
        <v>85</v>
      </c>
      <c r="D52">
        <v>8.4160404205322266</v>
      </c>
      <c r="E52" t="s">
        <v>19</v>
      </c>
      <c r="F52" t="s">
        <v>20</v>
      </c>
      <c r="G52">
        <v>6.8</v>
      </c>
    </row>
    <row r="53" spans="1:7" x14ac:dyDescent="0.25">
      <c r="A53" t="s">
        <v>5</v>
      </c>
      <c r="B53">
        <v>51</v>
      </c>
      <c r="C53">
        <v>45</v>
      </c>
      <c r="D53">
        <v>11.480618238449097</v>
      </c>
      <c r="E53" t="s">
        <v>19</v>
      </c>
      <c r="F53" t="s">
        <v>20</v>
      </c>
      <c r="G53">
        <v>6.8</v>
      </c>
    </row>
    <row r="54" spans="1:7" x14ac:dyDescent="0.25">
      <c r="A54" t="s">
        <v>5</v>
      </c>
      <c r="B54">
        <v>52</v>
      </c>
      <c r="C54">
        <v>100</v>
      </c>
      <c r="D54">
        <v>10.398487567901611</v>
      </c>
      <c r="E54" t="s">
        <v>19</v>
      </c>
      <c r="F54" t="s">
        <v>20</v>
      </c>
      <c r="G54">
        <v>6.8</v>
      </c>
    </row>
    <row r="55" spans="1:7" x14ac:dyDescent="0.25">
      <c r="A55" t="s">
        <v>5</v>
      </c>
      <c r="B55">
        <v>53</v>
      </c>
      <c r="C55">
        <v>100</v>
      </c>
      <c r="D55">
        <v>4.4826281070709229</v>
      </c>
      <c r="E55" t="s">
        <v>19</v>
      </c>
      <c r="F55" t="s">
        <v>20</v>
      </c>
      <c r="G55">
        <v>6.8</v>
      </c>
    </row>
    <row r="56" spans="1:7" x14ac:dyDescent="0.25">
      <c r="A56" t="s">
        <v>5</v>
      </c>
      <c r="B56">
        <v>54</v>
      </c>
      <c r="C56">
        <v>100</v>
      </c>
      <c r="D56">
        <v>19.565912485122681</v>
      </c>
      <c r="E56" t="s">
        <v>19</v>
      </c>
      <c r="F56" t="s">
        <v>20</v>
      </c>
      <c r="G56">
        <v>6.8</v>
      </c>
    </row>
    <row r="57" spans="1:7" x14ac:dyDescent="0.25">
      <c r="A57" t="s">
        <v>5</v>
      </c>
      <c r="B57">
        <v>55</v>
      </c>
      <c r="C57">
        <v>100</v>
      </c>
      <c r="D57">
        <v>17.448123455047607</v>
      </c>
      <c r="E57" t="s">
        <v>19</v>
      </c>
      <c r="F57" t="s">
        <v>20</v>
      </c>
      <c r="G57">
        <v>6.8</v>
      </c>
    </row>
    <row r="58" spans="1:7" x14ac:dyDescent="0.25">
      <c r="A58" t="s">
        <v>5</v>
      </c>
      <c r="B58">
        <v>56</v>
      </c>
      <c r="C58">
        <v>20</v>
      </c>
      <c r="D58">
        <v>4.0596621036529541</v>
      </c>
      <c r="E58" t="s">
        <v>19</v>
      </c>
      <c r="F58" t="s">
        <v>20</v>
      </c>
      <c r="G58">
        <v>6.8</v>
      </c>
    </row>
    <row r="59" spans="1:7" x14ac:dyDescent="0.25">
      <c r="A59" t="s">
        <v>5</v>
      </c>
      <c r="B59">
        <v>57</v>
      </c>
      <c r="C59">
        <v>70</v>
      </c>
      <c r="D59">
        <v>6.8573377132415771</v>
      </c>
      <c r="E59" t="s">
        <v>19</v>
      </c>
      <c r="F59" t="s">
        <v>20</v>
      </c>
      <c r="G59">
        <v>6.8</v>
      </c>
    </row>
    <row r="60" spans="1:7" x14ac:dyDescent="0.25">
      <c r="A60" t="s">
        <v>5</v>
      </c>
      <c r="B60">
        <v>58</v>
      </c>
      <c r="C60">
        <v>100</v>
      </c>
      <c r="D60">
        <v>5.2595174312591553</v>
      </c>
      <c r="E60" t="s">
        <v>19</v>
      </c>
      <c r="F60" t="s">
        <v>13</v>
      </c>
      <c r="G60">
        <v>6.8</v>
      </c>
    </row>
    <row r="61" spans="1:7" x14ac:dyDescent="0.25">
      <c r="A61" t="s">
        <v>5</v>
      </c>
      <c r="B61">
        <v>59</v>
      </c>
      <c r="C61">
        <v>100</v>
      </c>
      <c r="D61">
        <v>5.5029706954956055</v>
      </c>
      <c r="E61" t="s">
        <v>19</v>
      </c>
      <c r="F61" t="s">
        <v>13</v>
      </c>
      <c r="G61">
        <v>6.8</v>
      </c>
    </row>
    <row r="62" spans="1:7" x14ac:dyDescent="0.25">
      <c r="A62" t="s">
        <v>5</v>
      </c>
      <c r="B62">
        <v>60</v>
      </c>
      <c r="C62">
        <v>90</v>
      </c>
      <c r="D62">
        <v>4.4896466732025146</v>
      </c>
      <c r="E62" t="s">
        <v>10</v>
      </c>
      <c r="F62" t="s">
        <v>21</v>
      </c>
      <c r="G62">
        <v>7.5</v>
      </c>
    </row>
    <row r="63" spans="1:7" x14ac:dyDescent="0.25">
      <c r="A63" t="s">
        <v>5</v>
      </c>
      <c r="B63">
        <v>61</v>
      </c>
      <c r="C63">
        <v>17</v>
      </c>
      <c r="D63">
        <v>3.033433198928833</v>
      </c>
      <c r="E63" t="s">
        <v>10</v>
      </c>
      <c r="F63" t="s">
        <v>21</v>
      </c>
      <c r="G63">
        <v>7.5</v>
      </c>
    </row>
    <row r="64" spans="1:7" x14ac:dyDescent="0.25">
      <c r="A64" t="s">
        <v>5</v>
      </c>
      <c r="B64">
        <v>62</v>
      </c>
      <c r="C64">
        <v>14</v>
      </c>
      <c r="D64">
        <v>2.8822598457336426</v>
      </c>
      <c r="E64" t="s">
        <v>10</v>
      </c>
      <c r="F64" t="s">
        <v>21</v>
      </c>
      <c r="G64">
        <v>5</v>
      </c>
    </row>
    <row r="65" spans="1:7" x14ac:dyDescent="0.25">
      <c r="A65" t="s">
        <v>5</v>
      </c>
      <c r="B65">
        <v>63</v>
      </c>
      <c r="C65">
        <v>100</v>
      </c>
      <c r="D65">
        <v>4.5128273963928223</v>
      </c>
      <c r="E65" t="s">
        <v>10</v>
      </c>
      <c r="F65" t="s">
        <v>21</v>
      </c>
      <c r="G65">
        <v>5</v>
      </c>
    </row>
    <row r="66" spans="1:7" x14ac:dyDescent="0.25">
      <c r="A66" t="s">
        <v>5</v>
      </c>
      <c r="B66">
        <v>64</v>
      </c>
      <c r="C66">
        <v>83</v>
      </c>
      <c r="D66">
        <v>16.430559396743774</v>
      </c>
      <c r="E66" t="s">
        <v>10</v>
      </c>
      <c r="F66" t="s">
        <v>21</v>
      </c>
      <c r="G66">
        <v>5</v>
      </c>
    </row>
    <row r="67" spans="1:7" x14ac:dyDescent="0.25">
      <c r="A67" t="s">
        <v>5</v>
      </c>
      <c r="B67">
        <v>65</v>
      </c>
      <c r="C67">
        <v>15</v>
      </c>
      <c r="D67">
        <v>3.1256864070892334</v>
      </c>
      <c r="E67" t="s">
        <v>10</v>
      </c>
      <c r="F67" t="s">
        <v>15</v>
      </c>
      <c r="G67">
        <v>5</v>
      </c>
    </row>
    <row r="68" spans="1:7" x14ac:dyDescent="0.25">
      <c r="A68" t="s">
        <v>5</v>
      </c>
      <c r="B68">
        <v>66</v>
      </c>
      <c r="C68">
        <v>80</v>
      </c>
      <c r="D68">
        <v>3.0186777114868164</v>
      </c>
      <c r="E68" t="s">
        <v>10</v>
      </c>
      <c r="F68" t="s">
        <v>15</v>
      </c>
      <c r="G68">
        <v>5</v>
      </c>
    </row>
    <row r="69" spans="1:7" x14ac:dyDescent="0.25">
      <c r="A69" t="s">
        <v>5</v>
      </c>
      <c r="B69">
        <v>67</v>
      </c>
      <c r="C69">
        <v>50</v>
      </c>
      <c r="D69">
        <v>3.3259525299072266</v>
      </c>
      <c r="E69" t="s">
        <v>10</v>
      </c>
      <c r="F69" t="s">
        <v>15</v>
      </c>
      <c r="G69">
        <v>5</v>
      </c>
    </row>
    <row r="70" spans="1:7" x14ac:dyDescent="0.25">
      <c r="A70" t="s">
        <v>5</v>
      </c>
      <c r="B70">
        <v>68</v>
      </c>
      <c r="C70">
        <v>30</v>
      </c>
      <c r="D70">
        <v>3.30460524559021</v>
      </c>
      <c r="E70" t="s">
        <v>10</v>
      </c>
      <c r="F70" t="s">
        <v>15</v>
      </c>
      <c r="G70">
        <v>5</v>
      </c>
    </row>
    <row r="71" spans="1:7" x14ac:dyDescent="0.25">
      <c r="A71" t="s">
        <v>5</v>
      </c>
      <c r="B71">
        <v>69</v>
      </c>
      <c r="C71">
        <v>80</v>
      </c>
      <c r="D71">
        <v>3.1658973693847656</v>
      </c>
      <c r="E71" t="s">
        <v>10</v>
      </c>
      <c r="F71" t="s">
        <v>15</v>
      </c>
      <c r="G71">
        <v>2.1</v>
      </c>
    </row>
    <row r="72" spans="1:7" x14ac:dyDescent="0.25">
      <c r="A72" t="s">
        <v>5</v>
      </c>
      <c r="B72">
        <v>70</v>
      </c>
      <c r="C72">
        <v>100</v>
      </c>
      <c r="D72">
        <v>14.093654155731201</v>
      </c>
      <c r="E72" t="s">
        <v>10</v>
      </c>
      <c r="F72" t="s">
        <v>11</v>
      </c>
      <c r="G72">
        <v>6.8</v>
      </c>
    </row>
    <row r="73" spans="1:7" x14ac:dyDescent="0.25">
      <c r="A73" t="s">
        <v>5</v>
      </c>
      <c r="B73">
        <v>71</v>
      </c>
      <c r="C73">
        <v>50</v>
      </c>
      <c r="D73">
        <v>5.610675573348999</v>
      </c>
      <c r="E73" t="s">
        <v>10</v>
      </c>
      <c r="F73" t="s">
        <v>11</v>
      </c>
      <c r="G73">
        <v>6.8</v>
      </c>
    </row>
    <row r="74" spans="1:7" x14ac:dyDescent="0.25">
      <c r="A74" t="s">
        <v>5</v>
      </c>
      <c r="B74">
        <v>72</v>
      </c>
      <c r="C74">
        <v>0</v>
      </c>
      <c r="D74">
        <v>13.201036930084229</v>
      </c>
      <c r="E74" t="s">
        <v>10</v>
      </c>
      <c r="F74" t="s">
        <v>11</v>
      </c>
      <c r="G74">
        <v>6.8</v>
      </c>
    </row>
    <row r="75" spans="1:7" x14ac:dyDescent="0.25">
      <c r="A75" t="s">
        <v>5</v>
      </c>
      <c r="B75">
        <v>73</v>
      </c>
      <c r="C75">
        <v>37</v>
      </c>
      <c r="D75">
        <v>6.3948736190795898</v>
      </c>
      <c r="E75" t="s">
        <v>10</v>
      </c>
      <c r="F75" t="s">
        <v>11</v>
      </c>
      <c r="G75">
        <v>6.8</v>
      </c>
    </row>
    <row r="76" spans="1:7" x14ac:dyDescent="0.25">
      <c r="A76" t="s">
        <v>5</v>
      </c>
      <c r="B76">
        <v>74</v>
      </c>
      <c r="C76">
        <v>67</v>
      </c>
      <c r="D76">
        <v>3.4831922054290771</v>
      </c>
      <c r="E76" t="s">
        <v>10</v>
      </c>
      <c r="F76" t="s">
        <v>13</v>
      </c>
      <c r="G76">
        <v>7.5</v>
      </c>
    </row>
    <row r="77" spans="1:7" x14ac:dyDescent="0.25">
      <c r="A77" t="s">
        <v>5</v>
      </c>
      <c r="B77">
        <v>75</v>
      </c>
      <c r="C77">
        <v>60</v>
      </c>
      <c r="D77">
        <v>4.6749541759490967</v>
      </c>
      <c r="E77" t="s">
        <v>10</v>
      </c>
      <c r="F77" t="s">
        <v>15</v>
      </c>
      <c r="G77">
        <v>5</v>
      </c>
    </row>
    <row r="78" spans="1:7" x14ac:dyDescent="0.25">
      <c r="A78" t="s">
        <v>5</v>
      </c>
      <c r="B78">
        <v>76</v>
      </c>
      <c r="C78">
        <v>100</v>
      </c>
      <c r="D78">
        <v>3.9187994003295898</v>
      </c>
      <c r="E78" t="s">
        <v>10</v>
      </c>
      <c r="F78" t="s">
        <v>11</v>
      </c>
      <c r="G78">
        <v>7.5</v>
      </c>
    </row>
    <row r="79" spans="1:7" x14ac:dyDescent="0.25">
      <c r="A79" t="s">
        <v>5</v>
      </c>
      <c r="B79">
        <v>77</v>
      </c>
      <c r="C79">
        <v>20</v>
      </c>
      <c r="D79">
        <v>3.4269564151763916</v>
      </c>
      <c r="E79" t="s">
        <v>10</v>
      </c>
      <c r="F79" t="s">
        <v>11</v>
      </c>
      <c r="G79">
        <v>7.5</v>
      </c>
    </row>
    <row r="80" spans="1:7" x14ac:dyDescent="0.25">
      <c r="A80" t="s">
        <v>5</v>
      </c>
      <c r="B80">
        <v>78</v>
      </c>
      <c r="C80">
        <v>16</v>
      </c>
      <c r="D80">
        <v>2.941204309463501</v>
      </c>
      <c r="E80" t="s">
        <v>10</v>
      </c>
      <c r="F80" t="s">
        <v>11</v>
      </c>
      <c r="G80">
        <v>7.5</v>
      </c>
    </row>
    <row r="81" spans="1:7" x14ac:dyDescent="0.25">
      <c r="A81" t="s">
        <v>5</v>
      </c>
      <c r="B81">
        <v>79</v>
      </c>
      <c r="C81">
        <v>100</v>
      </c>
      <c r="D81">
        <v>5.0355803966522217</v>
      </c>
      <c r="E81" t="s">
        <v>10</v>
      </c>
      <c r="F81" t="s">
        <v>11</v>
      </c>
      <c r="G81">
        <v>7.5</v>
      </c>
    </row>
    <row r="82" spans="1:7" x14ac:dyDescent="0.25">
      <c r="A82" t="s">
        <v>5</v>
      </c>
      <c r="B82">
        <v>80</v>
      </c>
      <c r="C82">
        <v>87</v>
      </c>
      <c r="D82">
        <v>5.0728459358215332</v>
      </c>
      <c r="E82" t="s">
        <v>10</v>
      </c>
      <c r="F82" t="s">
        <v>11</v>
      </c>
      <c r="G82">
        <v>7.5</v>
      </c>
    </row>
    <row r="83" spans="1:7" x14ac:dyDescent="0.25">
      <c r="A83" t="s">
        <v>5</v>
      </c>
      <c r="B83">
        <v>81</v>
      </c>
      <c r="C83">
        <v>80</v>
      </c>
      <c r="D83">
        <v>3.9956560134887695</v>
      </c>
      <c r="E83" t="s">
        <v>10</v>
      </c>
      <c r="F83" t="s">
        <v>11</v>
      </c>
      <c r="G83">
        <v>7.5</v>
      </c>
    </row>
    <row r="84" spans="1:7" x14ac:dyDescent="0.25">
      <c r="A84" t="s">
        <v>5</v>
      </c>
      <c r="B84">
        <v>82</v>
      </c>
      <c r="C84">
        <v>100</v>
      </c>
      <c r="D84">
        <v>3.3917407989501953</v>
      </c>
      <c r="E84" t="s">
        <v>10</v>
      </c>
      <c r="F84" t="s">
        <v>11</v>
      </c>
      <c r="G84">
        <v>7.5</v>
      </c>
    </row>
    <row r="85" spans="1:7" x14ac:dyDescent="0.25">
      <c r="A85" t="s">
        <v>5</v>
      </c>
      <c r="B85">
        <v>83</v>
      </c>
      <c r="C85">
        <v>21</v>
      </c>
      <c r="D85">
        <v>3.5756165981292725</v>
      </c>
      <c r="E85" t="s">
        <v>10</v>
      </c>
      <c r="F85" t="s">
        <v>22</v>
      </c>
      <c r="G85">
        <v>6.8</v>
      </c>
    </row>
    <row r="86" spans="1:7" x14ac:dyDescent="0.25">
      <c r="A86" t="s">
        <v>5</v>
      </c>
      <c r="B86">
        <v>84</v>
      </c>
      <c r="C86">
        <v>30</v>
      </c>
      <c r="D86">
        <v>3.1294035911560059</v>
      </c>
      <c r="E86" t="s">
        <v>19</v>
      </c>
      <c r="F86" t="s">
        <v>15</v>
      </c>
      <c r="G86">
        <v>5</v>
      </c>
    </row>
    <row r="87" spans="1:7" x14ac:dyDescent="0.25">
      <c r="A87" t="s">
        <v>5</v>
      </c>
      <c r="B87">
        <v>85</v>
      </c>
      <c r="C87">
        <v>20</v>
      </c>
      <c r="D87">
        <v>3.6688005924224854</v>
      </c>
      <c r="E87" t="s">
        <v>19</v>
      </c>
      <c r="F87" t="s">
        <v>15</v>
      </c>
      <c r="G87">
        <v>5</v>
      </c>
    </row>
    <row r="88" spans="1:7" x14ac:dyDescent="0.25">
      <c r="A88" t="s">
        <v>5</v>
      </c>
      <c r="B88">
        <v>86</v>
      </c>
      <c r="C88">
        <v>100</v>
      </c>
      <c r="D88">
        <v>11.319865465164185</v>
      </c>
      <c r="E88" t="s">
        <v>10</v>
      </c>
      <c r="F88" t="s">
        <v>21</v>
      </c>
      <c r="G88">
        <v>4.3</v>
      </c>
    </row>
    <row r="89" spans="1:7" x14ac:dyDescent="0.25">
      <c r="A89" t="s">
        <v>5</v>
      </c>
      <c r="B89">
        <v>87</v>
      </c>
      <c r="C89">
        <v>27</v>
      </c>
      <c r="D89">
        <v>6.0673823356628418</v>
      </c>
      <c r="E89" t="s">
        <v>10</v>
      </c>
      <c r="F89" t="s">
        <v>23</v>
      </c>
      <c r="G89">
        <v>9.3000000000000007</v>
      </c>
    </row>
    <row r="90" spans="1:7" x14ac:dyDescent="0.25">
      <c r="A90" t="s">
        <v>5</v>
      </c>
      <c r="B90">
        <v>88</v>
      </c>
      <c r="C90">
        <v>37</v>
      </c>
      <c r="D90">
        <v>3.9770584106445313</v>
      </c>
      <c r="E90" t="s">
        <v>10</v>
      </c>
      <c r="F90" t="s">
        <v>21</v>
      </c>
      <c r="G90">
        <v>5</v>
      </c>
    </row>
    <row r="91" spans="1:7" x14ac:dyDescent="0.25">
      <c r="A91" t="s">
        <v>5</v>
      </c>
      <c r="B91">
        <v>89</v>
      </c>
      <c r="C91">
        <v>70</v>
      </c>
      <c r="D91">
        <v>4.5685431957244873</v>
      </c>
      <c r="E91" t="s">
        <v>19</v>
      </c>
      <c r="F91" t="s">
        <v>15</v>
      </c>
      <c r="G91">
        <v>5</v>
      </c>
    </row>
    <row r="92" spans="1:7" x14ac:dyDescent="0.25">
      <c r="A92" t="s">
        <v>5</v>
      </c>
      <c r="B92">
        <v>90</v>
      </c>
      <c r="C92">
        <v>16</v>
      </c>
      <c r="D92">
        <v>4.3924381732940674</v>
      </c>
      <c r="E92" t="s">
        <v>19</v>
      </c>
      <c r="F92" t="s">
        <v>20</v>
      </c>
      <c r="G92">
        <v>7.5</v>
      </c>
    </row>
    <row r="93" spans="1:7" x14ac:dyDescent="0.25">
      <c r="A93" t="s">
        <v>5</v>
      </c>
      <c r="B93">
        <v>91</v>
      </c>
      <c r="C93">
        <v>100</v>
      </c>
      <c r="D93">
        <v>5.0991628170013428</v>
      </c>
      <c r="E93" t="s">
        <v>10</v>
      </c>
      <c r="F93" t="s">
        <v>13</v>
      </c>
      <c r="G93">
        <v>4.4000000000000004</v>
      </c>
    </row>
    <row r="94" spans="1:7" x14ac:dyDescent="0.25">
      <c r="A94" t="s">
        <v>5</v>
      </c>
      <c r="B94">
        <v>92</v>
      </c>
      <c r="C94">
        <v>0</v>
      </c>
      <c r="D94">
        <v>12.238630056381226</v>
      </c>
      <c r="E94" t="s">
        <v>10</v>
      </c>
      <c r="F94" t="s">
        <v>13</v>
      </c>
      <c r="G94">
        <v>4.4000000000000004</v>
      </c>
    </row>
    <row r="95" spans="1:7" x14ac:dyDescent="0.25">
      <c r="A95" t="s">
        <v>5</v>
      </c>
      <c r="B95">
        <v>93</v>
      </c>
      <c r="C95">
        <v>70</v>
      </c>
      <c r="D95">
        <v>14.362727880477905</v>
      </c>
      <c r="E95" t="s">
        <v>10</v>
      </c>
      <c r="F95" t="s">
        <v>13</v>
      </c>
      <c r="G95">
        <v>4.4000000000000004</v>
      </c>
    </row>
    <row r="96" spans="1:7" x14ac:dyDescent="0.25">
      <c r="A96" t="s">
        <v>5</v>
      </c>
      <c r="B96">
        <v>94</v>
      </c>
      <c r="C96">
        <v>90</v>
      </c>
      <c r="D96">
        <v>12.388636589050293</v>
      </c>
      <c r="E96" t="s">
        <v>10</v>
      </c>
      <c r="F96" t="s">
        <v>20</v>
      </c>
      <c r="G96">
        <v>7.5</v>
      </c>
    </row>
    <row r="97" spans="1:7" x14ac:dyDescent="0.25">
      <c r="A97" t="s">
        <v>5</v>
      </c>
      <c r="B97">
        <v>95</v>
      </c>
      <c r="C97">
        <v>100</v>
      </c>
      <c r="D97">
        <v>4.2319653034210205</v>
      </c>
      <c r="E97" t="s">
        <v>10</v>
      </c>
      <c r="F97" t="s">
        <v>13</v>
      </c>
      <c r="G97">
        <v>5.8</v>
      </c>
    </row>
    <row r="98" spans="1:7" x14ac:dyDescent="0.25">
      <c r="A98" t="s">
        <v>5</v>
      </c>
      <c r="B98">
        <v>96</v>
      </c>
      <c r="C98">
        <v>100</v>
      </c>
      <c r="D98">
        <v>4.202228307723999</v>
      </c>
      <c r="E98" t="s">
        <v>10</v>
      </c>
      <c r="F98" t="s">
        <v>13</v>
      </c>
      <c r="G98">
        <v>5.8</v>
      </c>
    </row>
    <row r="99" spans="1:7" x14ac:dyDescent="0.25">
      <c r="A99" t="s">
        <v>5</v>
      </c>
      <c r="B99">
        <v>97</v>
      </c>
      <c r="C99">
        <v>100</v>
      </c>
      <c r="D99">
        <v>4.1283597946166992</v>
      </c>
      <c r="E99" t="s">
        <v>10</v>
      </c>
      <c r="F99" t="s">
        <v>14</v>
      </c>
      <c r="G99">
        <v>5</v>
      </c>
    </row>
    <row r="100" spans="1:7" x14ac:dyDescent="0.25">
      <c r="A100" t="s">
        <v>5</v>
      </c>
      <c r="B100">
        <v>98</v>
      </c>
      <c r="C100">
        <v>57</v>
      </c>
      <c r="D100">
        <v>2.7236618995666504</v>
      </c>
      <c r="E100" t="s">
        <v>10</v>
      </c>
      <c r="F100" t="s">
        <v>15</v>
      </c>
      <c r="G100">
        <v>1.2</v>
      </c>
    </row>
    <row r="101" spans="1:7" x14ac:dyDescent="0.25">
      <c r="A101" t="s">
        <v>5</v>
      </c>
      <c r="B101">
        <v>99</v>
      </c>
      <c r="C101">
        <v>70</v>
      </c>
      <c r="D101">
        <v>2.7993676662445068</v>
      </c>
      <c r="E101" t="s">
        <v>10</v>
      </c>
      <c r="F101" t="s">
        <v>15</v>
      </c>
      <c r="G101">
        <v>5</v>
      </c>
    </row>
    <row r="102" spans="1:7" x14ac:dyDescent="0.25">
      <c r="A102" t="s">
        <v>5</v>
      </c>
      <c r="B102">
        <v>100</v>
      </c>
      <c r="C102">
        <v>40</v>
      </c>
      <c r="D102">
        <v>2.8230178356170654</v>
      </c>
      <c r="E102" t="s">
        <v>10</v>
      </c>
      <c r="F102" t="s">
        <v>15</v>
      </c>
      <c r="G102">
        <v>5</v>
      </c>
    </row>
    <row r="103" spans="1:7" x14ac:dyDescent="0.25">
      <c r="A103" t="s">
        <v>5</v>
      </c>
      <c r="B103">
        <v>101</v>
      </c>
      <c r="C103">
        <v>89</v>
      </c>
      <c r="D103">
        <v>8.3103258609771729</v>
      </c>
      <c r="E103" t="s">
        <v>19</v>
      </c>
      <c r="F103" t="s">
        <v>15</v>
      </c>
      <c r="G103">
        <v>5</v>
      </c>
    </row>
    <row r="104" spans="1:7" x14ac:dyDescent="0.25">
      <c r="A104" t="s">
        <v>5</v>
      </c>
      <c r="B104">
        <v>102</v>
      </c>
      <c r="C104">
        <v>70</v>
      </c>
      <c r="D104">
        <v>2.8985495567321777</v>
      </c>
      <c r="E104" t="s">
        <v>10</v>
      </c>
      <c r="F104" t="s">
        <v>11</v>
      </c>
      <c r="G104">
        <v>4.3</v>
      </c>
    </row>
    <row r="105" spans="1:7" x14ac:dyDescent="0.25">
      <c r="A105" t="s">
        <v>5</v>
      </c>
      <c r="B105">
        <v>103</v>
      </c>
      <c r="C105">
        <v>67</v>
      </c>
      <c r="D105">
        <v>6.0813238620758057</v>
      </c>
      <c r="E105" t="s">
        <v>10</v>
      </c>
      <c r="F105" t="s">
        <v>17</v>
      </c>
      <c r="G105">
        <v>5</v>
      </c>
    </row>
    <row r="106" spans="1:7" x14ac:dyDescent="0.25">
      <c r="A106" t="s">
        <v>5</v>
      </c>
      <c r="B106">
        <v>104</v>
      </c>
      <c r="C106">
        <v>37</v>
      </c>
      <c r="D106">
        <v>4.4877269268035889</v>
      </c>
      <c r="E106" t="s">
        <v>10</v>
      </c>
      <c r="F106" t="s">
        <v>17</v>
      </c>
      <c r="G106">
        <v>5</v>
      </c>
    </row>
    <row r="107" spans="1:7" x14ac:dyDescent="0.25">
      <c r="A107" t="s">
        <v>5</v>
      </c>
      <c r="B107">
        <v>105</v>
      </c>
      <c r="C107">
        <v>37</v>
      </c>
      <c r="D107">
        <v>4.0207390785217285</v>
      </c>
      <c r="E107" t="s">
        <v>10</v>
      </c>
      <c r="F107" t="s">
        <v>17</v>
      </c>
      <c r="G107">
        <v>5</v>
      </c>
    </row>
    <row r="108" spans="1:7" x14ac:dyDescent="0.25">
      <c r="A108" t="s">
        <v>5</v>
      </c>
      <c r="B108">
        <v>106</v>
      </c>
      <c r="C108">
        <v>70</v>
      </c>
      <c r="D108">
        <v>3.7433207035064697</v>
      </c>
      <c r="E108" t="s">
        <v>10</v>
      </c>
      <c r="F108" t="s">
        <v>17</v>
      </c>
      <c r="G108">
        <v>5</v>
      </c>
    </row>
    <row r="109" spans="1:7" x14ac:dyDescent="0.25">
      <c r="A109" t="s">
        <v>5</v>
      </c>
      <c r="B109">
        <v>107</v>
      </c>
      <c r="C109">
        <v>100</v>
      </c>
      <c r="D109">
        <v>5.440809965133667</v>
      </c>
      <c r="E109" t="s">
        <v>10</v>
      </c>
      <c r="F109" t="s">
        <v>17</v>
      </c>
      <c r="G109">
        <v>5</v>
      </c>
    </row>
    <row r="110" spans="1:7" x14ac:dyDescent="0.25">
      <c r="A110" t="s">
        <v>5</v>
      </c>
      <c r="B110">
        <v>108</v>
      </c>
      <c r="C110">
        <v>100</v>
      </c>
      <c r="D110">
        <v>4.1290442943572998</v>
      </c>
      <c r="E110" t="s">
        <v>10</v>
      </c>
      <c r="F110" t="s">
        <v>17</v>
      </c>
      <c r="G110">
        <v>5</v>
      </c>
    </row>
    <row r="111" spans="1:7" x14ac:dyDescent="0.25">
      <c r="A111" t="s">
        <v>5</v>
      </c>
      <c r="B111">
        <v>109</v>
      </c>
      <c r="C111">
        <v>82</v>
      </c>
      <c r="D111">
        <v>15.97148060798645</v>
      </c>
      <c r="E111" t="s">
        <v>10</v>
      </c>
      <c r="F111" t="s">
        <v>17</v>
      </c>
      <c r="G111">
        <v>5</v>
      </c>
    </row>
    <row r="112" spans="1:7" x14ac:dyDescent="0.25">
      <c r="A112" t="s">
        <v>5</v>
      </c>
      <c r="B112">
        <v>110</v>
      </c>
      <c r="C112">
        <v>57</v>
      </c>
      <c r="D112">
        <v>3.2799115180969238</v>
      </c>
      <c r="E112" t="s">
        <v>10</v>
      </c>
      <c r="F112" t="s">
        <v>17</v>
      </c>
      <c r="G112">
        <v>5</v>
      </c>
    </row>
    <row r="113" spans="1:7" x14ac:dyDescent="0.25">
      <c r="A113" t="s">
        <v>5</v>
      </c>
      <c r="B113">
        <v>111</v>
      </c>
      <c r="C113">
        <v>50</v>
      </c>
      <c r="D113">
        <v>2.9905190467834473</v>
      </c>
      <c r="E113" t="s">
        <v>10</v>
      </c>
      <c r="F113" t="s">
        <v>13</v>
      </c>
      <c r="G113">
        <v>4.3</v>
      </c>
    </row>
    <row r="114" spans="1:7" x14ac:dyDescent="0.25">
      <c r="A114" t="s">
        <v>5</v>
      </c>
      <c r="B114">
        <v>112</v>
      </c>
      <c r="C114">
        <v>30</v>
      </c>
      <c r="D114">
        <v>4.1861214637756348</v>
      </c>
      <c r="E114" t="s">
        <v>10</v>
      </c>
      <c r="F114" t="s">
        <v>13</v>
      </c>
      <c r="G114">
        <v>4.3</v>
      </c>
    </row>
    <row r="115" spans="1:7" x14ac:dyDescent="0.25">
      <c r="A115" t="s">
        <v>5</v>
      </c>
      <c r="B115">
        <v>113</v>
      </c>
      <c r="C115">
        <v>10</v>
      </c>
      <c r="D115">
        <v>12.207775831222534</v>
      </c>
      <c r="E115" t="s">
        <v>10</v>
      </c>
      <c r="F115" t="s">
        <v>13</v>
      </c>
      <c r="G115">
        <v>4.3</v>
      </c>
    </row>
    <row r="116" spans="1:7" x14ac:dyDescent="0.25">
      <c r="A116" t="s">
        <v>5</v>
      </c>
      <c r="B116">
        <v>114</v>
      </c>
      <c r="C116">
        <v>50</v>
      </c>
      <c r="D116">
        <v>8.9642999172210693</v>
      </c>
      <c r="E116" t="s">
        <v>10</v>
      </c>
      <c r="F116" t="s">
        <v>14</v>
      </c>
      <c r="G116">
        <v>6.4</v>
      </c>
    </row>
    <row r="117" spans="1:7" x14ac:dyDescent="0.25">
      <c r="A117" t="s">
        <v>5</v>
      </c>
      <c r="B117">
        <v>115</v>
      </c>
      <c r="C117">
        <v>20</v>
      </c>
      <c r="D117">
        <v>3.7177464962005615</v>
      </c>
      <c r="E117" t="s">
        <v>10</v>
      </c>
      <c r="F117" t="s">
        <v>14</v>
      </c>
      <c r="G117">
        <v>6.4</v>
      </c>
    </row>
    <row r="118" spans="1:7" x14ac:dyDescent="0.25">
      <c r="A118" t="s">
        <v>5</v>
      </c>
      <c r="B118">
        <v>116</v>
      </c>
      <c r="C118">
        <v>100</v>
      </c>
      <c r="D118">
        <v>4.3447284698486328</v>
      </c>
      <c r="E118" t="s">
        <v>10</v>
      </c>
      <c r="F118" t="s">
        <v>14</v>
      </c>
      <c r="G118">
        <v>6.4</v>
      </c>
    </row>
    <row r="119" spans="1:7" x14ac:dyDescent="0.25">
      <c r="A119" t="s">
        <v>5</v>
      </c>
      <c r="B119">
        <v>117</v>
      </c>
      <c r="C119">
        <v>100</v>
      </c>
      <c r="D119">
        <v>4.5092973709106445</v>
      </c>
      <c r="E119" t="s">
        <v>10</v>
      </c>
      <c r="F119" t="s">
        <v>14</v>
      </c>
      <c r="G119">
        <v>6.4</v>
      </c>
    </row>
    <row r="120" spans="1:7" x14ac:dyDescent="0.25">
      <c r="A120" t="s">
        <v>5</v>
      </c>
      <c r="B120">
        <v>118</v>
      </c>
      <c r="C120">
        <v>81</v>
      </c>
      <c r="D120">
        <v>16.034832239151001</v>
      </c>
      <c r="E120" t="s">
        <v>10</v>
      </c>
      <c r="F120" t="s">
        <v>11</v>
      </c>
      <c r="G120">
        <v>6.8</v>
      </c>
    </row>
    <row r="121" spans="1:7" x14ac:dyDescent="0.25">
      <c r="A121" t="s">
        <v>5</v>
      </c>
      <c r="B121">
        <v>119</v>
      </c>
      <c r="C121">
        <v>100</v>
      </c>
      <c r="D121">
        <v>7.9512507915496826</v>
      </c>
      <c r="E121" t="s">
        <v>10</v>
      </c>
      <c r="F121" t="s">
        <v>11</v>
      </c>
      <c r="G121">
        <v>5</v>
      </c>
    </row>
    <row r="122" spans="1:7" x14ac:dyDescent="0.25">
      <c r="A122" t="s">
        <v>5</v>
      </c>
      <c r="B122">
        <v>120</v>
      </c>
      <c r="C122">
        <v>100</v>
      </c>
      <c r="D122">
        <v>7.7275989055633545</v>
      </c>
      <c r="E122" t="s">
        <v>10</v>
      </c>
      <c r="F122" t="s">
        <v>13</v>
      </c>
      <c r="G122">
        <v>9.3000000000000007</v>
      </c>
    </row>
    <row r="123" spans="1:7" x14ac:dyDescent="0.25">
      <c r="A123" t="s">
        <v>5</v>
      </c>
      <c r="B123">
        <v>121</v>
      </c>
      <c r="C123">
        <v>100</v>
      </c>
      <c r="D123">
        <v>3.9748973846435547</v>
      </c>
      <c r="E123" t="s">
        <v>10</v>
      </c>
      <c r="F123" t="s">
        <v>13</v>
      </c>
      <c r="G123">
        <v>5.8</v>
      </c>
    </row>
    <row r="124" spans="1:7" x14ac:dyDescent="0.25">
      <c r="A124" t="s">
        <v>5</v>
      </c>
      <c r="B124">
        <v>122</v>
      </c>
      <c r="C124">
        <v>100</v>
      </c>
      <c r="D124">
        <v>2.888296365737915</v>
      </c>
      <c r="E124" t="s">
        <v>10</v>
      </c>
      <c r="F124" t="s">
        <v>24</v>
      </c>
      <c r="G124">
        <v>4.5999999999999996</v>
      </c>
    </row>
    <row r="125" spans="1:7" x14ac:dyDescent="0.25">
      <c r="A125" t="s">
        <v>5</v>
      </c>
      <c r="B125">
        <v>123</v>
      </c>
      <c r="C125">
        <v>87</v>
      </c>
      <c r="D125">
        <v>4.1069507598876953</v>
      </c>
      <c r="E125" t="s">
        <v>10</v>
      </c>
      <c r="F125" t="s">
        <v>25</v>
      </c>
      <c r="G125">
        <v>9.3000000000000007</v>
      </c>
    </row>
    <row r="126" spans="1:7" x14ac:dyDescent="0.25">
      <c r="A126" t="s">
        <v>5</v>
      </c>
      <c r="B126">
        <v>124</v>
      </c>
      <c r="C126">
        <v>100</v>
      </c>
      <c r="D126">
        <v>4.3063421249389648</v>
      </c>
      <c r="E126" t="s">
        <v>10</v>
      </c>
      <c r="F126" t="s">
        <v>25</v>
      </c>
      <c r="G126">
        <v>9.3000000000000007</v>
      </c>
    </row>
    <row r="127" spans="1:7" x14ac:dyDescent="0.25">
      <c r="A127" t="s">
        <v>5</v>
      </c>
      <c r="B127">
        <v>125</v>
      </c>
      <c r="C127">
        <v>16</v>
      </c>
      <c r="D127">
        <v>2.7352128028869629</v>
      </c>
      <c r="E127" t="s">
        <v>10</v>
      </c>
      <c r="F127" t="s">
        <v>17</v>
      </c>
      <c r="G127">
        <v>2.1</v>
      </c>
    </row>
    <row r="128" spans="1:7" x14ac:dyDescent="0.25">
      <c r="A128" t="s">
        <v>5</v>
      </c>
      <c r="B128">
        <v>126</v>
      </c>
      <c r="C128">
        <v>100</v>
      </c>
      <c r="D128">
        <v>4.3576204776763916</v>
      </c>
      <c r="E128" t="s">
        <v>10</v>
      </c>
      <c r="F128" t="s">
        <v>22</v>
      </c>
      <c r="G128">
        <v>6.8</v>
      </c>
    </row>
    <row r="129" spans="1:7" x14ac:dyDescent="0.25">
      <c r="A129" t="s">
        <v>5</v>
      </c>
      <c r="B129">
        <v>127</v>
      </c>
      <c r="C129">
        <v>21</v>
      </c>
      <c r="D129">
        <v>2.773956298828125</v>
      </c>
      <c r="E129" t="s">
        <v>10</v>
      </c>
      <c r="F129" t="s">
        <v>22</v>
      </c>
      <c r="G129">
        <v>6.8</v>
      </c>
    </row>
    <row r="130" spans="1:7" x14ac:dyDescent="0.25">
      <c r="A130" t="s">
        <v>5</v>
      </c>
      <c r="B130">
        <v>128</v>
      </c>
      <c r="C130">
        <v>30</v>
      </c>
      <c r="D130">
        <v>2.7479677200317383</v>
      </c>
      <c r="E130" t="s">
        <v>10</v>
      </c>
      <c r="F130" t="s">
        <v>21</v>
      </c>
      <c r="G130">
        <v>4.5999999999999996</v>
      </c>
    </row>
    <row r="131" spans="1:7" x14ac:dyDescent="0.25">
      <c r="A131" t="s">
        <v>5</v>
      </c>
      <c r="B131">
        <v>129</v>
      </c>
      <c r="C131">
        <v>16</v>
      </c>
      <c r="D131">
        <v>4.4302995204925537</v>
      </c>
      <c r="E131" t="s">
        <v>10</v>
      </c>
      <c r="F131" t="s">
        <v>15</v>
      </c>
      <c r="G131">
        <v>3.6</v>
      </c>
    </row>
    <row r="132" spans="1:7" x14ac:dyDescent="0.25">
      <c r="A132" t="s">
        <v>5</v>
      </c>
      <c r="B132">
        <v>130</v>
      </c>
      <c r="C132">
        <v>1</v>
      </c>
      <c r="D132">
        <v>14.899796485900879</v>
      </c>
      <c r="E132" t="s">
        <v>10</v>
      </c>
      <c r="F132" t="s">
        <v>13</v>
      </c>
      <c r="G132">
        <v>4.3</v>
      </c>
    </row>
    <row r="133" spans="1:7" x14ac:dyDescent="0.25">
      <c r="A133" t="s">
        <v>5</v>
      </c>
      <c r="B133">
        <v>131</v>
      </c>
      <c r="C133">
        <v>100</v>
      </c>
      <c r="D133">
        <v>12.529343128204346</v>
      </c>
      <c r="E133" t="s">
        <v>10</v>
      </c>
      <c r="F133" t="s">
        <v>13</v>
      </c>
      <c r="G133">
        <v>4.3</v>
      </c>
    </row>
    <row r="134" spans="1:7" x14ac:dyDescent="0.25">
      <c r="A134" t="s">
        <v>5</v>
      </c>
      <c r="B134">
        <v>132</v>
      </c>
      <c r="C134">
        <v>85</v>
      </c>
      <c r="D134">
        <v>15.695203542709351</v>
      </c>
      <c r="E134" t="s">
        <v>10</v>
      </c>
      <c r="F134" t="s">
        <v>15</v>
      </c>
      <c r="G134">
        <v>4</v>
      </c>
    </row>
    <row r="135" spans="1:7" x14ac:dyDescent="0.25">
      <c r="A135" t="s">
        <v>5</v>
      </c>
      <c r="B135">
        <v>133</v>
      </c>
      <c r="C135">
        <v>90</v>
      </c>
      <c r="D135">
        <v>7.8501811027526855</v>
      </c>
      <c r="E135" t="s">
        <v>10</v>
      </c>
      <c r="F135" t="s">
        <v>13</v>
      </c>
      <c r="G135">
        <v>6.8</v>
      </c>
    </row>
    <row r="136" spans="1:7" x14ac:dyDescent="0.25">
      <c r="A136" t="s">
        <v>5</v>
      </c>
      <c r="B136">
        <v>134</v>
      </c>
      <c r="C136">
        <v>100</v>
      </c>
      <c r="D136">
        <v>4.0011191368103027</v>
      </c>
      <c r="E136" t="s">
        <v>10</v>
      </c>
      <c r="F136" t="s">
        <v>13</v>
      </c>
      <c r="G136">
        <v>6.8</v>
      </c>
    </row>
    <row r="137" spans="1:7" x14ac:dyDescent="0.25">
      <c r="A137" t="s">
        <v>5</v>
      </c>
      <c r="B137">
        <v>135</v>
      </c>
      <c r="C137">
        <v>16</v>
      </c>
      <c r="D137">
        <v>3.096867561340332</v>
      </c>
      <c r="E137" t="s">
        <v>10</v>
      </c>
      <c r="F137" t="s">
        <v>21</v>
      </c>
      <c r="G137">
        <v>6.8</v>
      </c>
    </row>
    <row r="138" spans="1:7" x14ac:dyDescent="0.25">
      <c r="A138" t="s">
        <v>5</v>
      </c>
      <c r="B138">
        <v>136</v>
      </c>
      <c r="C138">
        <v>16</v>
      </c>
      <c r="D138">
        <v>3.144366979598999</v>
      </c>
      <c r="E138" t="s">
        <v>10</v>
      </c>
      <c r="F138" t="s">
        <v>21</v>
      </c>
      <c r="G138">
        <v>6.8</v>
      </c>
    </row>
    <row r="139" spans="1:7" x14ac:dyDescent="0.25">
      <c r="A139" t="s">
        <v>5</v>
      </c>
      <c r="B139">
        <v>137</v>
      </c>
      <c r="C139">
        <v>100</v>
      </c>
      <c r="D139">
        <v>15.779600381851196</v>
      </c>
      <c r="E139" t="s">
        <v>10</v>
      </c>
      <c r="F139" t="s">
        <v>21</v>
      </c>
      <c r="G139">
        <v>9.3000000000000007</v>
      </c>
    </row>
    <row r="140" spans="1:7" x14ac:dyDescent="0.25">
      <c r="A140" t="s">
        <v>5</v>
      </c>
      <c r="B140">
        <v>138</v>
      </c>
      <c r="C140">
        <v>77</v>
      </c>
      <c r="D140">
        <v>9.9775745868682861</v>
      </c>
      <c r="E140" t="s">
        <v>10</v>
      </c>
      <c r="F140" t="s">
        <v>23</v>
      </c>
      <c r="G140">
        <v>6.8</v>
      </c>
    </row>
    <row r="141" spans="1:7" x14ac:dyDescent="0.25">
      <c r="A141" t="s">
        <v>5</v>
      </c>
      <c r="B141">
        <v>139</v>
      </c>
      <c r="C141">
        <v>87</v>
      </c>
      <c r="D141">
        <v>7.1363286972045898</v>
      </c>
      <c r="E141" t="s">
        <v>10</v>
      </c>
      <c r="F141" t="s">
        <v>23</v>
      </c>
      <c r="G141">
        <v>6.8</v>
      </c>
    </row>
    <row r="142" spans="1:7" x14ac:dyDescent="0.25">
      <c r="A142" t="s">
        <v>5</v>
      </c>
      <c r="B142">
        <v>140</v>
      </c>
      <c r="C142">
        <v>32</v>
      </c>
      <c r="D142">
        <v>7.7295713424682617</v>
      </c>
      <c r="E142" t="s">
        <v>10</v>
      </c>
      <c r="F142" t="s">
        <v>22</v>
      </c>
      <c r="G142">
        <v>6.8</v>
      </c>
    </row>
    <row r="143" spans="1:7" x14ac:dyDescent="0.25">
      <c r="A143" t="s">
        <v>5</v>
      </c>
      <c r="B143">
        <v>141</v>
      </c>
      <c r="C143">
        <v>14</v>
      </c>
      <c r="D143">
        <v>3.0889666080474854</v>
      </c>
      <c r="E143" t="s">
        <v>10</v>
      </c>
      <c r="F143" t="s">
        <v>22</v>
      </c>
      <c r="G143">
        <v>6.8</v>
      </c>
    </row>
    <row r="144" spans="1:7" x14ac:dyDescent="0.25">
      <c r="A144" t="s">
        <v>5</v>
      </c>
      <c r="B144">
        <v>142</v>
      </c>
      <c r="C144">
        <v>90</v>
      </c>
      <c r="D144">
        <v>3.5756094455718994</v>
      </c>
      <c r="E144" t="s">
        <v>10</v>
      </c>
      <c r="F144" t="s">
        <v>20</v>
      </c>
      <c r="G144">
        <v>7.7</v>
      </c>
    </row>
    <row r="145" spans="1:7" x14ac:dyDescent="0.25">
      <c r="A145" t="s">
        <v>5</v>
      </c>
      <c r="B145">
        <v>143</v>
      </c>
      <c r="C145">
        <v>16</v>
      </c>
      <c r="D145">
        <v>5.3337647914886475</v>
      </c>
      <c r="E145" t="s">
        <v>10</v>
      </c>
      <c r="F145" t="s">
        <v>20</v>
      </c>
      <c r="G145">
        <v>7.7</v>
      </c>
    </row>
    <row r="146" spans="1:7" x14ac:dyDescent="0.25">
      <c r="A146" t="s">
        <v>5</v>
      </c>
      <c r="B146">
        <v>144</v>
      </c>
      <c r="C146">
        <v>70</v>
      </c>
      <c r="D146">
        <v>6.5337691307067871</v>
      </c>
      <c r="E146" t="s">
        <v>10</v>
      </c>
      <c r="F146" t="s">
        <v>11</v>
      </c>
      <c r="G146">
        <v>6.8</v>
      </c>
    </row>
    <row r="147" spans="1:7" x14ac:dyDescent="0.25">
      <c r="A147" t="s">
        <v>5</v>
      </c>
      <c r="B147">
        <v>145</v>
      </c>
      <c r="C147">
        <v>47</v>
      </c>
      <c r="D147">
        <v>4.2102541923522949</v>
      </c>
      <c r="E147" t="s">
        <v>10</v>
      </c>
      <c r="F147" t="s">
        <v>15</v>
      </c>
      <c r="G147">
        <v>4.9000000000000004</v>
      </c>
    </row>
    <row r="148" spans="1:7" x14ac:dyDescent="0.25">
      <c r="A148" t="s">
        <v>5</v>
      </c>
      <c r="B148">
        <v>146</v>
      </c>
      <c r="C148">
        <v>100</v>
      </c>
      <c r="D148">
        <v>11.701493263244629</v>
      </c>
      <c r="E148" t="s">
        <v>10</v>
      </c>
      <c r="F148" t="s">
        <v>18</v>
      </c>
      <c r="G148">
        <v>6.8</v>
      </c>
    </row>
    <row r="149" spans="1:7" x14ac:dyDescent="0.25">
      <c r="A149" t="s">
        <v>5</v>
      </c>
      <c r="B149">
        <v>147</v>
      </c>
      <c r="C149">
        <v>16</v>
      </c>
      <c r="D149">
        <v>4.8365375995635986</v>
      </c>
      <c r="E149" t="s">
        <v>10</v>
      </c>
      <c r="F149" t="s">
        <v>13</v>
      </c>
      <c r="G149">
        <v>5.8</v>
      </c>
    </row>
    <row r="150" spans="1:7" x14ac:dyDescent="0.25">
      <c r="A150" t="s">
        <v>5</v>
      </c>
      <c r="B150">
        <v>148</v>
      </c>
      <c r="C150">
        <v>23</v>
      </c>
      <c r="D150">
        <v>3.845205545425415</v>
      </c>
      <c r="E150" t="s">
        <v>10</v>
      </c>
      <c r="F150" t="s">
        <v>13</v>
      </c>
      <c r="G150">
        <v>5.8</v>
      </c>
    </row>
    <row r="151" spans="1:7" x14ac:dyDescent="0.25">
      <c r="A151" t="s">
        <v>5</v>
      </c>
      <c r="B151">
        <v>149</v>
      </c>
      <c r="C151">
        <v>42</v>
      </c>
      <c r="D151">
        <v>16.552708864212036</v>
      </c>
      <c r="E151" t="s">
        <v>10</v>
      </c>
      <c r="F151" t="s">
        <v>13</v>
      </c>
      <c r="G151">
        <v>5.8</v>
      </c>
    </row>
    <row r="152" spans="1:7" x14ac:dyDescent="0.25">
      <c r="A152" t="s">
        <v>5</v>
      </c>
      <c r="B152">
        <v>150</v>
      </c>
      <c r="C152">
        <v>100</v>
      </c>
      <c r="D152">
        <v>3.7242462635040283</v>
      </c>
      <c r="E152" t="s">
        <v>10</v>
      </c>
      <c r="F152" t="s">
        <v>26</v>
      </c>
      <c r="G152">
        <v>5</v>
      </c>
    </row>
    <row r="153" spans="1:7" x14ac:dyDescent="0.25">
      <c r="A153" t="s">
        <v>5</v>
      </c>
      <c r="B153">
        <v>151</v>
      </c>
      <c r="C153">
        <v>100</v>
      </c>
      <c r="D153">
        <v>6.289820671081543</v>
      </c>
      <c r="E153" t="s">
        <v>10</v>
      </c>
      <c r="F153" t="s">
        <v>14</v>
      </c>
      <c r="G153">
        <v>6.8</v>
      </c>
    </row>
    <row r="154" spans="1:7" x14ac:dyDescent="0.25">
      <c r="A154" t="s">
        <v>5</v>
      </c>
      <c r="B154">
        <v>152</v>
      </c>
      <c r="C154">
        <v>20</v>
      </c>
      <c r="D154">
        <v>3.2150559425354004</v>
      </c>
      <c r="E154" t="s">
        <v>10</v>
      </c>
      <c r="F154" t="s">
        <v>14</v>
      </c>
      <c r="G154">
        <v>2.6</v>
      </c>
    </row>
    <row r="155" spans="1:7" x14ac:dyDescent="0.25">
      <c r="A155" t="s">
        <v>5</v>
      </c>
      <c r="B155">
        <v>153</v>
      </c>
      <c r="C155">
        <v>100</v>
      </c>
      <c r="D155">
        <v>10.095155715942383</v>
      </c>
      <c r="E155" t="s">
        <v>10</v>
      </c>
      <c r="F155" t="s">
        <v>15</v>
      </c>
      <c r="G155">
        <v>4.3</v>
      </c>
    </row>
    <row r="156" spans="1:7" x14ac:dyDescent="0.25">
      <c r="A156" t="s">
        <v>5</v>
      </c>
      <c r="B156">
        <v>154</v>
      </c>
      <c r="C156">
        <v>75</v>
      </c>
      <c r="D156">
        <v>15.678341150283813</v>
      </c>
      <c r="E156" t="s">
        <v>10</v>
      </c>
      <c r="F156" t="s">
        <v>17</v>
      </c>
      <c r="G156">
        <v>5</v>
      </c>
    </row>
    <row r="157" spans="1:7" x14ac:dyDescent="0.25">
      <c r="A157" t="s">
        <v>5</v>
      </c>
      <c r="B157">
        <v>155</v>
      </c>
      <c r="C157">
        <v>74</v>
      </c>
      <c r="D157">
        <v>4.1994774341583252</v>
      </c>
      <c r="E157" t="s">
        <v>10</v>
      </c>
      <c r="F157" t="s">
        <v>15</v>
      </c>
      <c r="G157">
        <v>5</v>
      </c>
    </row>
    <row r="158" spans="1:7" x14ac:dyDescent="0.25">
      <c r="A158" t="s">
        <v>5</v>
      </c>
      <c r="B158">
        <v>156</v>
      </c>
      <c r="C158">
        <v>63</v>
      </c>
      <c r="D158">
        <v>3.1594841480255127</v>
      </c>
      <c r="E158" t="s">
        <v>10</v>
      </c>
      <c r="F158" t="s">
        <v>15</v>
      </c>
      <c r="G158">
        <v>5</v>
      </c>
    </row>
    <row r="159" spans="1:7" x14ac:dyDescent="0.25">
      <c r="A159" t="s">
        <v>5</v>
      </c>
      <c r="B159">
        <v>157</v>
      </c>
      <c r="C159">
        <v>27</v>
      </c>
      <c r="D159">
        <v>6.6732516288757324</v>
      </c>
      <c r="E159" t="s">
        <v>10</v>
      </c>
      <c r="F159" t="s">
        <v>17</v>
      </c>
      <c r="G159">
        <v>5</v>
      </c>
    </row>
    <row r="160" spans="1:7" x14ac:dyDescent="0.25">
      <c r="A160" t="s">
        <v>5</v>
      </c>
      <c r="B160">
        <v>158</v>
      </c>
      <c r="C160">
        <v>100</v>
      </c>
      <c r="D160">
        <v>11.262710571289063</v>
      </c>
      <c r="E160" t="s">
        <v>10</v>
      </c>
      <c r="F160" t="s">
        <v>22</v>
      </c>
      <c r="G160">
        <v>5</v>
      </c>
    </row>
    <row r="161" spans="1:7" x14ac:dyDescent="0.25">
      <c r="A161" t="s">
        <v>5</v>
      </c>
      <c r="B161">
        <v>159</v>
      </c>
      <c r="C161">
        <v>40</v>
      </c>
      <c r="D161">
        <v>9.7118997573852539</v>
      </c>
      <c r="E161" t="s">
        <v>10</v>
      </c>
      <c r="F161" t="s">
        <v>15</v>
      </c>
      <c r="G161">
        <v>1.9</v>
      </c>
    </row>
    <row r="162" spans="1:7" x14ac:dyDescent="0.25">
      <c r="A162" t="s">
        <v>5</v>
      </c>
      <c r="B162">
        <v>160</v>
      </c>
      <c r="C162">
        <v>100</v>
      </c>
      <c r="D162">
        <v>3.7916879653930664</v>
      </c>
      <c r="E162" t="s">
        <v>10</v>
      </c>
      <c r="F162" t="s">
        <v>13</v>
      </c>
      <c r="G162">
        <v>6.9</v>
      </c>
    </row>
    <row r="163" spans="1:7" x14ac:dyDescent="0.25">
      <c r="A163" t="s">
        <v>5</v>
      </c>
      <c r="B163">
        <v>161</v>
      </c>
      <c r="C163">
        <v>34</v>
      </c>
      <c r="D163">
        <v>4.4778580665588379</v>
      </c>
      <c r="E163" t="s">
        <v>10</v>
      </c>
      <c r="F163" t="s">
        <v>17</v>
      </c>
      <c r="G163">
        <v>4.3</v>
      </c>
    </row>
    <row r="164" spans="1:7" x14ac:dyDescent="0.25">
      <c r="A164" t="s">
        <v>5</v>
      </c>
      <c r="B164">
        <v>162</v>
      </c>
      <c r="C164">
        <v>100</v>
      </c>
      <c r="D164">
        <v>3.9413003921508789</v>
      </c>
      <c r="E164" t="s">
        <v>10</v>
      </c>
      <c r="F164" t="s">
        <v>17</v>
      </c>
      <c r="G164">
        <v>4.3</v>
      </c>
    </row>
    <row r="165" spans="1:7" x14ac:dyDescent="0.25">
      <c r="A165" t="s">
        <v>5</v>
      </c>
      <c r="B165">
        <v>163</v>
      </c>
      <c r="C165">
        <v>30</v>
      </c>
      <c r="D165">
        <v>4.1907706260681152</v>
      </c>
      <c r="E165" t="s">
        <v>10</v>
      </c>
      <c r="F165" t="s">
        <v>17</v>
      </c>
      <c r="G165">
        <v>4.3</v>
      </c>
    </row>
    <row r="166" spans="1:7" x14ac:dyDescent="0.25">
      <c r="A166" t="s">
        <v>5</v>
      </c>
      <c r="B166">
        <v>164</v>
      </c>
      <c r="C166">
        <v>100</v>
      </c>
      <c r="D166">
        <v>3.8735480308532715</v>
      </c>
      <c r="E166" t="s">
        <v>10</v>
      </c>
      <c r="F166" t="s">
        <v>17</v>
      </c>
      <c r="G166">
        <v>4.3</v>
      </c>
    </row>
    <row r="167" spans="1:7" x14ac:dyDescent="0.25">
      <c r="A167" t="s">
        <v>5</v>
      </c>
      <c r="B167">
        <v>165</v>
      </c>
      <c r="C167">
        <v>49</v>
      </c>
      <c r="D167">
        <v>3.5332386493682861</v>
      </c>
      <c r="E167" t="s">
        <v>10</v>
      </c>
      <c r="F167" t="s">
        <v>21</v>
      </c>
      <c r="G167">
        <v>10</v>
      </c>
    </row>
    <row r="168" spans="1:7" x14ac:dyDescent="0.25">
      <c r="A168" t="s">
        <v>5</v>
      </c>
      <c r="B168">
        <v>166</v>
      </c>
      <c r="C168">
        <v>75</v>
      </c>
      <c r="D168">
        <v>20.067705869674683</v>
      </c>
      <c r="E168" t="s">
        <v>19</v>
      </c>
      <c r="F168" t="s">
        <v>21</v>
      </c>
      <c r="G168">
        <v>6.8</v>
      </c>
    </row>
    <row r="169" spans="1:7" x14ac:dyDescent="0.25">
      <c r="A169" t="s">
        <v>5</v>
      </c>
      <c r="B169">
        <v>167</v>
      </c>
      <c r="C169">
        <v>27</v>
      </c>
      <c r="D169">
        <v>20.582711696624756</v>
      </c>
      <c r="E169" t="s">
        <v>19</v>
      </c>
      <c r="F169" t="s">
        <v>15</v>
      </c>
      <c r="G169">
        <v>4.3</v>
      </c>
    </row>
    <row r="170" spans="1:7" x14ac:dyDescent="0.25">
      <c r="A170" t="s">
        <v>5</v>
      </c>
      <c r="B170">
        <v>168</v>
      </c>
      <c r="C170">
        <v>100</v>
      </c>
      <c r="D170">
        <v>5.7805843353271484</v>
      </c>
      <c r="E170" t="s">
        <v>19</v>
      </c>
      <c r="F170" t="s">
        <v>15</v>
      </c>
      <c r="G170">
        <v>4.3</v>
      </c>
    </row>
    <row r="171" spans="1:7" x14ac:dyDescent="0.25">
      <c r="A171" t="s">
        <v>5</v>
      </c>
      <c r="B171">
        <v>169</v>
      </c>
      <c r="C171">
        <v>80</v>
      </c>
      <c r="D171">
        <v>9.9751501083374023</v>
      </c>
      <c r="E171" t="s">
        <v>19</v>
      </c>
      <c r="F171" t="s">
        <v>15</v>
      </c>
      <c r="G171">
        <v>4.3</v>
      </c>
    </row>
    <row r="172" spans="1:7" x14ac:dyDescent="0.25">
      <c r="A172" t="s">
        <v>5</v>
      </c>
      <c r="B172">
        <v>170</v>
      </c>
      <c r="C172">
        <v>70</v>
      </c>
      <c r="D172">
        <v>8.135897159576416</v>
      </c>
      <c r="E172" t="s">
        <v>19</v>
      </c>
      <c r="F172" t="s">
        <v>20</v>
      </c>
      <c r="G172">
        <v>6.8</v>
      </c>
    </row>
    <row r="173" spans="1:7" x14ac:dyDescent="0.25">
      <c r="A173" t="s">
        <v>5</v>
      </c>
      <c r="B173">
        <v>171</v>
      </c>
      <c r="C173">
        <v>76</v>
      </c>
      <c r="D173">
        <v>4.9663958549499512</v>
      </c>
      <c r="E173" t="s">
        <v>19</v>
      </c>
      <c r="F173" t="s">
        <v>20</v>
      </c>
      <c r="G173">
        <v>6.8</v>
      </c>
    </row>
    <row r="174" spans="1:7" x14ac:dyDescent="0.25">
      <c r="A174" t="s">
        <v>5</v>
      </c>
      <c r="B174">
        <v>172</v>
      </c>
      <c r="C174">
        <v>37</v>
      </c>
      <c r="D174">
        <v>3.4570991992950439</v>
      </c>
      <c r="E174" t="s">
        <v>19</v>
      </c>
      <c r="F174" t="s">
        <v>20</v>
      </c>
      <c r="G174">
        <v>6.8</v>
      </c>
    </row>
    <row r="175" spans="1:7" x14ac:dyDescent="0.25">
      <c r="A175" t="s">
        <v>5</v>
      </c>
      <c r="B175">
        <v>173</v>
      </c>
      <c r="C175">
        <v>100</v>
      </c>
      <c r="D175">
        <v>5.1241030693054199</v>
      </c>
      <c r="E175" t="s">
        <v>19</v>
      </c>
      <c r="F175" t="s">
        <v>20</v>
      </c>
      <c r="G175">
        <v>6.8</v>
      </c>
    </row>
    <row r="176" spans="1:7" x14ac:dyDescent="0.25">
      <c r="A176" t="s">
        <v>5</v>
      </c>
      <c r="B176">
        <v>174</v>
      </c>
      <c r="C176">
        <v>47</v>
      </c>
      <c r="D176">
        <v>4.2413017749786377</v>
      </c>
      <c r="E176" t="s">
        <v>10</v>
      </c>
      <c r="F176" t="s">
        <v>15</v>
      </c>
      <c r="G176">
        <v>6.8</v>
      </c>
    </row>
    <row r="177" spans="1:7" x14ac:dyDescent="0.25">
      <c r="A177" t="s">
        <v>5</v>
      </c>
      <c r="B177">
        <v>175</v>
      </c>
      <c r="C177">
        <v>14</v>
      </c>
      <c r="D177">
        <v>3.6384797096252441</v>
      </c>
      <c r="E177" t="s">
        <v>10</v>
      </c>
      <c r="F177" t="s">
        <v>23</v>
      </c>
      <c r="G177">
        <v>10</v>
      </c>
    </row>
    <row r="178" spans="1:7" x14ac:dyDescent="0.25">
      <c r="A178" t="s">
        <v>5</v>
      </c>
      <c r="B178">
        <v>176</v>
      </c>
      <c r="C178">
        <v>70</v>
      </c>
      <c r="D178">
        <v>4.1014554500579834</v>
      </c>
      <c r="E178" t="s">
        <v>10</v>
      </c>
      <c r="F178" t="s">
        <v>23</v>
      </c>
      <c r="G178">
        <v>10</v>
      </c>
    </row>
    <row r="179" spans="1:7" x14ac:dyDescent="0.25">
      <c r="A179" t="s">
        <v>5</v>
      </c>
      <c r="B179">
        <v>177</v>
      </c>
      <c r="C179">
        <v>57</v>
      </c>
      <c r="D179">
        <v>7.7164952754974365</v>
      </c>
      <c r="E179" t="s">
        <v>10</v>
      </c>
      <c r="F179" t="s">
        <v>23</v>
      </c>
      <c r="G179">
        <v>10</v>
      </c>
    </row>
    <row r="180" spans="1:7" x14ac:dyDescent="0.25">
      <c r="A180" t="s">
        <v>5</v>
      </c>
      <c r="B180">
        <v>178</v>
      </c>
      <c r="C180">
        <v>100</v>
      </c>
      <c r="D180">
        <v>8.4908642768859863</v>
      </c>
      <c r="E180" t="s">
        <v>10</v>
      </c>
      <c r="F180" t="s">
        <v>23</v>
      </c>
      <c r="G180">
        <v>10</v>
      </c>
    </row>
    <row r="181" spans="1:7" x14ac:dyDescent="0.25">
      <c r="A181" t="s">
        <v>5</v>
      </c>
      <c r="B181">
        <v>179</v>
      </c>
      <c r="C181">
        <v>70</v>
      </c>
      <c r="D181">
        <v>5.7232611179351807</v>
      </c>
      <c r="E181" t="s">
        <v>10</v>
      </c>
      <c r="F181" t="s">
        <v>23</v>
      </c>
      <c r="G181">
        <v>10</v>
      </c>
    </row>
    <row r="182" spans="1:7" x14ac:dyDescent="0.25">
      <c r="A182" t="s">
        <v>5</v>
      </c>
      <c r="B182">
        <v>180</v>
      </c>
      <c r="C182">
        <v>67</v>
      </c>
      <c r="D182">
        <v>2.6239767074584961</v>
      </c>
      <c r="E182" t="s">
        <v>10</v>
      </c>
      <c r="F182" t="s">
        <v>17</v>
      </c>
      <c r="G182">
        <v>5</v>
      </c>
    </row>
    <row r="183" spans="1:7" x14ac:dyDescent="0.25">
      <c r="A183" t="s">
        <v>5</v>
      </c>
      <c r="B183">
        <v>181</v>
      </c>
      <c r="C183">
        <v>90</v>
      </c>
      <c r="D183">
        <v>5.0235557556152344</v>
      </c>
      <c r="E183" t="s">
        <v>10</v>
      </c>
      <c r="F183" t="s">
        <v>22</v>
      </c>
      <c r="G183">
        <v>7.5</v>
      </c>
    </row>
    <row r="184" spans="1:7" x14ac:dyDescent="0.25">
      <c r="A184" t="s">
        <v>5</v>
      </c>
      <c r="B184">
        <v>182</v>
      </c>
      <c r="C184">
        <v>73</v>
      </c>
      <c r="D184">
        <v>4.941474437713623</v>
      </c>
      <c r="E184" t="s">
        <v>10</v>
      </c>
      <c r="F184" t="s">
        <v>22</v>
      </c>
      <c r="G184">
        <v>7.5</v>
      </c>
    </row>
    <row r="185" spans="1:7" x14ac:dyDescent="0.25">
      <c r="A185" t="s">
        <v>5</v>
      </c>
      <c r="B185">
        <v>183</v>
      </c>
      <c r="C185">
        <v>14</v>
      </c>
      <c r="D185">
        <v>6.435246467590332</v>
      </c>
      <c r="E185" t="s">
        <v>10</v>
      </c>
      <c r="F185" t="s">
        <v>13</v>
      </c>
      <c r="G185">
        <v>7.5</v>
      </c>
    </row>
    <row r="186" spans="1:7" x14ac:dyDescent="0.25">
      <c r="A186" t="s">
        <v>5</v>
      </c>
      <c r="B186">
        <v>184</v>
      </c>
      <c r="C186">
        <v>100</v>
      </c>
      <c r="D186">
        <v>4.9701995849609375</v>
      </c>
      <c r="E186" t="s">
        <v>10</v>
      </c>
      <c r="F186" t="s">
        <v>13</v>
      </c>
      <c r="G186">
        <v>7.5</v>
      </c>
    </row>
    <row r="187" spans="1:7" x14ac:dyDescent="0.25">
      <c r="A187" t="s">
        <v>5</v>
      </c>
      <c r="B187">
        <v>185</v>
      </c>
      <c r="C187">
        <v>80</v>
      </c>
      <c r="D187">
        <v>4.5828273296356201</v>
      </c>
      <c r="E187" t="s">
        <v>10</v>
      </c>
      <c r="F187" t="s">
        <v>13</v>
      </c>
      <c r="G187">
        <v>7.5</v>
      </c>
    </row>
    <row r="188" spans="1:7" x14ac:dyDescent="0.25">
      <c r="A188" t="s">
        <v>5</v>
      </c>
      <c r="B188">
        <v>186</v>
      </c>
      <c r="C188">
        <v>70</v>
      </c>
      <c r="D188">
        <v>5.2314932346343994</v>
      </c>
      <c r="E188" t="s">
        <v>10</v>
      </c>
      <c r="F188" t="s">
        <v>23</v>
      </c>
      <c r="G188">
        <v>4.3</v>
      </c>
    </row>
    <row r="189" spans="1:7" x14ac:dyDescent="0.25">
      <c r="A189" t="s">
        <v>5</v>
      </c>
      <c r="B189">
        <v>187</v>
      </c>
      <c r="C189">
        <v>40</v>
      </c>
      <c r="D189">
        <v>4.666433572769165</v>
      </c>
      <c r="E189" t="s">
        <v>10</v>
      </c>
      <c r="F189" t="s">
        <v>11</v>
      </c>
      <c r="G189">
        <v>5</v>
      </c>
    </row>
    <row r="190" spans="1:7" x14ac:dyDescent="0.25">
      <c r="A190" t="s">
        <v>5</v>
      </c>
      <c r="B190">
        <v>188</v>
      </c>
      <c r="C190">
        <v>60</v>
      </c>
      <c r="D190">
        <v>3.3259916305541992</v>
      </c>
      <c r="E190" t="s">
        <v>10</v>
      </c>
      <c r="F190" t="s">
        <v>20</v>
      </c>
      <c r="G190">
        <v>7.5</v>
      </c>
    </row>
    <row r="191" spans="1:7" x14ac:dyDescent="0.25">
      <c r="A191" t="s">
        <v>5</v>
      </c>
      <c r="B191">
        <v>189</v>
      </c>
      <c r="C191">
        <v>100</v>
      </c>
      <c r="D191">
        <v>15.534060716629028</v>
      </c>
      <c r="E191" t="s">
        <v>10</v>
      </c>
      <c r="F191" t="s">
        <v>15</v>
      </c>
      <c r="G191">
        <v>7.5</v>
      </c>
    </row>
    <row r="192" spans="1:7" x14ac:dyDescent="0.25">
      <c r="A192" t="s">
        <v>5</v>
      </c>
      <c r="B192">
        <v>190</v>
      </c>
      <c r="C192">
        <v>40</v>
      </c>
      <c r="D192">
        <v>4.6338334083557129</v>
      </c>
      <c r="E192" t="s">
        <v>10</v>
      </c>
      <c r="F192" t="s">
        <v>23</v>
      </c>
      <c r="G192">
        <v>7.5</v>
      </c>
    </row>
    <row r="193" spans="1:7" x14ac:dyDescent="0.25">
      <c r="A193" t="s">
        <v>5</v>
      </c>
      <c r="B193">
        <v>191</v>
      </c>
      <c r="C193">
        <v>87</v>
      </c>
      <c r="D193">
        <v>9.9226629734039307</v>
      </c>
      <c r="E193" t="s">
        <v>10</v>
      </c>
      <c r="F193" t="s">
        <v>13</v>
      </c>
      <c r="G193">
        <v>5</v>
      </c>
    </row>
    <row r="194" spans="1:7" x14ac:dyDescent="0.25">
      <c r="A194" t="s">
        <v>5</v>
      </c>
      <c r="B194">
        <v>192</v>
      </c>
      <c r="C194">
        <v>100</v>
      </c>
      <c r="D194">
        <v>10.146079778671265</v>
      </c>
      <c r="E194" t="s">
        <v>10</v>
      </c>
      <c r="F194" t="s">
        <v>13</v>
      </c>
      <c r="G194">
        <v>5</v>
      </c>
    </row>
    <row r="195" spans="1:7" x14ac:dyDescent="0.25">
      <c r="A195" t="s">
        <v>5</v>
      </c>
      <c r="B195">
        <v>193</v>
      </c>
      <c r="C195">
        <v>87</v>
      </c>
      <c r="D195">
        <v>9.0028388500213623</v>
      </c>
      <c r="E195" t="s">
        <v>10</v>
      </c>
      <c r="F195" t="s">
        <v>13</v>
      </c>
      <c r="G195">
        <v>5</v>
      </c>
    </row>
    <row r="196" spans="1:7" x14ac:dyDescent="0.25">
      <c r="A196" t="s">
        <v>5</v>
      </c>
      <c r="B196">
        <v>194</v>
      </c>
      <c r="C196">
        <v>0</v>
      </c>
      <c r="D196">
        <v>12.721512794494629</v>
      </c>
      <c r="E196" t="s">
        <v>10</v>
      </c>
      <c r="F196" t="s">
        <v>13</v>
      </c>
      <c r="G196">
        <v>5</v>
      </c>
    </row>
    <row r="197" spans="1:7" x14ac:dyDescent="0.25">
      <c r="A197" t="s">
        <v>5</v>
      </c>
      <c r="B197">
        <v>195</v>
      </c>
      <c r="C197">
        <v>100</v>
      </c>
      <c r="D197">
        <v>4.8134024143218994</v>
      </c>
      <c r="E197" t="s">
        <v>10</v>
      </c>
      <c r="F197" t="s">
        <v>27</v>
      </c>
      <c r="G197">
        <v>4</v>
      </c>
    </row>
    <row r="198" spans="1:7" x14ac:dyDescent="0.25">
      <c r="A198" t="s">
        <v>5</v>
      </c>
      <c r="B198">
        <v>196</v>
      </c>
      <c r="C198">
        <v>100</v>
      </c>
      <c r="D198">
        <v>4.3911974430084229</v>
      </c>
      <c r="E198" t="s">
        <v>10</v>
      </c>
      <c r="F198" t="s">
        <v>21</v>
      </c>
      <c r="G198">
        <v>7.5</v>
      </c>
    </row>
    <row r="199" spans="1:7" x14ac:dyDescent="0.25">
      <c r="A199" t="s">
        <v>5</v>
      </c>
      <c r="B199">
        <v>197</v>
      </c>
      <c r="C199">
        <v>40</v>
      </c>
      <c r="D199">
        <v>4.4393606185913086</v>
      </c>
      <c r="E199" t="s">
        <v>10</v>
      </c>
      <c r="F199" t="s">
        <v>21</v>
      </c>
      <c r="G199">
        <v>7.5</v>
      </c>
    </row>
    <row r="200" spans="1:7" x14ac:dyDescent="0.25">
      <c r="A200" t="s">
        <v>5</v>
      </c>
      <c r="B200">
        <v>198</v>
      </c>
      <c r="C200">
        <v>18</v>
      </c>
      <c r="D200">
        <v>3.6528046131134033</v>
      </c>
      <c r="E200" t="s">
        <v>10</v>
      </c>
      <c r="F200" t="s">
        <v>21</v>
      </c>
      <c r="G200">
        <v>7.5</v>
      </c>
    </row>
    <row r="201" spans="1:7" x14ac:dyDescent="0.25">
      <c r="A201" t="s">
        <v>5</v>
      </c>
      <c r="B201">
        <v>199</v>
      </c>
      <c r="C201">
        <v>90</v>
      </c>
      <c r="D201">
        <v>4.0595395565032959</v>
      </c>
      <c r="E201" t="s">
        <v>10</v>
      </c>
      <c r="F201" t="s">
        <v>13</v>
      </c>
      <c r="G201">
        <v>4</v>
      </c>
    </row>
    <row r="202" spans="1:7" x14ac:dyDescent="0.25">
      <c r="A202" t="s">
        <v>5</v>
      </c>
      <c r="B202">
        <v>200</v>
      </c>
      <c r="C202">
        <v>75</v>
      </c>
      <c r="D202">
        <v>7.5364861488342285</v>
      </c>
      <c r="E202" t="s">
        <v>10</v>
      </c>
      <c r="F202" t="s">
        <v>23</v>
      </c>
      <c r="G202">
        <v>6.5</v>
      </c>
    </row>
    <row r="203" spans="1:7" x14ac:dyDescent="0.25">
      <c r="A203" t="s">
        <v>5</v>
      </c>
      <c r="B203">
        <v>201</v>
      </c>
      <c r="C203">
        <v>37</v>
      </c>
      <c r="D203">
        <v>4.1970350742340088</v>
      </c>
      <c r="E203" t="s">
        <v>10</v>
      </c>
      <c r="F203" t="s">
        <v>23</v>
      </c>
      <c r="G203">
        <v>6.5</v>
      </c>
    </row>
    <row r="204" spans="1:7" x14ac:dyDescent="0.25">
      <c r="A204" t="s">
        <v>5</v>
      </c>
      <c r="B204">
        <v>202</v>
      </c>
      <c r="C204">
        <v>100</v>
      </c>
      <c r="D204">
        <v>13.408617258071899</v>
      </c>
      <c r="E204" t="s">
        <v>10</v>
      </c>
      <c r="F204" t="s">
        <v>23</v>
      </c>
      <c r="G204">
        <v>9.3000000000000007</v>
      </c>
    </row>
    <row r="205" spans="1:7" x14ac:dyDescent="0.25">
      <c r="A205" t="s">
        <v>5</v>
      </c>
      <c r="B205">
        <v>203</v>
      </c>
      <c r="C205">
        <v>82</v>
      </c>
      <c r="D205">
        <v>16.38961124420166</v>
      </c>
      <c r="E205" t="s">
        <v>10</v>
      </c>
      <c r="F205" t="s">
        <v>13</v>
      </c>
      <c r="G205">
        <v>6.4</v>
      </c>
    </row>
    <row r="206" spans="1:7" x14ac:dyDescent="0.25">
      <c r="A206" t="s">
        <v>5</v>
      </c>
      <c r="B206">
        <v>204</v>
      </c>
      <c r="C206">
        <v>100</v>
      </c>
      <c r="D206">
        <v>9.5927398204803467</v>
      </c>
      <c r="E206" t="s">
        <v>10</v>
      </c>
      <c r="F206" t="s">
        <v>15</v>
      </c>
      <c r="G206">
        <v>5</v>
      </c>
    </row>
    <row r="207" spans="1:7" x14ac:dyDescent="0.25">
      <c r="A207" t="s">
        <v>5</v>
      </c>
      <c r="B207">
        <v>205</v>
      </c>
      <c r="C207">
        <v>100</v>
      </c>
      <c r="D207">
        <v>3.9318079948425293</v>
      </c>
      <c r="E207" t="s">
        <v>10</v>
      </c>
      <c r="F207" t="s">
        <v>15</v>
      </c>
      <c r="G207">
        <v>5</v>
      </c>
    </row>
    <row r="208" spans="1:7" x14ac:dyDescent="0.25">
      <c r="A208" t="s">
        <v>5</v>
      </c>
      <c r="B208">
        <v>206</v>
      </c>
      <c r="C208">
        <v>80</v>
      </c>
      <c r="D208">
        <v>3.1868290901184082</v>
      </c>
      <c r="E208" t="s">
        <v>10</v>
      </c>
      <c r="F208" t="s">
        <v>15</v>
      </c>
      <c r="G208">
        <v>7.5</v>
      </c>
    </row>
    <row r="209" spans="1:7" x14ac:dyDescent="0.25">
      <c r="A209" t="s">
        <v>5</v>
      </c>
      <c r="B209">
        <v>207</v>
      </c>
      <c r="C209">
        <v>37</v>
      </c>
      <c r="D209">
        <v>6.3232722282409668</v>
      </c>
      <c r="E209" t="s">
        <v>10</v>
      </c>
      <c r="F209" t="s">
        <v>14</v>
      </c>
      <c r="G209">
        <v>2.1</v>
      </c>
    </row>
    <row r="210" spans="1:7" x14ac:dyDescent="0.25">
      <c r="A210" t="s">
        <v>5</v>
      </c>
      <c r="B210">
        <v>208</v>
      </c>
      <c r="C210">
        <v>15</v>
      </c>
      <c r="D210">
        <v>2.7932529449462891</v>
      </c>
      <c r="E210" t="s">
        <v>19</v>
      </c>
      <c r="F210" t="s">
        <v>18</v>
      </c>
      <c r="G210">
        <v>6.8</v>
      </c>
    </row>
    <row r="211" spans="1:7" x14ac:dyDescent="0.25">
      <c r="A211" t="s">
        <v>5</v>
      </c>
      <c r="B211">
        <v>209</v>
      </c>
      <c r="C211">
        <v>30</v>
      </c>
      <c r="D211">
        <v>2.8498868942260742</v>
      </c>
      <c r="E211" t="s">
        <v>19</v>
      </c>
      <c r="F211" t="s">
        <v>18</v>
      </c>
      <c r="G211">
        <v>6.8</v>
      </c>
    </row>
    <row r="212" spans="1:7" x14ac:dyDescent="0.25">
      <c r="A212" t="s">
        <v>5</v>
      </c>
      <c r="B212">
        <v>210</v>
      </c>
      <c r="C212">
        <v>47</v>
      </c>
      <c r="D212">
        <v>3.8924469947814941</v>
      </c>
      <c r="E212" t="s">
        <v>19</v>
      </c>
      <c r="F212" t="s">
        <v>18</v>
      </c>
      <c r="G212">
        <v>6.8</v>
      </c>
    </row>
    <row r="213" spans="1:7" x14ac:dyDescent="0.25">
      <c r="A213" t="s">
        <v>5</v>
      </c>
      <c r="B213">
        <v>211</v>
      </c>
      <c r="C213">
        <v>13</v>
      </c>
      <c r="D213">
        <v>3.1352384090423584</v>
      </c>
      <c r="E213" t="s">
        <v>19</v>
      </c>
      <c r="F213" t="s">
        <v>18</v>
      </c>
      <c r="G213">
        <v>6.8</v>
      </c>
    </row>
    <row r="214" spans="1:7" x14ac:dyDescent="0.25">
      <c r="A214" t="s">
        <v>5</v>
      </c>
      <c r="B214">
        <v>212</v>
      </c>
      <c r="C214">
        <v>80</v>
      </c>
      <c r="D214">
        <v>5.1904788017272949</v>
      </c>
      <c r="E214" t="s">
        <v>10</v>
      </c>
      <c r="F214" t="s">
        <v>13</v>
      </c>
      <c r="G214">
        <v>5</v>
      </c>
    </row>
    <row r="215" spans="1:7" x14ac:dyDescent="0.25">
      <c r="A215" t="s">
        <v>5</v>
      </c>
      <c r="B215">
        <v>213</v>
      </c>
      <c r="C215">
        <v>100</v>
      </c>
      <c r="D215">
        <v>7.1908500194549561</v>
      </c>
      <c r="E215" t="s">
        <v>10</v>
      </c>
      <c r="F215" t="s">
        <v>15</v>
      </c>
      <c r="G215">
        <v>6.8</v>
      </c>
    </row>
    <row r="216" spans="1:7" x14ac:dyDescent="0.25">
      <c r="A216" t="s">
        <v>5</v>
      </c>
      <c r="B216">
        <v>214</v>
      </c>
      <c r="C216">
        <v>87</v>
      </c>
      <c r="D216">
        <v>2.8482670783996582</v>
      </c>
      <c r="E216" t="s">
        <v>10</v>
      </c>
      <c r="F216" t="s">
        <v>15</v>
      </c>
      <c r="G216">
        <v>6.8</v>
      </c>
    </row>
    <row r="217" spans="1:7" x14ac:dyDescent="0.25">
      <c r="A217" t="s">
        <v>5</v>
      </c>
      <c r="B217">
        <v>215</v>
      </c>
      <c r="C217">
        <v>16</v>
      </c>
      <c r="D217">
        <v>4.1039466857910156</v>
      </c>
      <c r="E217" t="s">
        <v>10</v>
      </c>
      <c r="F217" t="s">
        <v>15</v>
      </c>
      <c r="G217">
        <v>6.8</v>
      </c>
    </row>
    <row r="218" spans="1:7" x14ac:dyDescent="0.25">
      <c r="A218" t="s">
        <v>5</v>
      </c>
      <c r="B218">
        <v>216</v>
      </c>
      <c r="C218">
        <v>47</v>
      </c>
      <c r="D218">
        <v>5.5307400226593018</v>
      </c>
      <c r="E218" t="s">
        <v>10</v>
      </c>
      <c r="F218" t="s">
        <v>15</v>
      </c>
      <c r="G218">
        <v>6.8</v>
      </c>
    </row>
    <row r="219" spans="1:7" x14ac:dyDescent="0.25">
      <c r="A219" t="s">
        <v>5</v>
      </c>
      <c r="B219">
        <v>217</v>
      </c>
      <c r="C219">
        <v>100</v>
      </c>
      <c r="D219">
        <v>5.6110763549804688</v>
      </c>
      <c r="E219" t="s">
        <v>10</v>
      </c>
      <c r="F219" t="s">
        <v>28</v>
      </c>
      <c r="G219">
        <v>7.2</v>
      </c>
    </row>
    <row r="220" spans="1:7" x14ac:dyDescent="0.25">
      <c r="A220" t="s">
        <v>5</v>
      </c>
      <c r="B220">
        <v>218</v>
      </c>
      <c r="C220">
        <v>21</v>
      </c>
      <c r="D220">
        <v>3.2170140743255615</v>
      </c>
      <c r="E220" t="s">
        <v>10</v>
      </c>
      <c r="F220" t="s">
        <v>15</v>
      </c>
      <c r="G220">
        <v>6.8</v>
      </c>
    </row>
    <row r="221" spans="1:7" x14ac:dyDescent="0.25">
      <c r="A221" t="s">
        <v>5</v>
      </c>
      <c r="B221">
        <v>219</v>
      </c>
      <c r="C221">
        <v>100</v>
      </c>
      <c r="D221">
        <v>4.1604962348937988</v>
      </c>
      <c r="E221" t="s">
        <v>10</v>
      </c>
      <c r="F221" t="s">
        <v>15</v>
      </c>
      <c r="G221">
        <v>6.8</v>
      </c>
    </row>
    <row r="222" spans="1:7" x14ac:dyDescent="0.25">
      <c r="A222" t="s">
        <v>5</v>
      </c>
      <c r="B222">
        <v>220</v>
      </c>
      <c r="C222">
        <v>30</v>
      </c>
      <c r="D222">
        <v>3.3034515380859375</v>
      </c>
      <c r="E222" t="s">
        <v>10</v>
      </c>
      <c r="F222" t="s">
        <v>14</v>
      </c>
      <c r="G222">
        <v>6.8</v>
      </c>
    </row>
    <row r="223" spans="1:7" x14ac:dyDescent="0.25">
      <c r="A223" t="s">
        <v>5</v>
      </c>
      <c r="B223">
        <v>221</v>
      </c>
      <c r="C223">
        <v>90</v>
      </c>
      <c r="D223">
        <v>7.0476479530334473</v>
      </c>
      <c r="E223" t="s">
        <v>10</v>
      </c>
      <c r="F223" t="s">
        <v>14</v>
      </c>
      <c r="G223">
        <v>6.8</v>
      </c>
    </row>
    <row r="224" spans="1:7" x14ac:dyDescent="0.25">
      <c r="A224" t="s">
        <v>5</v>
      </c>
      <c r="B224">
        <v>222</v>
      </c>
      <c r="C224">
        <v>90</v>
      </c>
      <c r="D224">
        <v>9.0255634784698486</v>
      </c>
      <c r="E224" t="s">
        <v>10</v>
      </c>
      <c r="F224" t="s">
        <v>14</v>
      </c>
      <c r="G224">
        <v>6.8</v>
      </c>
    </row>
    <row r="225" spans="1:7" x14ac:dyDescent="0.25">
      <c r="A225" t="s">
        <v>5</v>
      </c>
      <c r="B225">
        <v>223</v>
      </c>
      <c r="C225">
        <v>90</v>
      </c>
      <c r="D225">
        <v>3.657489538192749</v>
      </c>
      <c r="E225" t="s">
        <v>10</v>
      </c>
      <c r="F225" t="s">
        <v>15</v>
      </c>
      <c r="G225">
        <v>6.8</v>
      </c>
    </row>
    <row r="226" spans="1:7" x14ac:dyDescent="0.25">
      <c r="A226" t="s">
        <v>5</v>
      </c>
      <c r="B226">
        <v>224</v>
      </c>
      <c r="C226">
        <v>30</v>
      </c>
      <c r="D226">
        <v>4.9700908660888672</v>
      </c>
      <c r="E226" t="s">
        <v>10</v>
      </c>
      <c r="F226" t="s">
        <v>15</v>
      </c>
      <c r="G226">
        <v>4.9000000000000004</v>
      </c>
    </row>
    <row r="227" spans="1:7" x14ac:dyDescent="0.25">
      <c r="A227" t="s">
        <v>5</v>
      </c>
      <c r="B227">
        <v>225</v>
      </c>
      <c r="C227">
        <v>100</v>
      </c>
      <c r="D227">
        <v>5.8819890022277832</v>
      </c>
      <c r="E227" t="s">
        <v>10</v>
      </c>
      <c r="F227" t="s">
        <v>13</v>
      </c>
      <c r="G227">
        <v>4.9000000000000004</v>
      </c>
    </row>
    <row r="228" spans="1:7" x14ac:dyDescent="0.25">
      <c r="A228" t="s">
        <v>5</v>
      </c>
      <c r="B228">
        <v>226</v>
      </c>
      <c r="C228">
        <v>100</v>
      </c>
      <c r="D228">
        <v>11.782549858093262</v>
      </c>
      <c r="E228" t="s">
        <v>10</v>
      </c>
      <c r="F228" t="s">
        <v>17</v>
      </c>
      <c r="G228">
        <v>4.3</v>
      </c>
    </row>
    <row r="229" spans="1:7" x14ac:dyDescent="0.25">
      <c r="A229" t="s">
        <v>5</v>
      </c>
      <c r="B229">
        <v>227</v>
      </c>
      <c r="C229">
        <v>57</v>
      </c>
      <c r="D229">
        <v>5.5675079822540283</v>
      </c>
      <c r="E229" t="s">
        <v>10</v>
      </c>
      <c r="F229" t="s">
        <v>15</v>
      </c>
      <c r="G229">
        <v>5</v>
      </c>
    </row>
    <row r="230" spans="1:7" x14ac:dyDescent="0.25">
      <c r="A230" t="s">
        <v>5</v>
      </c>
      <c r="B230">
        <v>228</v>
      </c>
      <c r="C230">
        <v>70</v>
      </c>
      <c r="D230">
        <v>4.8286404609680176</v>
      </c>
      <c r="E230" t="s">
        <v>10</v>
      </c>
      <c r="F230" t="s">
        <v>15</v>
      </c>
      <c r="G230">
        <v>5</v>
      </c>
    </row>
    <row r="231" spans="1:7" x14ac:dyDescent="0.25">
      <c r="A231" t="s">
        <v>5</v>
      </c>
      <c r="B231">
        <v>229</v>
      </c>
      <c r="C231">
        <v>27</v>
      </c>
      <c r="D231">
        <v>5.1052408218383789</v>
      </c>
      <c r="E231" t="s">
        <v>10</v>
      </c>
      <c r="F231" t="s">
        <v>15</v>
      </c>
      <c r="G231">
        <v>5</v>
      </c>
    </row>
    <row r="232" spans="1:7" x14ac:dyDescent="0.25">
      <c r="A232" t="s">
        <v>5</v>
      </c>
      <c r="B232">
        <v>230</v>
      </c>
      <c r="C232">
        <v>15</v>
      </c>
      <c r="D232">
        <v>3.140855073928833</v>
      </c>
      <c r="E232" t="s">
        <v>10</v>
      </c>
      <c r="F232" t="s">
        <v>15</v>
      </c>
      <c r="G232">
        <v>6.8</v>
      </c>
    </row>
    <row r="233" spans="1:7" x14ac:dyDescent="0.25">
      <c r="A233" t="s">
        <v>5</v>
      </c>
      <c r="B233">
        <v>231</v>
      </c>
      <c r="C233">
        <v>21</v>
      </c>
      <c r="D233">
        <v>3.5513911247253418</v>
      </c>
      <c r="E233" t="s">
        <v>10</v>
      </c>
      <c r="F233" t="s">
        <v>15</v>
      </c>
      <c r="G233">
        <v>1.9</v>
      </c>
    </row>
    <row r="234" spans="1:7" x14ac:dyDescent="0.25">
      <c r="A234" t="s">
        <v>5</v>
      </c>
      <c r="B234">
        <v>232</v>
      </c>
      <c r="C234">
        <v>100</v>
      </c>
      <c r="D234">
        <v>6.086723804473877</v>
      </c>
      <c r="E234" t="s">
        <v>10</v>
      </c>
      <c r="F234" t="s">
        <v>15</v>
      </c>
      <c r="G234">
        <v>2.1</v>
      </c>
    </row>
    <row r="235" spans="1:7" x14ac:dyDescent="0.25">
      <c r="A235" t="s">
        <v>5</v>
      </c>
      <c r="B235">
        <v>233</v>
      </c>
      <c r="C235">
        <v>16</v>
      </c>
      <c r="D235">
        <v>2.4572136402130127</v>
      </c>
      <c r="E235" t="s">
        <v>10</v>
      </c>
      <c r="F235" t="s">
        <v>15</v>
      </c>
      <c r="G235">
        <v>1.9</v>
      </c>
    </row>
    <row r="236" spans="1:7" x14ac:dyDescent="0.25">
      <c r="A236" t="s">
        <v>5</v>
      </c>
      <c r="B236">
        <v>234</v>
      </c>
      <c r="C236">
        <v>5</v>
      </c>
      <c r="D236">
        <v>14.05937123298645</v>
      </c>
      <c r="E236" t="s">
        <v>10</v>
      </c>
      <c r="F236" t="s">
        <v>15</v>
      </c>
      <c r="G236">
        <v>1.9</v>
      </c>
    </row>
    <row r="237" spans="1:7" x14ac:dyDescent="0.25">
      <c r="A237" t="s">
        <v>5</v>
      </c>
      <c r="B237">
        <v>235</v>
      </c>
      <c r="C237">
        <v>20</v>
      </c>
      <c r="D237">
        <v>2.7123901844024658</v>
      </c>
      <c r="E237" t="s">
        <v>10</v>
      </c>
      <c r="F237" t="s">
        <v>15</v>
      </c>
      <c r="G237">
        <v>1.9</v>
      </c>
    </row>
    <row r="238" spans="1:7" x14ac:dyDescent="0.25">
      <c r="A238" t="s">
        <v>5</v>
      </c>
      <c r="B238">
        <v>236</v>
      </c>
      <c r="C238">
        <v>31</v>
      </c>
      <c r="D238">
        <v>8.7769668102264404</v>
      </c>
      <c r="E238" t="s">
        <v>10</v>
      </c>
      <c r="F238" t="s">
        <v>15</v>
      </c>
      <c r="G238">
        <v>1.9</v>
      </c>
    </row>
    <row r="239" spans="1:7" x14ac:dyDescent="0.25">
      <c r="A239" t="s">
        <v>5</v>
      </c>
      <c r="B239">
        <v>237</v>
      </c>
      <c r="C239">
        <v>37</v>
      </c>
      <c r="D239">
        <v>5.4985389709472656</v>
      </c>
      <c r="E239" t="s">
        <v>10</v>
      </c>
      <c r="F239" t="s">
        <v>15</v>
      </c>
      <c r="G239">
        <v>5</v>
      </c>
    </row>
    <row r="240" spans="1:7" x14ac:dyDescent="0.25">
      <c r="A240" t="s">
        <v>5</v>
      </c>
      <c r="B240">
        <v>238</v>
      </c>
      <c r="C240">
        <v>85</v>
      </c>
      <c r="D240">
        <v>13.814057111740112</v>
      </c>
      <c r="E240" t="s">
        <v>10</v>
      </c>
      <c r="F240" t="s">
        <v>15</v>
      </c>
      <c r="G240">
        <v>5</v>
      </c>
    </row>
    <row r="241" spans="1:7" x14ac:dyDescent="0.25">
      <c r="A241" t="s">
        <v>5</v>
      </c>
      <c r="B241">
        <v>239</v>
      </c>
      <c r="C241">
        <v>77</v>
      </c>
      <c r="D241">
        <v>7.8081820011138916</v>
      </c>
      <c r="E241" t="s">
        <v>10</v>
      </c>
      <c r="F241" t="s">
        <v>29</v>
      </c>
      <c r="G241">
        <v>7.5</v>
      </c>
    </row>
    <row r="242" spans="1:7" x14ac:dyDescent="0.25">
      <c r="A242" t="s">
        <v>5</v>
      </c>
      <c r="B242">
        <v>240</v>
      </c>
      <c r="C242">
        <v>97</v>
      </c>
      <c r="D242">
        <v>4.2879631519317627</v>
      </c>
      <c r="E242" t="s">
        <v>10</v>
      </c>
      <c r="F242" t="s">
        <v>15</v>
      </c>
      <c r="G242">
        <v>5</v>
      </c>
    </row>
    <row r="243" spans="1:7" x14ac:dyDescent="0.25">
      <c r="A243" t="s">
        <v>5</v>
      </c>
      <c r="B243">
        <v>241</v>
      </c>
      <c r="C243">
        <v>100</v>
      </c>
      <c r="D243">
        <v>6.258983850479126</v>
      </c>
      <c r="E243" t="s">
        <v>10</v>
      </c>
      <c r="F243" t="s">
        <v>17</v>
      </c>
      <c r="G243">
        <v>5</v>
      </c>
    </row>
    <row r="244" spans="1:7" x14ac:dyDescent="0.25">
      <c r="A244" t="s">
        <v>5</v>
      </c>
      <c r="B244">
        <v>242</v>
      </c>
      <c r="C244">
        <v>35</v>
      </c>
      <c r="D244">
        <v>14.928545713424683</v>
      </c>
      <c r="E244" t="s">
        <v>10</v>
      </c>
      <c r="F244" t="s">
        <v>15</v>
      </c>
      <c r="G244">
        <v>5</v>
      </c>
    </row>
    <row r="245" spans="1:7" x14ac:dyDescent="0.25">
      <c r="A245" t="s">
        <v>5</v>
      </c>
      <c r="B245">
        <v>243</v>
      </c>
      <c r="C245">
        <v>30</v>
      </c>
      <c r="D245">
        <v>4.4487214088439941</v>
      </c>
      <c r="E245" t="s">
        <v>10</v>
      </c>
      <c r="F245" t="s">
        <v>15</v>
      </c>
      <c r="G245">
        <v>5</v>
      </c>
    </row>
    <row r="246" spans="1:7" x14ac:dyDescent="0.25">
      <c r="A246" t="s">
        <v>5</v>
      </c>
      <c r="B246">
        <v>244</v>
      </c>
      <c r="C246">
        <v>100</v>
      </c>
      <c r="D246">
        <v>4.3992545604705811</v>
      </c>
      <c r="E246" t="s">
        <v>10</v>
      </c>
      <c r="F246" t="s">
        <v>15</v>
      </c>
      <c r="G246">
        <v>5</v>
      </c>
    </row>
    <row r="247" spans="1:7" x14ac:dyDescent="0.25">
      <c r="A247" t="s">
        <v>5</v>
      </c>
      <c r="B247">
        <v>245</v>
      </c>
      <c r="C247">
        <v>47</v>
      </c>
      <c r="D247">
        <v>4.3845961093902588</v>
      </c>
      <c r="E247" t="s">
        <v>10</v>
      </c>
      <c r="F247" t="s">
        <v>15</v>
      </c>
      <c r="G247">
        <v>5</v>
      </c>
    </row>
    <row r="248" spans="1:7" x14ac:dyDescent="0.25">
      <c r="A248" t="s">
        <v>5</v>
      </c>
      <c r="B248">
        <v>246</v>
      </c>
      <c r="C248">
        <v>42</v>
      </c>
      <c r="D248">
        <v>11.07734489440918</v>
      </c>
      <c r="E248" t="s">
        <v>10</v>
      </c>
      <c r="F248" t="s">
        <v>30</v>
      </c>
      <c r="G248">
        <v>5</v>
      </c>
    </row>
    <row r="249" spans="1:7" x14ac:dyDescent="0.25">
      <c r="A249" t="s">
        <v>5</v>
      </c>
      <c r="B249">
        <v>247</v>
      </c>
      <c r="C249">
        <v>85</v>
      </c>
      <c r="D249">
        <v>3.4159293174743652</v>
      </c>
      <c r="E249" t="s">
        <v>10</v>
      </c>
      <c r="F249" t="s">
        <v>15</v>
      </c>
      <c r="G249">
        <v>5</v>
      </c>
    </row>
    <row r="250" spans="1:7" x14ac:dyDescent="0.25">
      <c r="A250" t="s">
        <v>5</v>
      </c>
      <c r="B250">
        <v>248</v>
      </c>
      <c r="C250">
        <v>100</v>
      </c>
      <c r="D250">
        <v>14.391636848449707</v>
      </c>
      <c r="E250" t="s">
        <v>10</v>
      </c>
      <c r="F250" t="s">
        <v>13</v>
      </c>
      <c r="G250">
        <v>4.3</v>
      </c>
    </row>
    <row r="251" spans="1:7" x14ac:dyDescent="0.25">
      <c r="A251" t="s">
        <v>5</v>
      </c>
      <c r="B251">
        <v>249</v>
      </c>
      <c r="C251">
        <v>57</v>
      </c>
      <c r="D251">
        <v>9.2508914470672607</v>
      </c>
      <c r="E251" t="s">
        <v>10</v>
      </c>
      <c r="F251" t="s">
        <v>15</v>
      </c>
      <c r="G251">
        <v>4.9000000000000004</v>
      </c>
    </row>
    <row r="252" spans="1:7" x14ac:dyDescent="0.25">
      <c r="A252" t="s">
        <v>5</v>
      </c>
      <c r="B252">
        <v>250</v>
      </c>
      <c r="C252">
        <v>84</v>
      </c>
      <c r="D252">
        <v>12.103550672531128</v>
      </c>
      <c r="E252" t="s">
        <v>10</v>
      </c>
      <c r="F252" t="s">
        <v>15</v>
      </c>
      <c r="G252">
        <v>5</v>
      </c>
    </row>
    <row r="253" spans="1:7" x14ac:dyDescent="0.25">
      <c r="A253" t="s">
        <v>5</v>
      </c>
      <c r="B253">
        <v>251</v>
      </c>
      <c r="C253">
        <v>90</v>
      </c>
      <c r="D253">
        <v>4.7652394771575928</v>
      </c>
      <c r="E253" t="s">
        <v>10</v>
      </c>
      <c r="F253" t="s">
        <v>15</v>
      </c>
      <c r="G253">
        <v>5</v>
      </c>
    </row>
    <row r="254" spans="1:7" x14ac:dyDescent="0.25">
      <c r="A254" t="s">
        <v>5</v>
      </c>
      <c r="B254">
        <v>252</v>
      </c>
      <c r="C254">
        <v>17</v>
      </c>
      <c r="D254">
        <v>3.4601247310638428</v>
      </c>
      <c r="E254" t="s">
        <v>10</v>
      </c>
      <c r="F254" t="s">
        <v>15</v>
      </c>
      <c r="G254">
        <v>2.1</v>
      </c>
    </row>
    <row r="255" spans="1:7" x14ac:dyDescent="0.25">
      <c r="A255" t="s">
        <v>5</v>
      </c>
      <c r="B255">
        <v>253</v>
      </c>
      <c r="C255">
        <v>21</v>
      </c>
      <c r="D255">
        <v>3.2127156257629395</v>
      </c>
      <c r="E255" t="s">
        <v>10</v>
      </c>
      <c r="F255" t="s">
        <v>15</v>
      </c>
      <c r="G255">
        <v>2.1</v>
      </c>
    </row>
    <row r="256" spans="1:7" x14ac:dyDescent="0.25">
      <c r="A256" t="s">
        <v>5</v>
      </c>
      <c r="B256">
        <v>254</v>
      </c>
      <c r="C256">
        <v>85</v>
      </c>
      <c r="D256">
        <v>7.3067886829376221</v>
      </c>
      <c r="E256" t="s">
        <v>10</v>
      </c>
      <c r="F256" t="s">
        <v>17</v>
      </c>
      <c r="G256">
        <v>1.9</v>
      </c>
    </row>
    <row r="257" spans="1:7" x14ac:dyDescent="0.25">
      <c r="A257" t="s">
        <v>5</v>
      </c>
      <c r="B257">
        <v>255</v>
      </c>
      <c r="C257">
        <v>60</v>
      </c>
      <c r="D257">
        <v>5.7051160335540771</v>
      </c>
      <c r="E257" t="s">
        <v>10</v>
      </c>
      <c r="F257" t="s">
        <v>30</v>
      </c>
      <c r="G257">
        <v>6.8</v>
      </c>
    </row>
    <row r="258" spans="1:7" x14ac:dyDescent="0.25">
      <c r="A258" t="s">
        <v>5</v>
      </c>
      <c r="B258">
        <v>256</v>
      </c>
      <c r="C258">
        <v>60</v>
      </c>
      <c r="D258">
        <v>3.2795267105102539</v>
      </c>
      <c r="E258" t="s">
        <v>10</v>
      </c>
      <c r="F258" t="s">
        <v>15</v>
      </c>
      <c r="G258">
        <v>4.3</v>
      </c>
    </row>
    <row r="259" spans="1:7" x14ac:dyDescent="0.25">
      <c r="A259" t="s">
        <v>5</v>
      </c>
      <c r="B259">
        <v>257</v>
      </c>
      <c r="C259">
        <v>20</v>
      </c>
      <c r="D259">
        <v>2.8557755947113037</v>
      </c>
      <c r="E259" t="s">
        <v>10</v>
      </c>
      <c r="F259" t="s">
        <v>15</v>
      </c>
      <c r="G259">
        <v>5</v>
      </c>
    </row>
    <row r="260" spans="1:7" x14ac:dyDescent="0.25">
      <c r="A260" t="s">
        <v>5</v>
      </c>
      <c r="B260">
        <v>258</v>
      </c>
      <c r="C260">
        <v>73</v>
      </c>
      <c r="D260">
        <v>8.651097297668457</v>
      </c>
      <c r="E260" t="s">
        <v>10</v>
      </c>
      <c r="F260" t="s">
        <v>14</v>
      </c>
      <c r="G260">
        <v>4.3</v>
      </c>
    </row>
    <row r="261" spans="1:7" x14ac:dyDescent="0.25">
      <c r="A261" t="s">
        <v>5</v>
      </c>
      <c r="B261">
        <v>259</v>
      </c>
      <c r="C261">
        <v>100</v>
      </c>
      <c r="D261">
        <v>9.4685893058776855</v>
      </c>
      <c r="E261" t="s">
        <v>10</v>
      </c>
      <c r="F261" t="s">
        <v>20</v>
      </c>
      <c r="G261">
        <v>4.3</v>
      </c>
    </row>
    <row r="262" spans="1:7" x14ac:dyDescent="0.25">
      <c r="A262" t="s">
        <v>5</v>
      </c>
      <c r="B262">
        <v>260</v>
      </c>
      <c r="C262">
        <v>50</v>
      </c>
      <c r="D262">
        <v>8.364844799041748</v>
      </c>
      <c r="E262" t="s">
        <v>10</v>
      </c>
      <c r="F262" t="s">
        <v>23</v>
      </c>
      <c r="G262">
        <v>4.4000000000000004</v>
      </c>
    </row>
    <row r="263" spans="1:7" x14ac:dyDescent="0.25">
      <c r="A263" t="s">
        <v>5</v>
      </c>
      <c r="B263">
        <v>261</v>
      </c>
      <c r="C263">
        <v>27</v>
      </c>
      <c r="D263">
        <v>3.8504526615142822</v>
      </c>
      <c r="E263" t="s">
        <v>19</v>
      </c>
      <c r="F263" t="s">
        <v>28</v>
      </c>
      <c r="G263">
        <v>7.2</v>
      </c>
    </row>
    <row r="264" spans="1:7" x14ac:dyDescent="0.25">
      <c r="A264" t="s">
        <v>5</v>
      </c>
      <c r="B264">
        <v>262</v>
      </c>
      <c r="C264">
        <v>100</v>
      </c>
      <c r="D264">
        <v>4.4503922462463379</v>
      </c>
      <c r="E264" t="s">
        <v>19</v>
      </c>
      <c r="F264" t="s">
        <v>28</v>
      </c>
      <c r="G264">
        <v>7.2</v>
      </c>
    </row>
    <row r="265" spans="1:7" x14ac:dyDescent="0.25">
      <c r="A265" t="s">
        <v>5</v>
      </c>
      <c r="B265">
        <v>263</v>
      </c>
      <c r="C265">
        <v>27</v>
      </c>
      <c r="D265">
        <v>5.3782234191894531</v>
      </c>
      <c r="E265" t="s">
        <v>19</v>
      </c>
      <c r="F265" t="s">
        <v>28</v>
      </c>
      <c r="G265">
        <v>7.2</v>
      </c>
    </row>
    <row r="266" spans="1:7" x14ac:dyDescent="0.25">
      <c r="A266" t="s">
        <v>5</v>
      </c>
      <c r="B266">
        <v>264</v>
      </c>
      <c r="C266">
        <v>80</v>
      </c>
      <c r="D266">
        <v>3.5267279148101807</v>
      </c>
      <c r="E266" t="s">
        <v>10</v>
      </c>
      <c r="F266" t="s">
        <v>17</v>
      </c>
      <c r="G266">
        <v>5</v>
      </c>
    </row>
    <row r="267" spans="1:7" x14ac:dyDescent="0.25">
      <c r="A267" t="s">
        <v>5</v>
      </c>
      <c r="B267">
        <v>265</v>
      </c>
      <c r="C267">
        <v>47</v>
      </c>
      <c r="D267">
        <v>5.4693949222564697</v>
      </c>
      <c r="E267" t="s">
        <v>10</v>
      </c>
      <c r="F267" t="s">
        <v>17</v>
      </c>
      <c r="G267">
        <v>5</v>
      </c>
    </row>
    <row r="268" spans="1:7" x14ac:dyDescent="0.25">
      <c r="A268" t="s">
        <v>5</v>
      </c>
      <c r="B268">
        <v>266</v>
      </c>
      <c r="C268">
        <v>100</v>
      </c>
      <c r="D268">
        <v>4.948406457901001</v>
      </c>
      <c r="E268" t="s">
        <v>19</v>
      </c>
      <c r="F268" t="s">
        <v>15</v>
      </c>
      <c r="G268">
        <v>4.3</v>
      </c>
    </row>
    <row r="269" spans="1:7" x14ac:dyDescent="0.25">
      <c r="A269" t="s">
        <v>5</v>
      </c>
      <c r="B269">
        <v>267</v>
      </c>
      <c r="C269">
        <v>20</v>
      </c>
      <c r="D269">
        <v>3.4731619358062744</v>
      </c>
      <c r="E269" t="s">
        <v>19</v>
      </c>
      <c r="F269" t="s">
        <v>15</v>
      </c>
      <c r="G269">
        <v>4.3</v>
      </c>
    </row>
    <row r="270" spans="1:7" x14ac:dyDescent="0.25">
      <c r="A270" t="s">
        <v>5</v>
      </c>
      <c r="B270">
        <v>268</v>
      </c>
      <c r="C270">
        <v>21</v>
      </c>
      <c r="D270">
        <v>3.5603818893432617</v>
      </c>
      <c r="E270" t="s">
        <v>19</v>
      </c>
      <c r="F270" t="s">
        <v>15</v>
      </c>
      <c r="G270">
        <v>4.3</v>
      </c>
    </row>
    <row r="271" spans="1:7" x14ac:dyDescent="0.25">
      <c r="A271" t="s">
        <v>5</v>
      </c>
      <c r="B271">
        <v>269</v>
      </c>
      <c r="C271">
        <v>21</v>
      </c>
      <c r="D271">
        <v>3.4947373867034912</v>
      </c>
      <c r="E271" t="s">
        <v>19</v>
      </c>
      <c r="F271" t="s">
        <v>15</v>
      </c>
      <c r="G271">
        <v>4.3</v>
      </c>
    </row>
    <row r="272" spans="1:7" x14ac:dyDescent="0.25">
      <c r="A272" t="s">
        <v>5</v>
      </c>
      <c r="B272">
        <v>270</v>
      </c>
      <c r="C272">
        <v>16</v>
      </c>
      <c r="D272">
        <v>3.1890311241149902</v>
      </c>
      <c r="E272" t="s">
        <v>19</v>
      </c>
      <c r="F272" t="s">
        <v>15</v>
      </c>
      <c r="G272">
        <v>4.3</v>
      </c>
    </row>
    <row r="273" spans="1:7" x14ac:dyDescent="0.25">
      <c r="A273" t="s">
        <v>5</v>
      </c>
      <c r="B273">
        <v>271</v>
      </c>
      <c r="C273">
        <v>50</v>
      </c>
      <c r="D273">
        <v>3.7718710899353027</v>
      </c>
      <c r="E273" t="s">
        <v>19</v>
      </c>
      <c r="F273" t="s">
        <v>15</v>
      </c>
      <c r="G273">
        <v>4.3</v>
      </c>
    </row>
    <row r="274" spans="1:7" x14ac:dyDescent="0.25">
      <c r="A274" t="s">
        <v>5</v>
      </c>
      <c r="B274">
        <v>272</v>
      </c>
      <c r="C274">
        <v>13</v>
      </c>
      <c r="D274">
        <v>3.0693767070770264</v>
      </c>
      <c r="E274" t="s">
        <v>19</v>
      </c>
      <c r="F274" t="s">
        <v>15</v>
      </c>
      <c r="G274">
        <v>4.3</v>
      </c>
    </row>
    <row r="275" spans="1:7" x14ac:dyDescent="0.25">
      <c r="A275" t="s">
        <v>5</v>
      </c>
      <c r="B275">
        <v>273</v>
      </c>
      <c r="C275">
        <v>3</v>
      </c>
      <c r="D275">
        <v>8.9938304424285889</v>
      </c>
      <c r="E275" t="s">
        <v>10</v>
      </c>
      <c r="F275" t="s">
        <v>15</v>
      </c>
      <c r="G275">
        <v>5</v>
      </c>
    </row>
    <row r="276" spans="1:7" x14ac:dyDescent="0.25">
      <c r="A276" t="s">
        <v>5</v>
      </c>
      <c r="B276">
        <v>274</v>
      </c>
      <c r="C276">
        <v>30</v>
      </c>
      <c r="D276">
        <v>6.2110450267791748</v>
      </c>
      <c r="E276" t="s">
        <v>10</v>
      </c>
      <c r="F276" t="s">
        <v>15</v>
      </c>
      <c r="G276">
        <v>4.9000000000000004</v>
      </c>
    </row>
    <row r="277" spans="1:7" x14ac:dyDescent="0.25">
      <c r="A277" t="s">
        <v>5</v>
      </c>
      <c r="B277">
        <v>275</v>
      </c>
      <c r="C277">
        <v>77</v>
      </c>
      <c r="D277">
        <v>7.0722293853759766</v>
      </c>
      <c r="E277" t="s">
        <v>10</v>
      </c>
      <c r="F277" t="s">
        <v>15</v>
      </c>
      <c r="G277">
        <v>4.9000000000000004</v>
      </c>
    </row>
    <row r="278" spans="1:7" x14ac:dyDescent="0.25">
      <c r="A278" t="s">
        <v>5</v>
      </c>
      <c r="B278">
        <v>276</v>
      </c>
      <c r="C278">
        <v>15</v>
      </c>
      <c r="D278">
        <v>2.8956680297851563</v>
      </c>
      <c r="E278" t="s">
        <v>10</v>
      </c>
      <c r="F278" t="s">
        <v>15</v>
      </c>
      <c r="G278">
        <v>4.9000000000000004</v>
      </c>
    </row>
    <row r="279" spans="1:7" x14ac:dyDescent="0.25">
      <c r="A279" t="s">
        <v>5</v>
      </c>
      <c r="B279">
        <v>277</v>
      </c>
      <c r="C279">
        <v>98</v>
      </c>
      <c r="D279">
        <v>7.2670528888702393</v>
      </c>
      <c r="E279" t="s">
        <v>10</v>
      </c>
      <c r="F279" t="s">
        <v>17</v>
      </c>
      <c r="G279">
        <v>4.3</v>
      </c>
    </row>
    <row r="280" spans="1:7" x14ac:dyDescent="0.25">
      <c r="A280" t="s">
        <v>5</v>
      </c>
      <c r="B280">
        <v>278</v>
      </c>
      <c r="C280">
        <v>100</v>
      </c>
      <c r="D280">
        <v>7.1949608325958252</v>
      </c>
      <c r="E280" t="s">
        <v>10</v>
      </c>
      <c r="F280" t="s">
        <v>12</v>
      </c>
      <c r="G280">
        <v>5.8</v>
      </c>
    </row>
    <row r="281" spans="1:7" x14ac:dyDescent="0.25">
      <c r="A281" t="s">
        <v>5</v>
      </c>
      <c r="B281">
        <v>279</v>
      </c>
      <c r="C281">
        <v>14</v>
      </c>
      <c r="D281">
        <v>6.0094523429870605</v>
      </c>
      <c r="E281" t="s">
        <v>10</v>
      </c>
      <c r="F281" t="s">
        <v>15</v>
      </c>
      <c r="G281">
        <v>4.3</v>
      </c>
    </row>
    <row r="282" spans="1:7" x14ac:dyDescent="0.25">
      <c r="A282" t="s">
        <v>5</v>
      </c>
      <c r="B282">
        <v>280</v>
      </c>
      <c r="C282">
        <v>14</v>
      </c>
      <c r="D282">
        <v>6.1852073669433594</v>
      </c>
      <c r="E282" t="s">
        <v>10</v>
      </c>
      <c r="F282" t="s">
        <v>14</v>
      </c>
      <c r="G282">
        <v>4.3</v>
      </c>
    </row>
    <row r="283" spans="1:7" x14ac:dyDescent="0.25">
      <c r="A283" t="s">
        <v>5</v>
      </c>
      <c r="B283">
        <v>281</v>
      </c>
      <c r="C283">
        <v>96</v>
      </c>
      <c r="D283">
        <v>6.2646958827972412</v>
      </c>
      <c r="E283" t="s">
        <v>10</v>
      </c>
      <c r="F283" t="s">
        <v>29</v>
      </c>
      <c r="G283">
        <v>6.8</v>
      </c>
    </row>
    <row r="284" spans="1:7" x14ac:dyDescent="0.25">
      <c r="A284" t="s">
        <v>5</v>
      </c>
      <c r="B284">
        <v>282</v>
      </c>
      <c r="C284">
        <v>70</v>
      </c>
      <c r="D284">
        <v>5.4041173458099365</v>
      </c>
      <c r="E284" t="s">
        <v>10</v>
      </c>
      <c r="F284" t="s">
        <v>14</v>
      </c>
      <c r="G284">
        <v>6.8</v>
      </c>
    </row>
    <row r="285" spans="1:7" x14ac:dyDescent="0.25">
      <c r="A285" t="s">
        <v>5</v>
      </c>
      <c r="B285">
        <v>283</v>
      </c>
      <c r="C285">
        <v>100</v>
      </c>
      <c r="D285">
        <v>14.249933004379272</v>
      </c>
      <c r="E285" t="s">
        <v>10</v>
      </c>
      <c r="F285" t="s">
        <v>14</v>
      </c>
      <c r="G285">
        <v>7.5</v>
      </c>
    </row>
    <row r="286" spans="1:7" x14ac:dyDescent="0.25">
      <c r="A286" t="s">
        <v>5</v>
      </c>
      <c r="B286">
        <v>284</v>
      </c>
      <c r="C286">
        <v>21</v>
      </c>
      <c r="D286">
        <v>4.2545804977416992</v>
      </c>
      <c r="E286" t="s">
        <v>10</v>
      </c>
      <c r="F286" t="s">
        <v>14</v>
      </c>
      <c r="G286">
        <v>7.5</v>
      </c>
    </row>
    <row r="287" spans="1:7" x14ac:dyDescent="0.25">
      <c r="A287" t="s">
        <v>5</v>
      </c>
      <c r="B287">
        <v>285</v>
      </c>
      <c r="C287">
        <v>100</v>
      </c>
      <c r="D287">
        <v>8.4591255187988281</v>
      </c>
      <c r="E287" t="s">
        <v>10</v>
      </c>
      <c r="F287" t="s">
        <v>14</v>
      </c>
      <c r="G287">
        <v>7.5</v>
      </c>
    </row>
    <row r="288" spans="1:7" x14ac:dyDescent="0.25">
      <c r="A288" t="s">
        <v>5</v>
      </c>
      <c r="B288">
        <v>286</v>
      </c>
      <c r="C288">
        <v>87</v>
      </c>
      <c r="D288">
        <v>7.3669371604919434</v>
      </c>
      <c r="E288" t="s">
        <v>10</v>
      </c>
      <c r="F288" t="s">
        <v>14</v>
      </c>
      <c r="G288">
        <v>7.5</v>
      </c>
    </row>
    <row r="289" spans="1:7" x14ac:dyDescent="0.25">
      <c r="A289" t="s">
        <v>5</v>
      </c>
      <c r="B289">
        <v>287</v>
      </c>
      <c r="C289">
        <v>90</v>
      </c>
      <c r="D289">
        <v>8.174222469329834</v>
      </c>
      <c r="E289" t="s">
        <v>10</v>
      </c>
      <c r="F289" t="s">
        <v>14</v>
      </c>
      <c r="G289">
        <v>7.5</v>
      </c>
    </row>
    <row r="290" spans="1:7" x14ac:dyDescent="0.25">
      <c r="A290" t="s">
        <v>5</v>
      </c>
      <c r="B290">
        <v>288</v>
      </c>
      <c r="C290">
        <v>37</v>
      </c>
      <c r="D290">
        <v>7.043454647064209</v>
      </c>
      <c r="E290" t="s">
        <v>10</v>
      </c>
      <c r="F290" t="s">
        <v>14</v>
      </c>
      <c r="G290">
        <v>7.5</v>
      </c>
    </row>
    <row r="291" spans="1:7" x14ac:dyDescent="0.25">
      <c r="A291" t="s">
        <v>5</v>
      </c>
      <c r="B291">
        <v>289</v>
      </c>
      <c r="C291">
        <v>87</v>
      </c>
      <c r="D291">
        <v>3.909569263458252</v>
      </c>
      <c r="E291" t="s">
        <v>10</v>
      </c>
      <c r="F291" t="s">
        <v>14</v>
      </c>
      <c r="G291">
        <v>7.5</v>
      </c>
    </row>
    <row r="292" spans="1:7" x14ac:dyDescent="0.25">
      <c r="A292" t="s">
        <v>5</v>
      </c>
      <c r="B292">
        <v>290</v>
      </c>
      <c r="C292">
        <v>55</v>
      </c>
      <c r="D292">
        <v>11.028041839599609</v>
      </c>
      <c r="E292" t="s">
        <v>10</v>
      </c>
      <c r="F292" t="s">
        <v>14</v>
      </c>
      <c r="G292">
        <v>7.5</v>
      </c>
    </row>
    <row r="293" spans="1:7" x14ac:dyDescent="0.25">
      <c r="A293" t="s">
        <v>5</v>
      </c>
      <c r="B293">
        <v>291</v>
      </c>
      <c r="C293">
        <v>64</v>
      </c>
      <c r="D293">
        <v>14.811200857162476</v>
      </c>
      <c r="E293" t="s">
        <v>10</v>
      </c>
      <c r="F293" t="s">
        <v>14</v>
      </c>
      <c r="G293">
        <v>6.8</v>
      </c>
    </row>
    <row r="294" spans="1:7" x14ac:dyDescent="0.25">
      <c r="A294" t="s">
        <v>5</v>
      </c>
      <c r="B294">
        <v>292</v>
      </c>
      <c r="C294">
        <v>80</v>
      </c>
      <c r="D294">
        <v>13.653594732284546</v>
      </c>
      <c r="E294" t="s">
        <v>10</v>
      </c>
      <c r="F294" t="s">
        <v>14</v>
      </c>
      <c r="G294">
        <v>6.8</v>
      </c>
    </row>
    <row r="295" spans="1:7" x14ac:dyDescent="0.25">
      <c r="A295" t="s">
        <v>5</v>
      </c>
      <c r="B295">
        <v>293</v>
      </c>
      <c r="C295">
        <v>47</v>
      </c>
      <c r="D295">
        <v>9.8378913402557373</v>
      </c>
      <c r="E295" t="s">
        <v>10</v>
      </c>
      <c r="F295" t="s">
        <v>14</v>
      </c>
      <c r="G295">
        <v>6.8</v>
      </c>
    </row>
    <row r="296" spans="1:7" x14ac:dyDescent="0.25">
      <c r="A296" t="s">
        <v>5</v>
      </c>
      <c r="B296">
        <v>294</v>
      </c>
      <c r="C296">
        <v>90</v>
      </c>
      <c r="D296">
        <v>10.042390108108521</v>
      </c>
      <c r="E296" t="s">
        <v>10</v>
      </c>
      <c r="F296" t="s">
        <v>14</v>
      </c>
      <c r="G296">
        <v>6.8</v>
      </c>
    </row>
    <row r="297" spans="1:7" x14ac:dyDescent="0.25">
      <c r="A297" t="s">
        <v>5</v>
      </c>
      <c r="B297">
        <v>295</v>
      </c>
      <c r="C297">
        <v>100</v>
      </c>
      <c r="D297">
        <v>10.51423716545105</v>
      </c>
      <c r="E297" t="s">
        <v>10</v>
      </c>
      <c r="F297" t="s">
        <v>14</v>
      </c>
      <c r="G297">
        <v>7.5</v>
      </c>
    </row>
    <row r="298" spans="1:7" x14ac:dyDescent="0.25">
      <c r="A298" t="s">
        <v>5</v>
      </c>
      <c r="B298">
        <v>296</v>
      </c>
      <c r="C298">
        <v>70</v>
      </c>
      <c r="D298">
        <v>8.280181884765625</v>
      </c>
      <c r="E298" t="s">
        <v>10</v>
      </c>
      <c r="F298" t="s">
        <v>15</v>
      </c>
      <c r="G298">
        <v>7.5</v>
      </c>
    </row>
    <row r="299" spans="1:7" x14ac:dyDescent="0.25">
      <c r="A299" t="s">
        <v>5</v>
      </c>
      <c r="B299">
        <v>297</v>
      </c>
      <c r="C299">
        <v>70</v>
      </c>
      <c r="D299">
        <v>7.0702900886535645</v>
      </c>
      <c r="E299" t="s">
        <v>10</v>
      </c>
      <c r="F299" t="s">
        <v>15</v>
      </c>
      <c r="G299">
        <v>7.5</v>
      </c>
    </row>
    <row r="300" spans="1:7" x14ac:dyDescent="0.25">
      <c r="A300" t="s">
        <v>5</v>
      </c>
      <c r="B300">
        <v>298</v>
      </c>
      <c r="C300">
        <v>85</v>
      </c>
      <c r="D300">
        <v>11.694950819015503</v>
      </c>
      <c r="E300" t="s">
        <v>10</v>
      </c>
      <c r="F300" t="s">
        <v>15</v>
      </c>
      <c r="G300">
        <v>7.5</v>
      </c>
    </row>
    <row r="301" spans="1:7" x14ac:dyDescent="0.25">
      <c r="A301" t="s">
        <v>5</v>
      </c>
      <c r="B301">
        <v>299</v>
      </c>
      <c r="C301">
        <v>86</v>
      </c>
      <c r="D301">
        <v>15.159452199935913</v>
      </c>
      <c r="E301" t="s">
        <v>10</v>
      </c>
      <c r="F301" t="s">
        <v>20</v>
      </c>
      <c r="G301">
        <v>7.5</v>
      </c>
    </row>
    <row r="302" spans="1:7" x14ac:dyDescent="0.25">
      <c r="A302" t="s">
        <v>5</v>
      </c>
      <c r="B302">
        <v>300</v>
      </c>
      <c r="C302">
        <v>67</v>
      </c>
      <c r="D302">
        <v>7.7671127319335938</v>
      </c>
      <c r="E302" t="s">
        <v>10</v>
      </c>
      <c r="F302" t="s">
        <v>20</v>
      </c>
      <c r="G302">
        <v>7.5</v>
      </c>
    </row>
    <row r="303" spans="1:7" x14ac:dyDescent="0.25">
      <c r="A303" t="s">
        <v>5</v>
      </c>
      <c r="B303">
        <v>301</v>
      </c>
      <c r="C303">
        <v>47</v>
      </c>
      <c r="D303">
        <v>7.9796392917633057</v>
      </c>
      <c r="E303" t="s">
        <v>10</v>
      </c>
      <c r="F303" t="s">
        <v>15</v>
      </c>
      <c r="G303">
        <v>7.5</v>
      </c>
    </row>
    <row r="304" spans="1:7" x14ac:dyDescent="0.25">
      <c r="A304" t="s">
        <v>5</v>
      </c>
      <c r="B304">
        <v>302</v>
      </c>
      <c r="C304">
        <v>91</v>
      </c>
      <c r="D304">
        <v>9.5158977508544922</v>
      </c>
      <c r="E304" t="s">
        <v>10</v>
      </c>
      <c r="F304" t="s">
        <v>14</v>
      </c>
      <c r="G304">
        <v>7.5</v>
      </c>
    </row>
    <row r="305" spans="1:7" x14ac:dyDescent="0.25">
      <c r="A305" t="s">
        <v>5</v>
      </c>
      <c r="B305">
        <v>303</v>
      </c>
      <c r="C305">
        <v>84</v>
      </c>
      <c r="D305">
        <v>25.039443016052246</v>
      </c>
      <c r="E305" t="s">
        <v>10</v>
      </c>
      <c r="F305" t="s">
        <v>15</v>
      </c>
      <c r="G305">
        <v>5</v>
      </c>
    </row>
    <row r="306" spans="1:7" x14ac:dyDescent="0.25">
      <c r="A306" t="s">
        <v>5</v>
      </c>
      <c r="B306">
        <v>304</v>
      </c>
      <c r="C306">
        <v>70</v>
      </c>
      <c r="D306">
        <v>4.1425712108612061</v>
      </c>
      <c r="E306" t="s">
        <v>10</v>
      </c>
      <c r="F306" t="s">
        <v>15</v>
      </c>
      <c r="G306">
        <v>5</v>
      </c>
    </row>
    <row r="307" spans="1:7" x14ac:dyDescent="0.25">
      <c r="A307" t="s">
        <v>5</v>
      </c>
      <c r="B307">
        <v>305</v>
      </c>
      <c r="C307">
        <v>47</v>
      </c>
      <c r="D307">
        <v>7.4953176975250244</v>
      </c>
      <c r="E307" t="s">
        <v>10</v>
      </c>
      <c r="F307" t="s">
        <v>15</v>
      </c>
      <c r="G307">
        <v>5</v>
      </c>
    </row>
    <row r="308" spans="1:7" x14ac:dyDescent="0.25">
      <c r="A308" t="s">
        <v>5</v>
      </c>
      <c r="B308">
        <v>306</v>
      </c>
      <c r="C308">
        <v>27</v>
      </c>
      <c r="D308">
        <v>9.5721158981323242</v>
      </c>
      <c r="E308" t="s">
        <v>10</v>
      </c>
      <c r="F308" t="s">
        <v>13</v>
      </c>
      <c r="G308">
        <v>6.8</v>
      </c>
    </row>
    <row r="309" spans="1:7" x14ac:dyDescent="0.25">
      <c r="A309" t="s">
        <v>5</v>
      </c>
      <c r="B309">
        <v>307</v>
      </c>
      <c r="C309">
        <v>30</v>
      </c>
      <c r="D309">
        <v>3.9375119209289551</v>
      </c>
      <c r="E309" t="s">
        <v>10</v>
      </c>
      <c r="F309" t="s">
        <v>13</v>
      </c>
      <c r="G309">
        <v>6.8</v>
      </c>
    </row>
    <row r="310" spans="1:7" x14ac:dyDescent="0.25">
      <c r="A310" t="s">
        <v>5</v>
      </c>
      <c r="B310">
        <v>308</v>
      </c>
      <c r="C310">
        <v>100</v>
      </c>
      <c r="D310">
        <v>3.971064567565918</v>
      </c>
      <c r="E310" t="s">
        <v>10</v>
      </c>
      <c r="F310" t="s">
        <v>13</v>
      </c>
      <c r="G310">
        <v>6.8</v>
      </c>
    </row>
    <row r="311" spans="1:7" x14ac:dyDescent="0.25">
      <c r="A311" t="s">
        <v>5</v>
      </c>
      <c r="B311">
        <v>309</v>
      </c>
      <c r="C311">
        <v>10</v>
      </c>
      <c r="D311">
        <v>8.2400290966033936</v>
      </c>
      <c r="E311" t="s">
        <v>10</v>
      </c>
      <c r="F311" t="s">
        <v>13</v>
      </c>
      <c r="G311">
        <v>6.8</v>
      </c>
    </row>
    <row r="312" spans="1:7" x14ac:dyDescent="0.25">
      <c r="A312" t="s">
        <v>5</v>
      </c>
      <c r="B312">
        <v>310</v>
      </c>
      <c r="C312">
        <v>100</v>
      </c>
      <c r="D312">
        <v>7.7133986949920654</v>
      </c>
      <c r="E312" t="s">
        <v>10</v>
      </c>
      <c r="F312" t="s">
        <v>31</v>
      </c>
      <c r="G312">
        <v>7.5</v>
      </c>
    </row>
    <row r="313" spans="1:7" x14ac:dyDescent="0.25">
      <c r="A313" t="s">
        <v>5</v>
      </c>
      <c r="B313">
        <v>311</v>
      </c>
      <c r="C313">
        <v>75</v>
      </c>
      <c r="D313">
        <v>7.8940238952636719</v>
      </c>
      <c r="E313" t="s">
        <v>10</v>
      </c>
      <c r="F313" t="s">
        <v>21</v>
      </c>
      <c r="G313">
        <v>7.5</v>
      </c>
    </row>
    <row r="314" spans="1:7" x14ac:dyDescent="0.25">
      <c r="A314" t="s">
        <v>5</v>
      </c>
      <c r="B314">
        <v>312</v>
      </c>
      <c r="C314">
        <v>80</v>
      </c>
      <c r="D314">
        <v>3.2407419681549072</v>
      </c>
      <c r="E314" t="s">
        <v>19</v>
      </c>
      <c r="F314" t="s">
        <v>15</v>
      </c>
      <c r="G314">
        <v>5</v>
      </c>
    </row>
    <row r="315" spans="1:7" x14ac:dyDescent="0.25">
      <c r="A315" t="s">
        <v>5</v>
      </c>
      <c r="B315">
        <v>313</v>
      </c>
      <c r="C315">
        <v>50</v>
      </c>
      <c r="D315">
        <v>2.6774551868438721</v>
      </c>
      <c r="E315" t="s">
        <v>19</v>
      </c>
      <c r="F315" t="s">
        <v>15</v>
      </c>
      <c r="G315">
        <v>5</v>
      </c>
    </row>
    <row r="316" spans="1:7" x14ac:dyDescent="0.25">
      <c r="A316" t="s">
        <v>5</v>
      </c>
      <c r="B316">
        <v>314</v>
      </c>
      <c r="C316">
        <v>47</v>
      </c>
      <c r="D316">
        <v>3.5595312118530273</v>
      </c>
      <c r="E316" t="s">
        <v>19</v>
      </c>
      <c r="F316" t="s">
        <v>15</v>
      </c>
      <c r="G316">
        <v>5</v>
      </c>
    </row>
    <row r="317" spans="1:7" x14ac:dyDescent="0.25">
      <c r="A317" t="s">
        <v>5</v>
      </c>
      <c r="B317">
        <v>315</v>
      </c>
      <c r="C317">
        <v>30</v>
      </c>
      <c r="D317">
        <v>3.3928697109222412</v>
      </c>
      <c r="E317" t="s">
        <v>19</v>
      </c>
      <c r="F317" t="s">
        <v>15</v>
      </c>
      <c r="G317">
        <v>5</v>
      </c>
    </row>
    <row r="318" spans="1:7" x14ac:dyDescent="0.25">
      <c r="A318" t="s">
        <v>5</v>
      </c>
      <c r="B318">
        <v>316</v>
      </c>
      <c r="C318">
        <v>20</v>
      </c>
      <c r="D318">
        <v>3.6843678951263428</v>
      </c>
      <c r="E318" t="s">
        <v>19</v>
      </c>
      <c r="F318" t="s">
        <v>15</v>
      </c>
      <c r="G318">
        <v>5</v>
      </c>
    </row>
    <row r="319" spans="1:7" x14ac:dyDescent="0.25">
      <c r="A319" t="s">
        <v>5</v>
      </c>
      <c r="B319">
        <v>317</v>
      </c>
      <c r="C319">
        <v>100</v>
      </c>
      <c r="D319">
        <v>6.7461493015289307</v>
      </c>
      <c r="E319" t="s">
        <v>19</v>
      </c>
      <c r="F319" t="s">
        <v>15</v>
      </c>
      <c r="G319">
        <v>5</v>
      </c>
    </row>
    <row r="320" spans="1:7" x14ac:dyDescent="0.25">
      <c r="A320" t="s">
        <v>5</v>
      </c>
      <c r="B320">
        <v>318</v>
      </c>
      <c r="C320">
        <v>100</v>
      </c>
      <c r="D320">
        <v>8.5257961750030518</v>
      </c>
      <c r="E320" t="s">
        <v>10</v>
      </c>
      <c r="F320" t="s">
        <v>30</v>
      </c>
      <c r="G320">
        <v>7.5</v>
      </c>
    </row>
    <row r="321" spans="1:7" x14ac:dyDescent="0.25">
      <c r="A321" t="s">
        <v>5</v>
      </c>
      <c r="B321">
        <v>319</v>
      </c>
      <c r="C321">
        <v>30</v>
      </c>
      <c r="D321">
        <v>2.7441532611846924</v>
      </c>
      <c r="E321" t="s">
        <v>10</v>
      </c>
      <c r="F321" t="s">
        <v>15</v>
      </c>
      <c r="G321">
        <v>7.5</v>
      </c>
    </row>
    <row r="322" spans="1:7" x14ac:dyDescent="0.25">
      <c r="A322" t="s">
        <v>5</v>
      </c>
      <c r="B322">
        <v>320</v>
      </c>
      <c r="C322">
        <v>42</v>
      </c>
      <c r="D322">
        <v>9.4762871265411377</v>
      </c>
      <c r="E322" t="s">
        <v>10</v>
      </c>
      <c r="F322" t="s">
        <v>21</v>
      </c>
      <c r="G322">
        <v>7.5</v>
      </c>
    </row>
    <row r="323" spans="1:7" x14ac:dyDescent="0.25">
      <c r="A323" t="s">
        <v>5</v>
      </c>
      <c r="B323">
        <v>321</v>
      </c>
      <c r="C323">
        <v>70</v>
      </c>
      <c r="D323">
        <v>5.3619263172149658</v>
      </c>
      <c r="E323" t="s">
        <v>10</v>
      </c>
      <c r="F323" t="s">
        <v>15</v>
      </c>
      <c r="G323">
        <v>4.9000000000000004</v>
      </c>
    </row>
    <row r="324" spans="1:7" x14ac:dyDescent="0.25">
      <c r="A324" t="s">
        <v>5</v>
      </c>
      <c r="B324">
        <v>322</v>
      </c>
      <c r="C324">
        <v>89</v>
      </c>
      <c r="D324">
        <v>15.769379854202271</v>
      </c>
      <c r="E324" t="s">
        <v>10</v>
      </c>
      <c r="F324" t="s">
        <v>15</v>
      </c>
      <c r="G324">
        <v>2.1</v>
      </c>
    </row>
    <row r="325" spans="1:7" x14ac:dyDescent="0.25">
      <c r="A325" t="s">
        <v>5</v>
      </c>
      <c r="B325">
        <v>323</v>
      </c>
      <c r="C325">
        <v>70</v>
      </c>
      <c r="D325">
        <v>6.2020814418792725</v>
      </c>
      <c r="E325" t="s">
        <v>10</v>
      </c>
      <c r="F325" t="s">
        <v>21</v>
      </c>
      <c r="G325">
        <v>7.5</v>
      </c>
    </row>
    <row r="326" spans="1:7" x14ac:dyDescent="0.25">
      <c r="A326" t="s">
        <v>5</v>
      </c>
      <c r="B326">
        <v>324</v>
      </c>
      <c r="C326">
        <v>70</v>
      </c>
      <c r="D326">
        <v>13.08199405670166</v>
      </c>
      <c r="E326" t="s">
        <v>10</v>
      </c>
      <c r="F326" t="s">
        <v>21</v>
      </c>
      <c r="G326">
        <v>7.5</v>
      </c>
    </row>
    <row r="327" spans="1:7" x14ac:dyDescent="0.25">
      <c r="A327" t="s">
        <v>5</v>
      </c>
      <c r="B327">
        <v>325</v>
      </c>
      <c r="C327">
        <v>30</v>
      </c>
      <c r="D327">
        <v>4.3079173564910889</v>
      </c>
      <c r="E327" t="s">
        <v>10</v>
      </c>
      <c r="F327" t="s">
        <v>20</v>
      </c>
      <c r="G327">
        <v>7.5</v>
      </c>
    </row>
    <row r="328" spans="1:7" x14ac:dyDescent="0.25">
      <c r="A328" t="s">
        <v>5</v>
      </c>
      <c r="B328">
        <v>326</v>
      </c>
      <c r="C328">
        <v>100</v>
      </c>
      <c r="D328">
        <v>16.447242259979248</v>
      </c>
      <c r="E328" t="s">
        <v>19</v>
      </c>
      <c r="F328" t="s">
        <v>13</v>
      </c>
      <c r="G328">
        <v>4.3</v>
      </c>
    </row>
    <row r="329" spans="1:7" x14ac:dyDescent="0.25">
      <c r="A329" t="s">
        <v>5</v>
      </c>
      <c r="B329">
        <v>327</v>
      </c>
      <c r="C329">
        <v>100</v>
      </c>
      <c r="D329">
        <v>6.454859733581543</v>
      </c>
      <c r="E329" t="s">
        <v>10</v>
      </c>
      <c r="F329" t="s">
        <v>21</v>
      </c>
      <c r="G329">
        <v>7.5</v>
      </c>
    </row>
    <row r="330" spans="1:7" x14ac:dyDescent="0.25">
      <c r="A330" t="s">
        <v>5</v>
      </c>
      <c r="B330">
        <v>328</v>
      </c>
      <c r="C330">
        <v>100</v>
      </c>
      <c r="D330">
        <v>281.80902147293091</v>
      </c>
      <c r="E330" t="s">
        <v>10</v>
      </c>
      <c r="F330" t="s">
        <v>22</v>
      </c>
      <c r="G330">
        <v>7.5</v>
      </c>
    </row>
    <row r="331" spans="1:7" x14ac:dyDescent="0.25">
      <c r="A331" t="s">
        <v>5</v>
      </c>
      <c r="B331">
        <v>329</v>
      </c>
      <c r="C331">
        <v>47</v>
      </c>
      <c r="D331">
        <v>5.5215480327606201</v>
      </c>
      <c r="E331" t="s">
        <v>10</v>
      </c>
      <c r="F331" t="s">
        <v>22</v>
      </c>
      <c r="G331">
        <v>7.5</v>
      </c>
    </row>
    <row r="332" spans="1:7" x14ac:dyDescent="0.25">
      <c r="A332" t="s">
        <v>5</v>
      </c>
      <c r="B332">
        <v>330</v>
      </c>
      <c r="C332">
        <v>100</v>
      </c>
      <c r="D332">
        <v>2.9914195537567139</v>
      </c>
      <c r="E332" t="s">
        <v>10</v>
      </c>
      <c r="F332" t="s">
        <v>23</v>
      </c>
      <c r="G332">
        <v>4.5999999999999996</v>
      </c>
    </row>
    <row r="333" spans="1:7" x14ac:dyDescent="0.25">
      <c r="A333" t="s">
        <v>5</v>
      </c>
      <c r="B333">
        <v>331</v>
      </c>
      <c r="C333">
        <v>100</v>
      </c>
      <c r="D333">
        <v>7.4754154682159424</v>
      </c>
      <c r="E333" t="s">
        <v>10</v>
      </c>
      <c r="F333" t="s">
        <v>15</v>
      </c>
      <c r="G333">
        <v>4.9000000000000004</v>
      </c>
    </row>
    <row r="334" spans="1:7" x14ac:dyDescent="0.25">
      <c r="A334" t="s">
        <v>5</v>
      </c>
      <c r="B334">
        <v>332</v>
      </c>
      <c r="C334">
        <v>40</v>
      </c>
      <c r="D334">
        <v>2.6679918766021729</v>
      </c>
      <c r="E334" t="s">
        <v>10</v>
      </c>
      <c r="F334" t="s">
        <v>15</v>
      </c>
      <c r="G334">
        <v>4.9000000000000004</v>
      </c>
    </row>
    <row r="335" spans="1:7" x14ac:dyDescent="0.25">
      <c r="A335" t="s">
        <v>5</v>
      </c>
      <c r="B335">
        <v>333</v>
      </c>
      <c r="C335">
        <v>100</v>
      </c>
      <c r="D335">
        <v>4.717216968536377</v>
      </c>
      <c r="E335" t="s">
        <v>10</v>
      </c>
      <c r="F335" t="s">
        <v>20</v>
      </c>
      <c r="G335">
        <v>6.8</v>
      </c>
    </row>
    <row r="336" spans="1:7" x14ac:dyDescent="0.25">
      <c r="A336" t="s">
        <v>5</v>
      </c>
      <c r="B336">
        <v>334</v>
      </c>
      <c r="C336">
        <v>100</v>
      </c>
      <c r="D336">
        <v>3.8497264385223389</v>
      </c>
      <c r="E336" t="s">
        <v>10</v>
      </c>
      <c r="F336" t="s">
        <v>14</v>
      </c>
      <c r="G336">
        <v>6.8</v>
      </c>
    </row>
    <row r="337" spans="1:7" x14ac:dyDescent="0.25">
      <c r="A337" t="s">
        <v>5</v>
      </c>
      <c r="B337">
        <v>335</v>
      </c>
      <c r="C337">
        <v>84</v>
      </c>
      <c r="D337">
        <v>14.923604965209961</v>
      </c>
      <c r="E337" t="s">
        <v>10</v>
      </c>
      <c r="F337" t="s">
        <v>23</v>
      </c>
      <c r="G337">
        <v>5</v>
      </c>
    </row>
    <row r="338" spans="1:7" x14ac:dyDescent="0.25">
      <c r="A338" t="s">
        <v>5</v>
      </c>
      <c r="B338">
        <v>336</v>
      </c>
      <c r="C338">
        <v>30</v>
      </c>
      <c r="D338">
        <v>3.5904600620269775</v>
      </c>
      <c r="E338" t="s">
        <v>10</v>
      </c>
      <c r="F338" t="s">
        <v>22</v>
      </c>
      <c r="G338">
        <v>7.5</v>
      </c>
    </row>
    <row r="339" spans="1:7" x14ac:dyDescent="0.25">
      <c r="A339" t="s">
        <v>5</v>
      </c>
      <c r="B339">
        <v>337</v>
      </c>
      <c r="C339">
        <v>100</v>
      </c>
      <c r="D339">
        <v>13.792461395263672</v>
      </c>
      <c r="E339" t="s">
        <v>10</v>
      </c>
      <c r="F339" t="s">
        <v>15</v>
      </c>
      <c r="G339">
        <v>5</v>
      </c>
    </row>
    <row r="340" spans="1:7" x14ac:dyDescent="0.25">
      <c r="A340" t="s">
        <v>5</v>
      </c>
      <c r="B340">
        <v>338</v>
      </c>
      <c r="C340">
        <v>15</v>
      </c>
      <c r="D340">
        <v>3.5095367431640625</v>
      </c>
      <c r="E340" t="s">
        <v>10</v>
      </c>
      <c r="F340" t="s">
        <v>15</v>
      </c>
      <c r="G340">
        <v>5</v>
      </c>
    </row>
    <row r="341" spans="1:7" x14ac:dyDescent="0.25">
      <c r="A341" t="s">
        <v>5</v>
      </c>
      <c r="B341">
        <v>339</v>
      </c>
      <c r="C341">
        <v>80</v>
      </c>
      <c r="D341">
        <v>7.7636523246765137</v>
      </c>
      <c r="E341" t="s">
        <v>19</v>
      </c>
      <c r="F341" t="s">
        <v>32</v>
      </c>
      <c r="G341">
        <v>6.8</v>
      </c>
    </row>
    <row r="342" spans="1:7" x14ac:dyDescent="0.25">
      <c r="A342" t="s">
        <v>5</v>
      </c>
      <c r="B342">
        <v>340</v>
      </c>
      <c r="C342">
        <v>100</v>
      </c>
      <c r="D342">
        <v>5.3880648612976074</v>
      </c>
      <c r="E342" t="s">
        <v>19</v>
      </c>
      <c r="F342" t="s">
        <v>15</v>
      </c>
      <c r="G342">
        <v>6.8</v>
      </c>
    </row>
    <row r="343" spans="1:7" x14ac:dyDescent="0.25">
      <c r="A343" t="s">
        <v>5</v>
      </c>
      <c r="B343">
        <v>341</v>
      </c>
      <c r="C343">
        <v>70</v>
      </c>
      <c r="D343">
        <v>4.9818952083587646</v>
      </c>
      <c r="E343" t="s">
        <v>19</v>
      </c>
      <c r="F343" t="s">
        <v>15</v>
      </c>
      <c r="G343">
        <v>6.8</v>
      </c>
    </row>
    <row r="344" spans="1:7" x14ac:dyDescent="0.25">
      <c r="A344" t="s">
        <v>5</v>
      </c>
      <c r="B344">
        <v>342</v>
      </c>
      <c r="C344">
        <v>70</v>
      </c>
      <c r="D344">
        <v>6.8066198825836182</v>
      </c>
      <c r="E344" t="s">
        <v>10</v>
      </c>
      <c r="F344" t="s">
        <v>15</v>
      </c>
      <c r="G344">
        <v>2.1</v>
      </c>
    </row>
    <row r="345" spans="1:7" x14ac:dyDescent="0.25">
      <c r="A345" t="s">
        <v>5</v>
      </c>
      <c r="B345">
        <v>343</v>
      </c>
      <c r="C345">
        <v>20</v>
      </c>
      <c r="D345">
        <v>4.6944961547851563</v>
      </c>
      <c r="E345" t="s">
        <v>10</v>
      </c>
      <c r="F345" t="s">
        <v>15</v>
      </c>
      <c r="G345">
        <v>2.1</v>
      </c>
    </row>
    <row r="346" spans="1:7" x14ac:dyDescent="0.25">
      <c r="A346" t="s">
        <v>5</v>
      </c>
      <c r="B346">
        <v>344</v>
      </c>
      <c r="C346">
        <v>21</v>
      </c>
      <c r="D346">
        <v>4.5876903533935547</v>
      </c>
      <c r="E346" t="s">
        <v>10</v>
      </c>
      <c r="F346" t="s">
        <v>26</v>
      </c>
      <c r="G346">
        <v>2.1</v>
      </c>
    </row>
    <row r="347" spans="1:7" x14ac:dyDescent="0.25">
      <c r="A347" t="s">
        <v>5</v>
      </c>
      <c r="B347">
        <v>345</v>
      </c>
      <c r="C347">
        <v>15</v>
      </c>
      <c r="D347">
        <v>4.9467840194702148</v>
      </c>
      <c r="E347" t="s">
        <v>10</v>
      </c>
      <c r="F347" t="s">
        <v>15</v>
      </c>
      <c r="G347">
        <v>2.1</v>
      </c>
    </row>
    <row r="348" spans="1:7" x14ac:dyDescent="0.25">
      <c r="A348" t="s">
        <v>5</v>
      </c>
      <c r="B348">
        <v>346</v>
      </c>
      <c r="C348">
        <v>24</v>
      </c>
      <c r="D348">
        <v>3.4322082996368408</v>
      </c>
      <c r="E348" t="s">
        <v>10</v>
      </c>
      <c r="F348" t="s">
        <v>15</v>
      </c>
      <c r="G348">
        <v>1.9</v>
      </c>
    </row>
    <row r="349" spans="1:7" x14ac:dyDescent="0.25">
      <c r="A349" t="s">
        <v>5</v>
      </c>
      <c r="B349">
        <v>347</v>
      </c>
      <c r="C349">
        <v>100</v>
      </c>
      <c r="D349">
        <v>7.0692358016967773</v>
      </c>
      <c r="E349" t="s">
        <v>10</v>
      </c>
      <c r="F349" t="s">
        <v>15</v>
      </c>
      <c r="G349">
        <v>1.9</v>
      </c>
    </row>
    <row r="350" spans="1:7" x14ac:dyDescent="0.25">
      <c r="A350" t="s">
        <v>5</v>
      </c>
      <c r="B350">
        <v>348</v>
      </c>
      <c r="C350">
        <v>21</v>
      </c>
      <c r="D350">
        <v>9.3301334381103516</v>
      </c>
      <c r="E350" t="s">
        <v>10</v>
      </c>
      <c r="F350" t="s">
        <v>15</v>
      </c>
      <c r="G350">
        <v>2.1</v>
      </c>
    </row>
    <row r="351" spans="1:7" x14ac:dyDescent="0.25">
      <c r="A351" t="s">
        <v>5</v>
      </c>
      <c r="B351">
        <v>349</v>
      </c>
      <c r="C351">
        <v>47</v>
      </c>
      <c r="D351">
        <v>7.8982999324798584</v>
      </c>
      <c r="E351" t="s">
        <v>10</v>
      </c>
      <c r="F351" t="s">
        <v>21</v>
      </c>
      <c r="G351">
        <v>7.5</v>
      </c>
    </row>
    <row r="352" spans="1:7" x14ac:dyDescent="0.25">
      <c r="A352" t="s">
        <v>5</v>
      </c>
      <c r="B352">
        <v>350</v>
      </c>
      <c r="C352">
        <v>87</v>
      </c>
      <c r="D352">
        <v>6.2613711357116699</v>
      </c>
      <c r="E352" t="s">
        <v>10</v>
      </c>
      <c r="F352" t="s">
        <v>13</v>
      </c>
      <c r="G352">
        <v>7.5</v>
      </c>
    </row>
    <row r="353" spans="1:7" x14ac:dyDescent="0.25">
      <c r="A353" t="s">
        <v>5</v>
      </c>
      <c r="B353">
        <v>351</v>
      </c>
      <c r="C353">
        <v>80</v>
      </c>
      <c r="D353">
        <v>7.5731632709503174</v>
      </c>
      <c r="E353" t="s">
        <v>10</v>
      </c>
      <c r="F353" t="s">
        <v>13</v>
      </c>
      <c r="G353">
        <v>7.5</v>
      </c>
    </row>
    <row r="354" spans="1:7" x14ac:dyDescent="0.25">
      <c r="A354" t="s">
        <v>5</v>
      </c>
      <c r="B354">
        <v>352</v>
      </c>
      <c r="C354">
        <v>70</v>
      </c>
      <c r="D354">
        <v>8.9754867553710938</v>
      </c>
      <c r="E354" t="s">
        <v>10</v>
      </c>
      <c r="F354" t="s">
        <v>13</v>
      </c>
      <c r="G354">
        <v>7.5</v>
      </c>
    </row>
    <row r="355" spans="1:7" x14ac:dyDescent="0.25">
      <c r="A355" t="s">
        <v>5</v>
      </c>
      <c r="B355">
        <v>353</v>
      </c>
      <c r="C355">
        <v>37</v>
      </c>
      <c r="D355">
        <v>4.1290876865386963</v>
      </c>
      <c r="E355" t="s">
        <v>10</v>
      </c>
      <c r="F355" t="s">
        <v>15</v>
      </c>
      <c r="G355">
        <v>5</v>
      </c>
    </row>
    <row r="356" spans="1:7" x14ac:dyDescent="0.25">
      <c r="A356" t="s">
        <v>5</v>
      </c>
      <c r="B356">
        <v>354</v>
      </c>
      <c r="C356">
        <v>91</v>
      </c>
      <c r="D356">
        <v>8.8164188861846924</v>
      </c>
      <c r="E356" t="s">
        <v>10</v>
      </c>
      <c r="F356" t="s">
        <v>15</v>
      </c>
      <c r="G356">
        <v>5</v>
      </c>
    </row>
    <row r="357" spans="1:7" x14ac:dyDescent="0.25">
      <c r="A357" t="s">
        <v>5</v>
      </c>
      <c r="B357">
        <v>355</v>
      </c>
      <c r="C357">
        <v>100</v>
      </c>
      <c r="D357">
        <v>11.073890447616577</v>
      </c>
      <c r="E357" t="s">
        <v>10</v>
      </c>
      <c r="F357" t="s">
        <v>15</v>
      </c>
      <c r="G357">
        <v>5</v>
      </c>
    </row>
    <row r="358" spans="1:7" x14ac:dyDescent="0.25">
      <c r="A358" t="s">
        <v>5</v>
      </c>
      <c r="B358">
        <v>356</v>
      </c>
      <c r="C358">
        <v>70</v>
      </c>
      <c r="D358">
        <v>5.2156567573547363</v>
      </c>
      <c r="E358" t="s">
        <v>10</v>
      </c>
      <c r="F358" t="s">
        <v>15</v>
      </c>
      <c r="G358">
        <v>5</v>
      </c>
    </row>
    <row r="359" spans="1:7" x14ac:dyDescent="0.25">
      <c r="A359" t="s">
        <v>5</v>
      </c>
      <c r="B359">
        <v>357</v>
      </c>
      <c r="C359">
        <v>30</v>
      </c>
      <c r="D359">
        <v>4.1763854026794434</v>
      </c>
      <c r="E359" t="s">
        <v>10</v>
      </c>
      <c r="F359" t="s">
        <v>15</v>
      </c>
      <c r="G359">
        <v>5</v>
      </c>
    </row>
    <row r="360" spans="1:7" x14ac:dyDescent="0.25">
      <c r="A360" t="s">
        <v>5</v>
      </c>
      <c r="B360">
        <v>358</v>
      </c>
      <c r="C360">
        <v>27</v>
      </c>
      <c r="D360">
        <v>4.6663777828216553</v>
      </c>
      <c r="E360" t="s">
        <v>10</v>
      </c>
      <c r="F360" t="s">
        <v>33</v>
      </c>
      <c r="G360">
        <v>7.5</v>
      </c>
    </row>
    <row r="361" spans="1:7" x14ac:dyDescent="0.25">
      <c r="A361" t="s">
        <v>5</v>
      </c>
      <c r="B361">
        <v>359</v>
      </c>
      <c r="C361">
        <v>37</v>
      </c>
      <c r="D361">
        <v>5.9352662563323975</v>
      </c>
      <c r="E361" t="s">
        <v>10</v>
      </c>
      <c r="F361" t="s">
        <v>28</v>
      </c>
      <c r="G361">
        <v>7.5</v>
      </c>
    </row>
    <row r="362" spans="1:7" x14ac:dyDescent="0.25">
      <c r="A362" t="s">
        <v>5</v>
      </c>
      <c r="B362">
        <v>360</v>
      </c>
      <c r="C362">
        <v>21</v>
      </c>
      <c r="D362">
        <v>3.7644956111907959</v>
      </c>
      <c r="E362" t="s">
        <v>10</v>
      </c>
      <c r="F362" t="s">
        <v>28</v>
      </c>
      <c r="G362">
        <v>7.5</v>
      </c>
    </row>
    <row r="363" spans="1:7" x14ac:dyDescent="0.25">
      <c r="A363" t="s">
        <v>5</v>
      </c>
      <c r="B363">
        <v>361</v>
      </c>
      <c r="C363">
        <v>47</v>
      </c>
      <c r="D363">
        <v>5.1145057678222656</v>
      </c>
      <c r="E363" t="s">
        <v>10</v>
      </c>
      <c r="F363" t="s">
        <v>15</v>
      </c>
      <c r="G363">
        <v>2.1</v>
      </c>
    </row>
    <row r="364" spans="1:7" x14ac:dyDescent="0.25">
      <c r="A364" t="s">
        <v>5</v>
      </c>
      <c r="B364">
        <v>362</v>
      </c>
      <c r="C364">
        <v>100</v>
      </c>
      <c r="D364">
        <v>4.4281647205352783</v>
      </c>
      <c r="E364" t="s">
        <v>10</v>
      </c>
      <c r="F364" t="s">
        <v>15</v>
      </c>
      <c r="G364">
        <v>2.1</v>
      </c>
    </row>
    <row r="365" spans="1:7" x14ac:dyDescent="0.25">
      <c r="A365" t="s">
        <v>5</v>
      </c>
      <c r="B365">
        <v>363</v>
      </c>
      <c r="C365">
        <v>40</v>
      </c>
      <c r="D365">
        <v>4.7887825965881348</v>
      </c>
      <c r="E365" t="s">
        <v>10</v>
      </c>
      <c r="F365" t="s">
        <v>15</v>
      </c>
      <c r="G365">
        <v>4.3</v>
      </c>
    </row>
    <row r="366" spans="1:7" x14ac:dyDescent="0.25">
      <c r="A366" t="s">
        <v>5</v>
      </c>
      <c r="B366">
        <v>364</v>
      </c>
      <c r="C366">
        <v>100</v>
      </c>
      <c r="D366">
        <v>7.2510390281677246</v>
      </c>
      <c r="E366" t="s">
        <v>10</v>
      </c>
      <c r="F366" t="s">
        <v>15</v>
      </c>
      <c r="G366">
        <v>2.1</v>
      </c>
    </row>
    <row r="367" spans="1:7" x14ac:dyDescent="0.25">
      <c r="A367" t="s">
        <v>5</v>
      </c>
      <c r="B367">
        <v>365</v>
      </c>
      <c r="C367">
        <v>16</v>
      </c>
      <c r="D367">
        <v>3.31378173828125</v>
      </c>
      <c r="E367" t="s">
        <v>10</v>
      </c>
      <c r="F367" t="s">
        <v>15</v>
      </c>
      <c r="G367">
        <v>2.1</v>
      </c>
    </row>
    <row r="368" spans="1:7" x14ac:dyDescent="0.25">
      <c r="A368" t="s">
        <v>5</v>
      </c>
      <c r="B368">
        <v>366</v>
      </c>
      <c r="C368">
        <v>100</v>
      </c>
      <c r="D368">
        <v>8.8855359554290771</v>
      </c>
      <c r="E368" t="s">
        <v>19</v>
      </c>
      <c r="F368" t="s">
        <v>23</v>
      </c>
      <c r="G368">
        <v>5.0999999999999996</v>
      </c>
    </row>
    <row r="369" spans="1:7" x14ac:dyDescent="0.25">
      <c r="A369" t="s">
        <v>5</v>
      </c>
      <c r="B369">
        <v>367</v>
      </c>
      <c r="C369">
        <v>49</v>
      </c>
      <c r="D369">
        <v>7.0131590366363525</v>
      </c>
      <c r="E369" t="s">
        <v>10</v>
      </c>
      <c r="F369" t="s">
        <v>21</v>
      </c>
      <c r="G369">
        <v>7.5</v>
      </c>
    </row>
    <row r="370" spans="1:7" x14ac:dyDescent="0.25">
      <c r="A370" t="s">
        <v>5</v>
      </c>
      <c r="B370">
        <v>368</v>
      </c>
      <c r="C370">
        <v>100</v>
      </c>
      <c r="D370">
        <v>9.3291547298431396</v>
      </c>
      <c r="E370" t="s">
        <v>10</v>
      </c>
      <c r="F370" t="s">
        <v>15</v>
      </c>
      <c r="G370">
        <v>2.1</v>
      </c>
    </row>
    <row r="371" spans="1:7" x14ac:dyDescent="0.25">
      <c r="A371" t="s">
        <v>5</v>
      </c>
      <c r="B371">
        <v>369</v>
      </c>
      <c r="C371">
        <v>14</v>
      </c>
      <c r="D371">
        <v>3.9731228351593018</v>
      </c>
      <c r="E371" t="s">
        <v>10</v>
      </c>
      <c r="F371" t="s">
        <v>23</v>
      </c>
      <c r="G371">
        <v>10</v>
      </c>
    </row>
    <row r="372" spans="1:7" x14ac:dyDescent="0.25">
      <c r="A372" t="s">
        <v>5</v>
      </c>
      <c r="B372">
        <v>370</v>
      </c>
      <c r="C372">
        <v>20</v>
      </c>
      <c r="D372">
        <v>3.0346746444702148</v>
      </c>
      <c r="E372" t="s">
        <v>10</v>
      </c>
      <c r="F372" t="s">
        <v>15</v>
      </c>
      <c r="G372">
        <v>2.1</v>
      </c>
    </row>
    <row r="373" spans="1:7" x14ac:dyDescent="0.25">
      <c r="A373" t="s">
        <v>5</v>
      </c>
      <c r="B373">
        <v>371</v>
      </c>
      <c r="C373">
        <v>37</v>
      </c>
      <c r="D373">
        <v>2.8009788990020752</v>
      </c>
      <c r="E373" t="s">
        <v>10</v>
      </c>
      <c r="F373" t="s">
        <v>15</v>
      </c>
      <c r="G373">
        <v>2.1</v>
      </c>
    </row>
    <row r="374" spans="1:7" x14ac:dyDescent="0.25">
      <c r="A374" t="s">
        <v>5</v>
      </c>
      <c r="B374">
        <v>372</v>
      </c>
      <c r="C374">
        <v>47</v>
      </c>
      <c r="D374">
        <v>3.4716496467590332</v>
      </c>
      <c r="E374" t="s">
        <v>10</v>
      </c>
      <c r="F374" t="s">
        <v>15</v>
      </c>
      <c r="G374">
        <v>2.1</v>
      </c>
    </row>
    <row r="375" spans="1:7" x14ac:dyDescent="0.25">
      <c r="A375" t="s">
        <v>5</v>
      </c>
      <c r="B375">
        <v>373</v>
      </c>
      <c r="C375">
        <v>47</v>
      </c>
      <c r="D375">
        <v>3.6533803939819336</v>
      </c>
      <c r="E375" t="s">
        <v>10</v>
      </c>
      <c r="F375" t="s">
        <v>15</v>
      </c>
      <c r="G375">
        <v>2.1</v>
      </c>
    </row>
    <row r="376" spans="1:7" x14ac:dyDescent="0.25">
      <c r="A376" t="s">
        <v>5</v>
      </c>
      <c r="B376">
        <v>374</v>
      </c>
      <c r="C376">
        <v>80</v>
      </c>
      <c r="D376">
        <v>5.8199179172515869</v>
      </c>
      <c r="E376" t="s">
        <v>10</v>
      </c>
      <c r="F376" t="s">
        <v>27</v>
      </c>
      <c r="G376">
        <v>2.1</v>
      </c>
    </row>
    <row r="377" spans="1:7" x14ac:dyDescent="0.25">
      <c r="A377" t="s">
        <v>5</v>
      </c>
      <c r="B377">
        <v>375</v>
      </c>
      <c r="C377">
        <v>70</v>
      </c>
      <c r="D377">
        <v>4.5843167304992676</v>
      </c>
      <c r="E377" t="s">
        <v>10</v>
      </c>
      <c r="F377" t="s">
        <v>27</v>
      </c>
      <c r="G377">
        <v>2.1</v>
      </c>
    </row>
    <row r="378" spans="1:7" x14ac:dyDescent="0.25">
      <c r="A378" t="s">
        <v>5</v>
      </c>
      <c r="B378">
        <v>376</v>
      </c>
      <c r="C378">
        <v>27</v>
      </c>
      <c r="D378">
        <v>5.9427230358123779</v>
      </c>
      <c r="E378" t="s">
        <v>10</v>
      </c>
      <c r="F378" t="s">
        <v>15</v>
      </c>
      <c r="G378">
        <v>5</v>
      </c>
    </row>
    <row r="379" spans="1:7" x14ac:dyDescent="0.25">
      <c r="A379" t="s">
        <v>5</v>
      </c>
      <c r="B379">
        <v>377</v>
      </c>
      <c r="C379">
        <v>29</v>
      </c>
      <c r="D379">
        <v>3.9238517284393311</v>
      </c>
      <c r="E379" t="s">
        <v>10</v>
      </c>
      <c r="F379" t="s">
        <v>15</v>
      </c>
      <c r="G379">
        <v>4.9000000000000004</v>
      </c>
    </row>
    <row r="380" spans="1:7" x14ac:dyDescent="0.25">
      <c r="A380" t="s">
        <v>5</v>
      </c>
      <c r="B380">
        <v>378</v>
      </c>
      <c r="C380">
        <v>30</v>
      </c>
      <c r="D380">
        <v>2.7153694629669189</v>
      </c>
      <c r="E380" t="s">
        <v>10</v>
      </c>
      <c r="F380" t="s">
        <v>17</v>
      </c>
      <c r="G380">
        <v>5</v>
      </c>
    </row>
    <row r="381" spans="1:7" x14ac:dyDescent="0.25">
      <c r="A381" t="s">
        <v>5</v>
      </c>
      <c r="B381">
        <v>379</v>
      </c>
      <c r="C381">
        <v>100</v>
      </c>
      <c r="D381">
        <v>11.710880279541016</v>
      </c>
      <c r="E381" t="s">
        <v>10</v>
      </c>
      <c r="F381" t="s">
        <v>17</v>
      </c>
      <c r="G381">
        <v>5</v>
      </c>
    </row>
    <row r="382" spans="1:7" x14ac:dyDescent="0.25">
      <c r="A382" t="s">
        <v>5</v>
      </c>
      <c r="B382">
        <v>380</v>
      </c>
      <c r="C382">
        <v>100</v>
      </c>
      <c r="D382">
        <v>9.6220529079437256</v>
      </c>
      <c r="E382" t="s">
        <v>10</v>
      </c>
      <c r="F382" t="s">
        <v>15</v>
      </c>
      <c r="G382">
        <v>4.9000000000000004</v>
      </c>
    </row>
    <row r="383" spans="1:7" x14ac:dyDescent="0.25">
      <c r="A383" t="s">
        <v>5</v>
      </c>
      <c r="B383">
        <v>381</v>
      </c>
      <c r="C383">
        <v>100</v>
      </c>
      <c r="D383">
        <v>7.953486442565918</v>
      </c>
      <c r="E383" t="s">
        <v>10</v>
      </c>
      <c r="F383" t="s">
        <v>14</v>
      </c>
      <c r="G383">
        <v>2.1</v>
      </c>
    </row>
    <row r="384" spans="1:7" x14ac:dyDescent="0.25">
      <c r="A384" t="s">
        <v>5</v>
      </c>
      <c r="B384">
        <v>382</v>
      </c>
      <c r="C384">
        <v>42</v>
      </c>
      <c r="D384">
        <v>16.636104106903076</v>
      </c>
      <c r="E384" t="s">
        <v>10</v>
      </c>
      <c r="F384" t="s">
        <v>15</v>
      </c>
      <c r="G384">
        <v>4.9000000000000004</v>
      </c>
    </row>
    <row r="385" spans="1:7" x14ac:dyDescent="0.25">
      <c r="A385" t="s">
        <v>5</v>
      </c>
      <c r="B385">
        <v>383</v>
      </c>
      <c r="C385">
        <v>14</v>
      </c>
      <c r="D385">
        <v>3.9739921092987061</v>
      </c>
      <c r="E385" t="s">
        <v>10</v>
      </c>
      <c r="F385" t="s">
        <v>14</v>
      </c>
      <c r="G385">
        <v>2.1</v>
      </c>
    </row>
    <row r="386" spans="1:7" x14ac:dyDescent="0.25">
      <c r="A386" t="s">
        <v>5</v>
      </c>
      <c r="B386">
        <v>384</v>
      </c>
      <c r="C386">
        <v>47</v>
      </c>
      <c r="D386">
        <v>3.4719886779785156</v>
      </c>
      <c r="E386" t="s">
        <v>10</v>
      </c>
      <c r="F386" t="s">
        <v>17</v>
      </c>
      <c r="G386">
        <v>2.1</v>
      </c>
    </row>
    <row r="387" spans="1:7" x14ac:dyDescent="0.25">
      <c r="A387" t="s">
        <v>5</v>
      </c>
      <c r="B387">
        <v>385</v>
      </c>
      <c r="C387">
        <v>15</v>
      </c>
      <c r="D387">
        <v>2.9177083969116211</v>
      </c>
      <c r="E387" t="s">
        <v>10</v>
      </c>
      <c r="F387" t="s">
        <v>15</v>
      </c>
      <c r="G387">
        <v>2.1</v>
      </c>
    </row>
    <row r="388" spans="1:7" x14ac:dyDescent="0.25">
      <c r="A388" t="s">
        <v>5</v>
      </c>
      <c r="B388">
        <v>386</v>
      </c>
      <c r="C388">
        <v>47</v>
      </c>
      <c r="D388">
        <v>6.7981345653533936</v>
      </c>
      <c r="E388" t="s">
        <v>10</v>
      </c>
      <c r="F388" t="s">
        <v>14</v>
      </c>
      <c r="G388">
        <v>2.1</v>
      </c>
    </row>
    <row r="389" spans="1:7" x14ac:dyDescent="0.25">
      <c r="A389" t="s">
        <v>5</v>
      </c>
      <c r="B389">
        <v>387</v>
      </c>
      <c r="C389">
        <v>45</v>
      </c>
      <c r="D389">
        <v>8.5921041965484619</v>
      </c>
      <c r="E389" t="s">
        <v>10</v>
      </c>
      <c r="F389" t="s">
        <v>14</v>
      </c>
      <c r="G389">
        <v>2.1</v>
      </c>
    </row>
    <row r="390" spans="1:7" x14ac:dyDescent="0.25">
      <c r="A390" t="s">
        <v>5</v>
      </c>
      <c r="B390">
        <v>388</v>
      </c>
      <c r="C390">
        <v>70</v>
      </c>
      <c r="D390">
        <v>5.2305912971496582</v>
      </c>
      <c r="E390" t="s">
        <v>10</v>
      </c>
      <c r="F390" t="s">
        <v>15</v>
      </c>
      <c r="G390">
        <v>2.1</v>
      </c>
    </row>
    <row r="391" spans="1:7" x14ac:dyDescent="0.25">
      <c r="A391" t="s">
        <v>5</v>
      </c>
      <c r="B391">
        <v>389</v>
      </c>
      <c r="C391">
        <v>57</v>
      </c>
      <c r="D391">
        <v>4.9439213275909424</v>
      </c>
      <c r="E391" t="s">
        <v>10</v>
      </c>
      <c r="F391" t="s">
        <v>15</v>
      </c>
      <c r="G391">
        <v>2.1</v>
      </c>
    </row>
    <row r="392" spans="1:7" x14ac:dyDescent="0.25">
      <c r="A392" t="s">
        <v>5</v>
      </c>
      <c r="B392">
        <v>390</v>
      </c>
      <c r="C392">
        <v>47</v>
      </c>
      <c r="D392">
        <v>7.78855299949646</v>
      </c>
      <c r="E392" t="s">
        <v>10</v>
      </c>
      <c r="F392" t="s">
        <v>14</v>
      </c>
      <c r="G392">
        <v>2.1</v>
      </c>
    </row>
    <row r="393" spans="1:7" x14ac:dyDescent="0.25">
      <c r="A393" t="s">
        <v>5</v>
      </c>
      <c r="B393">
        <v>391</v>
      </c>
      <c r="C393">
        <v>25</v>
      </c>
      <c r="D393">
        <v>3.9753787517547607</v>
      </c>
      <c r="E393" t="s">
        <v>10</v>
      </c>
      <c r="F393" t="s">
        <v>15</v>
      </c>
      <c r="G393">
        <v>4.9000000000000004</v>
      </c>
    </row>
    <row r="394" spans="1:7" x14ac:dyDescent="0.25">
      <c r="A394" t="s">
        <v>5</v>
      </c>
      <c r="B394">
        <v>392</v>
      </c>
      <c r="C394">
        <v>18</v>
      </c>
      <c r="D394">
        <v>3.4956412315368652</v>
      </c>
      <c r="E394" t="s">
        <v>10</v>
      </c>
      <c r="F394" t="s">
        <v>15</v>
      </c>
      <c r="G394">
        <v>2.1</v>
      </c>
    </row>
    <row r="395" spans="1:7" x14ac:dyDescent="0.25">
      <c r="A395" t="s">
        <v>5</v>
      </c>
      <c r="B395">
        <v>393</v>
      </c>
      <c r="C395">
        <v>52</v>
      </c>
      <c r="D395">
        <v>3.8649544715881348</v>
      </c>
      <c r="E395" t="s">
        <v>10</v>
      </c>
      <c r="F395" t="s">
        <v>15</v>
      </c>
      <c r="G395">
        <v>2.1</v>
      </c>
    </row>
    <row r="396" spans="1:7" x14ac:dyDescent="0.25">
      <c r="A396" t="s">
        <v>5</v>
      </c>
      <c r="B396">
        <v>394</v>
      </c>
      <c r="C396">
        <v>100</v>
      </c>
      <c r="D396">
        <v>5.8859622478485107</v>
      </c>
      <c r="E396" t="s">
        <v>10</v>
      </c>
      <c r="F396" t="s">
        <v>15</v>
      </c>
      <c r="G396">
        <v>2.1</v>
      </c>
    </row>
    <row r="397" spans="1:7" x14ac:dyDescent="0.25">
      <c r="A397" t="s">
        <v>5</v>
      </c>
      <c r="B397">
        <v>395</v>
      </c>
      <c r="C397">
        <v>100</v>
      </c>
      <c r="D397">
        <v>8.134739875793457</v>
      </c>
      <c r="E397" t="s">
        <v>10</v>
      </c>
      <c r="F397" t="s">
        <v>15</v>
      </c>
      <c r="G397">
        <v>2.1</v>
      </c>
    </row>
    <row r="398" spans="1:7" x14ac:dyDescent="0.25">
      <c r="A398" t="s">
        <v>5</v>
      </c>
      <c r="B398">
        <v>396</v>
      </c>
      <c r="C398">
        <v>70</v>
      </c>
      <c r="D398">
        <v>3.5056884288787842</v>
      </c>
      <c r="E398" t="s">
        <v>10</v>
      </c>
      <c r="F398" t="s">
        <v>14</v>
      </c>
      <c r="G398">
        <v>7.8</v>
      </c>
    </row>
    <row r="399" spans="1:7" x14ac:dyDescent="0.25">
      <c r="A399" t="s">
        <v>5</v>
      </c>
      <c r="B399">
        <v>397</v>
      </c>
      <c r="C399">
        <v>100</v>
      </c>
      <c r="D399">
        <v>2.9422271251678467</v>
      </c>
      <c r="E399" t="s">
        <v>10</v>
      </c>
      <c r="F399" t="s">
        <v>18</v>
      </c>
      <c r="G399">
        <v>7.2</v>
      </c>
    </row>
    <row r="400" spans="1:7" x14ac:dyDescent="0.25">
      <c r="A400" t="s">
        <v>5</v>
      </c>
      <c r="B400">
        <v>398</v>
      </c>
      <c r="C400">
        <v>91</v>
      </c>
      <c r="D400">
        <v>8.7017974853515625</v>
      </c>
      <c r="E400" t="s">
        <v>10</v>
      </c>
      <c r="F400" t="s">
        <v>15</v>
      </c>
      <c r="G400">
        <v>4.3</v>
      </c>
    </row>
    <row r="401" spans="1:7" x14ac:dyDescent="0.25">
      <c r="A401" t="s">
        <v>5</v>
      </c>
      <c r="B401">
        <v>399</v>
      </c>
      <c r="C401">
        <v>80</v>
      </c>
      <c r="D401">
        <v>7.7644245624542236</v>
      </c>
      <c r="E401" t="s">
        <v>10</v>
      </c>
      <c r="F401" t="s">
        <v>15</v>
      </c>
      <c r="G401">
        <v>4.3</v>
      </c>
    </row>
    <row r="402" spans="1:7" x14ac:dyDescent="0.25">
      <c r="A402" t="s">
        <v>5</v>
      </c>
      <c r="B402">
        <v>400</v>
      </c>
      <c r="C402">
        <v>82</v>
      </c>
      <c r="D402">
        <v>8.9167704582214355</v>
      </c>
      <c r="E402" t="s">
        <v>10</v>
      </c>
      <c r="F402" t="s">
        <v>15</v>
      </c>
      <c r="G402">
        <v>7.8</v>
      </c>
    </row>
    <row r="403" spans="1:7" x14ac:dyDescent="0.25">
      <c r="A403" t="s">
        <v>5</v>
      </c>
      <c r="B403">
        <v>401</v>
      </c>
      <c r="C403">
        <v>70</v>
      </c>
      <c r="D403">
        <v>4.0253276824951172</v>
      </c>
      <c r="E403" t="s">
        <v>10</v>
      </c>
      <c r="F403" t="s">
        <v>14</v>
      </c>
      <c r="G403">
        <v>7.5</v>
      </c>
    </row>
    <row r="404" spans="1:7" x14ac:dyDescent="0.25">
      <c r="A404" t="s">
        <v>5</v>
      </c>
      <c r="B404">
        <v>402</v>
      </c>
      <c r="C404">
        <v>100</v>
      </c>
      <c r="D404">
        <v>8.689708948135376</v>
      </c>
      <c r="E404" t="s">
        <v>10</v>
      </c>
      <c r="F404" t="s">
        <v>15</v>
      </c>
      <c r="G404">
        <v>5</v>
      </c>
    </row>
    <row r="405" spans="1:7" x14ac:dyDescent="0.25">
      <c r="A405" t="s">
        <v>5</v>
      </c>
      <c r="B405">
        <v>403</v>
      </c>
      <c r="C405">
        <v>57</v>
      </c>
      <c r="D405">
        <v>5.4830625057220459</v>
      </c>
      <c r="E405" t="s">
        <v>10</v>
      </c>
      <c r="F405" t="s">
        <v>15</v>
      </c>
      <c r="G405">
        <v>7.8</v>
      </c>
    </row>
    <row r="406" spans="1:7" x14ac:dyDescent="0.25">
      <c r="A406" t="s">
        <v>5</v>
      </c>
      <c r="B406">
        <v>404</v>
      </c>
      <c r="C406">
        <v>100</v>
      </c>
      <c r="D406">
        <v>3.7786655426025391</v>
      </c>
      <c r="E406" t="s">
        <v>10</v>
      </c>
      <c r="F406" t="s">
        <v>14</v>
      </c>
      <c r="G406">
        <v>6.8</v>
      </c>
    </row>
    <row r="407" spans="1:7" x14ac:dyDescent="0.25">
      <c r="A407" t="s">
        <v>5</v>
      </c>
      <c r="B407">
        <v>405</v>
      </c>
      <c r="C407">
        <v>100</v>
      </c>
      <c r="D407">
        <v>5.2569785118103027</v>
      </c>
      <c r="E407" t="s">
        <v>10</v>
      </c>
      <c r="F407" t="s">
        <v>14</v>
      </c>
      <c r="G407">
        <v>6.8</v>
      </c>
    </row>
    <row r="408" spans="1:7" x14ac:dyDescent="0.25">
      <c r="A408" t="s">
        <v>5</v>
      </c>
      <c r="B408">
        <v>406</v>
      </c>
      <c r="C408">
        <v>37</v>
      </c>
      <c r="D408">
        <v>2.8625617027282715</v>
      </c>
      <c r="E408" t="s">
        <v>10</v>
      </c>
      <c r="F408" t="s">
        <v>15</v>
      </c>
      <c r="G408">
        <v>7.5</v>
      </c>
    </row>
    <row r="409" spans="1:7" x14ac:dyDescent="0.25">
      <c r="A409" t="s">
        <v>5</v>
      </c>
      <c r="B409">
        <v>407</v>
      </c>
      <c r="C409">
        <v>80</v>
      </c>
      <c r="D409">
        <v>3.4585220813751221</v>
      </c>
      <c r="E409" t="s">
        <v>10</v>
      </c>
      <c r="F409" t="s">
        <v>15</v>
      </c>
      <c r="G409">
        <v>7.5</v>
      </c>
    </row>
    <row r="410" spans="1:7" x14ac:dyDescent="0.25">
      <c r="A410" t="s">
        <v>5</v>
      </c>
      <c r="B410">
        <v>408</v>
      </c>
      <c r="C410">
        <v>21</v>
      </c>
      <c r="D410">
        <v>5.3482992649078369</v>
      </c>
      <c r="E410" t="s">
        <v>10</v>
      </c>
      <c r="F410" t="s">
        <v>15</v>
      </c>
      <c r="G410">
        <v>7.5</v>
      </c>
    </row>
    <row r="411" spans="1:7" x14ac:dyDescent="0.25">
      <c r="A411" t="s">
        <v>5</v>
      </c>
      <c r="B411">
        <v>409</v>
      </c>
      <c r="C411">
        <v>80</v>
      </c>
      <c r="D411">
        <v>4.1462471485137939</v>
      </c>
      <c r="E411" t="s">
        <v>10</v>
      </c>
      <c r="F411" t="s">
        <v>15</v>
      </c>
      <c r="G411">
        <v>7.5</v>
      </c>
    </row>
    <row r="412" spans="1:7" x14ac:dyDescent="0.25">
      <c r="A412" t="s">
        <v>5</v>
      </c>
      <c r="B412">
        <v>410</v>
      </c>
      <c r="C412">
        <v>2</v>
      </c>
      <c r="D412">
        <v>12.265029191970825</v>
      </c>
      <c r="E412" t="s">
        <v>10</v>
      </c>
      <c r="F412" t="s">
        <v>15</v>
      </c>
      <c r="G412">
        <v>7.5</v>
      </c>
    </row>
    <row r="413" spans="1:7" x14ac:dyDescent="0.25">
      <c r="A413" t="s">
        <v>5</v>
      </c>
      <c r="B413">
        <v>411</v>
      </c>
      <c r="C413">
        <v>90</v>
      </c>
      <c r="D413">
        <v>11.876103162765503</v>
      </c>
      <c r="E413" t="s">
        <v>10</v>
      </c>
      <c r="F413" t="s">
        <v>15</v>
      </c>
      <c r="G413">
        <v>7.5</v>
      </c>
    </row>
    <row r="414" spans="1:7" x14ac:dyDescent="0.25">
      <c r="A414" t="s">
        <v>5</v>
      </c>
      <c r="B414">
        <v>412</v>
      </c>
      <c r="C414">
        <v>100</v>
      </c>
      <c r="D414">
        <v>15.116667032241821</v>
      </c>
      <c r="E414" t="s">
        <v>10</v>
      </c>
      <c r="F414" t="s">
        <v>15</v>
      </c>
      <c r="G414">
        <v>7.5</v>
      </c>
    </row>
    <row r="415" spans="1:7" x14ac:dyDescent="0.25">
      <c r="A415" t="s">
        <v>5</v>
      </c>
      <c r="B415">
        <v>413</v>
      </c>
      <c r="C415">
        <v>37</v>
      </c>
      <c r="D415">
        <v>2.7732775211334229</v>
      </c>
      <c r="E415" t="s">
        <v>10</v>
      </c>
      <c r="F415" t="s">
        <v>15</v>
      </c>
      <c r="G415">
        <v>7.5</v>
      </c>
    </row>
    <row r="416" spans="1:7" x14ac:dyDescent="0.25">
      <c r="A416" t="s">
        <v>5</v>
      </c>
      <c r="B416">
        <v>414</v>
      </c>
      <c r="C416">
        <v>27</v>
      </c>
      <c r="D416">
        <v>7.1687493324279785</v>
      </c>
      <c r="E416" t="s">
        <v>10</v>
      </c>
      <c r="F416" t="s">
        <v>15</v>
      </c>
      <c r="G416">
        <v>7.5</v>
      </c>
    </row>
    <row r="417" spans="1:7" x14ac:dyDescent="0.25">
      <c r="A417" t="s">
        <v>5</v>
      </c>
      <c r="B417">
        <v>415</v>
      </c>
      <c r="C417">
        <v>0</v>
      </c>
      <c r="D417">
        <v>14.933398723602295</v>
      </c>
      <c r="E417" t="s">
        <v>10</v>
      </c>
      <c r="F417" t="s">
        <v>15</v>
      </c>
      <c r="G417">
        <v>7.5</v>
      </c>
    </row>
    <row r="418" spans="1:7" x14ac:dyDescent="0.25">
      <c r="A418" t="s">
        <v>5</v>
      </c>
      <c r="B418">
        <v>416</v>
      </c>
      <c r="C418">
        <v>20</v>
      </c>
      <c r="D418">
        <v>3.7228271961212158</v>
      </c>
      <c r="E418" t="s">
        <v>10</v>
      </c>
      <c r="F418" t="s">
        <v>15</v>
      </c>
      <c r="G418">
        <v>7.5</v>
      </c>
    </row>
    <row r="419" spans="1:7" x14ac:dyDescent="0.25">
      <c r="A419" t="s">
        <v>5</v>
      </c>
      <c r="B419">
        <v>417</v>
      </c>
      <c r="C419">
        <v>16</v>
      </c>
      <c r="D419">
        <v>4.8758399486541748</v>
      </c>
      <c r="E419" t="s">
        <v>10</v>
      </c>
      <c r="F419" t="s">
        <v>15</v>
      </c>
      <c r="G419">
        <v>7.5</v>
      </c>
    </row>
    <row r="420" spans="1:7" x14ac:dyDescent="0.25">
      <c r="A420" t="s">
        <v>5</v>
      </c>
      <c r="B420">
        <v>418</v>
      </c>
      <c r="C420">
        <v>70</v>
      </c>
      <c r="D420">
        <v>4.0061402320861816</v>
      </c>
      <c r="E420" t="s">
        <v>10</v>
      </c>
      <c r="F420" t="s">
        <v>14</v>
      </c>
      <c r="G420">
        <v>6.8</v>
      </c>
    </row>
    <row r="421" spans="1:7" x14ac:dyDescent="0.25">
      <c r="A421" t="s">
        <v>5</v>
      </c>
      <c r="B421">
        <v>419</v>
      </c>
      <c r="C421">
        <v>47</v>
      </c>
      <c r="D421">
        <v>4.4028029441833496</v>
      </c>
      <c r="E421" t="s">
        <v>10</v>
      </c>
      <c r="F421" t="s">
        <v>14</v>
      </c>
      <c r="G421">
        <v>6.8</v>
      </c>
    </row>
    <row r="422" spans="1:7" x14ac:dyDescent="0.25">
      <c r="A422" t="s">
        <v>5</v>
      </c>
      <c r="B422">
        <v>420</v>
      </c>
      <c r="C422">
        <v>37</v>
      </c>
      <c r="D422">
        <v>2.6041800975799561</v>
      </c>
      <c r="E422" t="s">
        <v>10</v>
      </c>
      <c r="F422" t="s">
        <v>15</v>
      </c>
      <c r="G422">
        <v>5</v>
      </c>
    </row>
    <row r="423" spans="1:7" x14ac:dyDescent="0.25">
      <c r="A423" t="s">
        <v>5</v>
      </c>
      <c r="B423">
        <v>421</v>
      </c>
      <c r="C423">
        <v>100</v>
      </c>
      <c r="D423">
        <v>6.1580772399902344</v>
      </c>
      <c r="E423" t="s">
        <v>10</v>
      </c>
      <c r="F423" t="s">
        <v>17</v>
      </c>
      <c r="G423">
        <v>5</v>
      </c>
    </row>
    <row r="424" spans="1:7" x14ac:dyDescent="0.25">
      <c r="A424" t="s">
        <v>5</v>
      </c>
      <c r="B424">
        <v>422</v>
      </c>
      <c r="C424">
        <v>100</v>
      </c>
      <c r="D424">
        <v>5.5024533271789551</v>
      </c>
      <c r="E424" t="s">
        <v>10</v>
      </c>
      <c r="F424" t="s">
        <v>18</v>
      </c>
      <c r="G424">
        <v>6.8</v>
      </c>
    </row>
    <row r="425" spans="1:7" x14ac:dyDescent="0.25">
      <c r="A425" t="s">
        <v>5</v>
      </c>
      <c r="B425">
        <v>423</v>
      </c>
      <c r="C425">
        <v>100</v>
      </c>
      <c r="D425">
        <v>10.113920927047729</v>
      </c>
      <c r="E425" t="s">
        <v>10</v>
      </c>
      <c r="F425" t="s">
        <v>14</v>
      </c>
      <c r="G425">
        <v>2.1</v>
      </c>
    </row>
    <row r="426" spans="1:7" x14ac:dyDescent="0.25">
      <c r="A426" t="s">
        <v>5</v>
      </c>
      <c r="B426">
        <v>424</v>
      </c>
      <c r="C426">
        <v>16</v>
      </c>
      <c r="D426">
        <v>3.2788999080657959</v>
      </c>
      <c r="E426" t="s">
        <v>10</v>
      </c>
      <c r="F426" t="s">
        <v>15</v>
      </c>
      <c r="G426">
        <v>4.9000000000000004</v>
      </c>
    </row>
    <row r="427" spans="1:7" x14ac:dyDescent="0.25">
      <c r="A427" t="s">
        <v>5</v>
      </c>
      <c r="B427">
        <v>425</v>
      </c>
      <c r="C427">
        <v>100</v>
      </c>
      <c r="D427">
        <v>13.578940629959106</v>
      </c>
      <c r="E427" t="s">
        <v>10</v>
      </c>
      <c r="F427" t="s">
        <v>14</v>
      </c>
      <c r="G427">
        <v>5</v>
      </c>
    </row>
    <row r="428" spans="1:7" x14ac:dyDescent="0.25">
      <c r="A428" t="s">
        <v>5</v>
      </c>
      <c r="B428">
        <v>426</v>
      </c>
      <c r="C428">
        <v>100</v>
      </c>
      <c r="D428">
        <v>16.743211269378662</v>
      </c>
      <c r="E428" t="s">
        <v>10</v>
      </c>
      <c r="F428" t="s">
        <v>14</v>
      </c>
      <c r="G428">
        <v>5</v>
      </c>
    </row>
    <row r="429" spans="1:7" x14ac:dyDescent="0.25">
      <c r="A429" t="s">
        <v>5</v>
      </c>
      <c r="B429">
        <v>427</v>
      </c>
      <c r="C429">
        <v>40</v>
      </c>
      <c r="D429">
        <v>5.4606621265411377</v>
      </c>
      <c r="E429" t="s">
        <v>10</v>
      </c>
      <c r="F429" t="s">
        <v>14</v>
      </c>
      <c r="G429">
        <v>5</v>
      </c>
    </row>
    <row r="430" spans="1:7" x14ac:dyDescent="0.25">
      <c r="A430" t="s">
        <v>5</v>
      </c>
      <c r="B430">
        <v>428</v>
      </c>
      <c r="C430">
        <v>70</v>
      </c>
      <c r="D430">
        <v>4.3770415782928467</v>
      </c>
      <c r="E430" t="s">
        <v>19</v>
      </c>
      <c r="F430" t="s">
        <v>22</v>
      </c>
      <c r="G430">
        <v>6.8</v>
      </c>
    </row>
    <row r="431" spans="1:7" x14ac:dyDescent="0.25">
      <c r="A431" t="s">
        <v>5</v>
      </c>
      <c r="B431">
        <v>429</v>
      </c>
      <c r="C431">
        <v>100</v>
      </c>
      <c r="D431">
        <v>8.7075850963592529</v>
      </c>
      <c r="E431" t="s">
        <v>19</v>
      </c>
      <c r="F431" t="s">
        <v>13</v>
      </c>
      <c r="G431">
        <v>4.3</v>
      </c>
    </row>
    <row r="432" spans="1:7" x14ac:dyDescent="0.25">
      <c r="A432" t="s">
        <v>5</v>
      </c>
      <c r="B432">
        <v>430</v>
      </c>
      <c r="C432">
        <v>47</v>
      </c>
      <c r="D432">
        <v>8.079146146774292</v>
      </c>
      <c r="E432" t="s">
        <v>19</v>
      </c>
      <c r="F432" t="s">
        <v>13</v>
      </c>
      <c r="G432">
        <v>4.3</v>
      </c>
    </row>
    <row r="433" spans="1:7" x14ac:dyDescent="0.25">
      <c r="A433" t="s">
        <v>5</v>
      </c>
      <c r="B433">
        <v>431</v>
      </c>
      <c r="C433">
        <v>53</v>
      </c>
      <c r="D433">
        <v>12.341296672821045</v>
      </c>
      <c r="E433" t="s">
        <v>19</v>
      </c>
      <c r="F433" t="s">
        <v>13</v>
      </c>
      <c r="G433">
        <v>4.3</v>
      </c>
    </row>
    <row r="434" spans="1:7" x14ac:dyDescent="0.25">
      <c r="A434" t="s">
        <v>5</v>
      </c>
      <c r="B434">
        <v>432</v>
      </c>
      <c r="C434">
        <v>50</v>
      </c>
      <c r="D434">
        <v>9.3355984687805176</v>
      </c>
      <c r="E434" t="s">
        <v>19</v>
      </c>
      <c r="F434" t="s">
        <v>13</v>
      </c>
      <c r="G434">
        <v>4.3</v>
      </c>
    </row>
    <row r="435" spans="1:7" x14ac:dyDescent="0.25">
      <c r="A435" t="s">
        <v>5</v>
      </c>
      <c r="B435">
        <v>433</v>
      </c>
      <c r="C435">
        <v>37</v>
      </c>
      <c r="D435">
        <v>3.7888245582580566</v>
      </c>
      <c r="E435" t="s">
        <v>10</v>
      </c>
      <c r="F435" t="s">
        <v>20</v>
      </c>
      <c r="G435">
        <v>6.8</v>
      </c>
    </row>
    <row r="436" spans="1:7" x14ac:dyDescent="0.25">
      <c r="A436" t="s">
        <v>5</v>
      </c>
      <c r="B436">
        <v>434</v>
      </c>
      <c r="C436">
        <v>13</v>
      </c>
      <c r="D436">
        <v>5.5565993785858154</v>
      </c>
      <c r="E436" t="s">
        <v>10</v>
      </c>
      <c r="F436" t="s">
        <v>20</v>
      </c>
      <c r="G436">
        <v>6.8</v>
      </c>
    </row>
    <row r="437" spans="1:7" x14ac:dyDescent="0.25">
      <c r="A437" t="s">
        <v>5</v>
      </c>
      <c r="B437">
        <v>435</v>
      </c>
      <c r="C437">
        <v>27</v>
      </c>
      <c r="D437">
        <v>10.757523059844971</v>
      </c>
      <c r="E437" t="s">
        <v>10</v>
      </c>
      <c r="F437" t="s">
        <v>20</v>
      </c>
      <c r="G437">
        <v>6.8</v>
      </c>
    </row>
    <row r="438" spans="1:7" x14ac:dyDescent="0.25">
      <c r="A438" t="s">
        <v>5</v>
      </c>
      <c r="B438">
        <v>436</v>
      </c>
      <c r="C438">
        <v>85</v>
      </c>
      <c r="D438">
        <v>4.6044104099273682</v>
      </c>
      <c r="E438" t="s">
        <v>10</v>
      </c>
      <c r="F438" t="s">
        <v>20</v>
      </c>
      <c r="G438">
        <v>6.8</v>
      </c>
    </row>
    <row r="439" spans="1:7" x14ac:dyDescent="0.25">
      <c r="A439" t="s">
        <v>5</v>
      </c>
      <c r="B439">
        <v>437</v>
      </c>
      <c r="C439">
        <v>93</v>
      </c>
      <c r="D439">
        <v>7.1802024841308594</v>
      </c>
      <c r="E439" t="s">
        <v>10</v>
      </c>
      <c r="F439" t="s">
        <v>20</v>
      </c>
      <c r="G439">
        <v>6.8</v>
      </c>
    </row>
    <row r="440" spans="1:7" x14ac:dyDescent="0.25">
      <c r="A440" t="s">
        <v>5</v>
      </c>
      <c r="B440">
        <v>438</v>
      </c>
      <c r="C440">
        <v>37</v>
      </c>
      <c r="D440">
        <v>6.1995441913604736</v>
      </c>
      <c r="E440" t="s">
        <v>10</v>
      </c>
      <c r="F440" t="s">
        <v>20</v>
      </c>
      <c r="G440">
        <v>5.0999999999999996</v>
      </c>
    </row>
    <row r="441" spans="1:7" x14ac:dyDescent="0.25">
      <c r="A441" t="s">
        <v>5</v>
      </c>
      <c r="B441">
        <v>439</v>
      </c>
      <c r="C441">
        <v>90</v>
      </c>
      <c r="D441">
        <v>9.5284981727600098</v>
      </c>
      <c r="E441" t="s">
        <v>10</v>
      </c>
      <c r="F441" t="s">
        <v>20</v>
      </c>
      <c r="G441">
        <v>6.8</v>
      </c>
    </row>
    <row r="442" spans="1:7" x14ac:dyDescent="0.25">
      <c r="A442" t="s">
        <v>5</v>
      </c>
      <c r="B442">
        <v>440</v>
      </c>
      <c r="C442">
        <v>57</v>
      </c>
      <c r="D442">
        <v>4.4875557422637939</v>
      </c>
      <c r="E442" t="s">
        <v>10</v>
      </c>
      <c r="F442" t="s">
        <v>20</v>
      </c>
      <c r="G442">
        <v>6.8</v>
      </c>
    </row>
    <row r="443" spans="1:7" x14ac:dyDescent="0.25">
      <c r="A443" t="s">
        <v>5</v>
      </c>
      <c r="B443">
        <v>441</v>
      </c>
      <c r="C443">
        <v>28</v>
      </c>
      <c r="D443">
        <v>13.993372917175293</v>
      </c>
      <c r="E443" t="s">
        <v>10</v>
      </c>
      <c r="F443" t="s">
        <v>20</v>
      </c>
      <c r="G443">
        <v>6.8</v>
      </c>
    </row>
    <row r="444" spans="1:7" x14ac:dyDescent="0.25">
      <c r="A444" t="s">
        <v>5</v>
      </c>
      <c r="B444">
        <v>442</v>
      </c>
      <c r="C444">
        <v>80</v>
      </c>
      <c r="D444">
        <v>7.8490805625915527</v>
      </c>
      <c r="E444" t="s">
        <v>10</v>
      </c>
      <c r="F444" t="s">
        <v>20</v>
      </c>
      <c r="G444">
        <v>6.8</v>
      </c>
    </row>
    <row r="445" spans="1:7" x14ac:dyDescent="0.25">
      <c r="A445" t="s">
        <v>5</v>
      </c>
      <c r="B445">
        <v>443</v>
      </c>
      <c r="C445">
        <v>100</v>
      </c>
      <c r="D445">
        <v>6.2063395977020264</v>
      </c>
      <c r="E445" t="s">
        <v>10</v>
      </c>
      <c r="F445" t="s">
        <v>34</v>
      </c>
      <c r="G445">
        <v>6.8</v>
      </c>
    </row>
    <row r="446" spans="1:7" x14ac:dyDescent="0.25">
      <c r="A446" t="s">
        <v>5</v>
      </c>
      <c r="B446">
        <v>444</v>
      </c>
      <c r="C446">
        <v>92</v>
      </c>
      <c r="D446">
        <v>8.7102904319763184</v>
      </c>
      <c r="E446" t="s">
        <v>10</v>
      </c>
      <c r="F446" t="s">
        <v>18</v>
      </c>
      <c r="G446">
        <v>6.8</v>
      </c>
    </row>
    <row r="447" spans="1:7" x14ac:dyDescent="0.25">
      <c r="A447" t="s">
        <v>5</v>
      </c>
      <c r="B447">
        <v>445</v>
      </c>
      <c r="C447">
        <v>20</v>
      </c>
      <c r="D447">
        <v>3.1112580299377441</v>
      </c>
      <c r="E447" t="s">
        <v>10</v>
      </c>
      <c r="F447" t="s">
        <v>13</v>
      </c>
      <c r="G447">
        <v>7.5</v>
      </c>
    </row>
    <row r="448" spans="1:7" x14ac:dyDescent="0.25">
      <c r="A448" t="s">
        <v>5</v>
      </c>
      <c r="B448">
        <v>446</v>
      </c>
      <c r="C448">
        <v>10</v>
      </c>
      <c r="D448">
        <v>3.1654775142669678</v>
      </c>
      <c r="E448" t="s">
        <v>10</v>
      </c>
      <c r="F448" t="s">
        <v>13</v>
      </c>
      <c r="G448">
        <v>1.9</v>
      </c>
    </row>
    <row r="449" spans="1:7" x14ac:dyDescent="0.25">
      <c r="A449" t="s">
        <v>5</v>
      </c>
      <c r="B449">
        <v>447</v>
      </c>
      <c r="C449">
        <v>70</v>
      </c>
      <c r="D449">
        <v>3.1209168434143066</v>
      </c>
      <c r="E449" t="s">
        <v>10</v>
      </c>
      <c r="F449" t="s">
        <v>13</v>
      </c>
      <c r="G449">
        <v>1.9</v>
      </c>
    </row>
    <row r="450" spans="1:7" x14ac:dyDescent="0.25">
      <c r="A450" t="s">
        <v>5</v>
      </c>
      <c r="B450">
        <v>448</v>
      </c>
      <c r="C450">
        <v>17</v>
      </c>
      <c r="D450">
        <v>4.6275498867034912</v>
      </c>
      <c r="E450" t="s">
        <v>10</v>
      </c>
      <c r="F450" t="s">
        <v>18</v>
      </c>
      <c r="G450">
        <v>4.5999999999999996</v>
      </c>
    </row>
    <row r="451" spans="1:7" x14ac:dyDescent="0.25">
      <c r="A451" t="s">
        <v>5</v>
      </c>
      <c r="B451">
        <v>449</v>
      </c>
      <c r="C451">
        <v>60</v>
      </c>
      <c r="D451">
        <v>11.786822557449341</v>
      </c>
      <c r="E451" t="s">
        <v>10</v>
      </c>
      <c r="F451" t="s">
        <v>17</v>
      </c>
      <c r="G451">
        <v>2.1</v>
      </c>
    </row>
    <row r="452" spans="1:7" x14ac:dyDescent="0.25">
      <c r="A452" t="s">
        <v>5</v>
      </c>
      <c r="B452">
        <v>450</v>
      </c>
      <c r="C452">
        <v>62</v>
      </c>
      <c r="D452">
        <v>6.4289426803588867</v>
      </c>
      <c r="E452" t="s">
        <v>10</v>
      </c>
      <c r="F452" t="s">
        <v>20</v>
      </c>
      <c r="G452">
        <v>4.5999999999999996</v>
      </c>
    </row>
    <row r="453" spans="1:7" x14ac:dyDescent="0.25">
      <c r="A453" t="s">
        <v>5</v>
      </c>
      <c r="B453">
        <v>451</v>
      </c>
      <c r="C453">
        <v>100</v>
      </c>
      <c r="D453">
        <v>12.185182571411133</v>
      </c>
      <c r="E453" t="s">
        <v>10</v>
      </c>
      <c r="F453" t="s">
        <v>13</v>
      </c>
      <c r="G453">
        <v>4.3</v>
      </c>
    </row>
    <row r="454" spans="1:7" x14ac:dyDescent="0.25">
      <c r="A454" t="s">
        <v>5</v>
      </c>
      <c r="B454">
        <v>452</v>
      </c>
      <c r="C454">
        <v>90</v>
      </c>
      <c r="D454">
        <v>15.023800849914551</v>
      </c>
      <c r="E454" t="s">
        <v>10</v>
      </c>
      <c r="F454" t="s">
        <v>13</v>
      </c>
      <c r="G454">
        <v>4.3</v>
      </c>
    </row>
    <row r="455" spans="1:7" x14ac:dyDescent="0.25">
      <c r="A455" t="s">
        <v>5</v>
      </c>
      <c r="B455">
        <v>453</v>
      </c>
      <c r="C455">
        <v>14</v>
      </c>
      <c r="D455">
        <v>3.2341880798339844</v>
      </c>
      <c r="E455" t="s">
        <v>10</v>
      </c>
      <c r="F455" t="s">
        <v>15</v>
      </c>
      <c r="G455">
        <v>4.9000000000000004</v>
      </c>
    </row>
    <row r="456" spans="1:7" x14ac:dyDescent="0.25">
      <c r="A456" t="s">
        <v>5</v>
      </c>
      <c r="B456">
        <v>454</v>
      </c>
      <c r="C456">
        <v>87</v>
      </c>
      <c r="D456">
        <v>10.023085117340088</v>
      </c>
      <c r="E456" t="s">
        <v>10</v>
      </c>
      <c r="F456" t="s">
        <v>20</v>
      </c>
      <c r="G456">
        <v>7.5</v>
      </c>
    </row>
    <row r="457" spans="1:7" x14ac:dyDescent="0.25">
      <c r="A457" t="s">
        <v>5</v>
      </c>
      <c r="B457">
        <v>455</v>
      </c>
      <c r="C457">
        <v>25</v>
      </c>
      <c r="D457">
        <v>4.5462415218353271</v>
      </c>
      <c r="E457" t="s">
        <v>10</v>
      </c>
      <c r="F457" t="s">
        <v>35</v>
      </c>
      <c r="G457">
        <v>4.5999999999999996</v>
      </c>
    </row>
    <row r="458" spans="1:7" x14ac:dyDescent="0.25">
      <c r="A458" t="s">
        <v>5</v>
      </c>
      <c r="B458">
        <v>456</v>
      </c>
      <c r="C458">
        <v>84</v>
      </c>
      <c r="D458">
        <v>11.040424108505249</v>
      </c>
      <c r="E458" t="s">
        <v>10</v>
      </c>
      <c r="F458" t="s">
        <v>15</v>
      </c>
      <c r="G458">
        <v>5</v>
      </c>
    </row>
    <row r="459" spans="1:7" x14ac:dyDescent="0.25">
      <c r="A459" t="s">
        <v>5</v>
      </c>
      <c r="B459">
        <v>457</v>
      </c>
      <c r="C459">
        <v>30</v>
      </c>
      <c r="D459">
        <v>3.3612551689147949</v>
      </c>
      <c r="E459" t="s">
        <v>10</v>
      </c>
      <c r="F459" t="s">
        <v>13</v>
      </c>
      <c r="G459">
        <v>4.3</v>
      </c>
    </row>
    <row r="460" spans="1:7" x14ac:dyDescent="0.25">
      <c r="A460" t="s">
        <v>5</v>
      </c>
      <c r="B460">
        <v>458</v>
      </c>
      <c r="C460">
        <v>100</v>
      </c>
      <c r="D460">
        <v>14.397273540496826</v>
      </c>
      <c r="E460" t="s">
        <v>10</v>
      </c>
      <c r="F460" t="s">
        <v>15</v>
      </c>
      <c r="G460">
        <v>4.3</v>
      </c>
    </row>
    <row r="461" spans="1:7" x14ac:dyDescent="0.25">
      <c r="A461" t="s">
        <v>5</v>
      </c>
      <c r="B461">
        <v>459</v>
      </c>
      <c r="C461">
        <v>27</v>
      </c>
      <c r="D461">
        <v>4.4485523700714111</v>
      </c>
      <c r="E461" t="s">
        <v>10</v>
      </c>
      <c r="F461" t="s">
        <v>15</v>
      </c>
      <c r="G461">
        <v>4.3</v>
      </c>
    </row>
    <row r="462" spans="1:7" x14ac:dyDescent="0.25">
      <c r="A462" t="s">
        <v>5</v>
      </c>
      <c r="B462">
        <v>460</v>
      </c>
      <c r="C462">
        <v>14</v>
      </c>
      <c r="D462">
        <v>2.7792599201202393</v>
      </c>
      <c r="E462" t="s">
        <v>19</v>
      </c>
      <c r="F462" t="s">
        <v>22</v>
      </c>
      <c r="G462">
        <v>7.2</v>
      </c>
    </row>
    <row r="463" spans="1:7" x14ac:dyDescent="0.25">
      <c r="A463" t="s">
        <v>5</v>
      </c>
      <c r="B463">
        <v>461</v>
      </c>
      <c r="C463">
        <v>80</v>
      </c>
      <c r="D463">
        <v>5.8379800319671631</v>
      </c>
      <c r="E463" t="s">
        <v>19</v>
      </c>
      <c r="F463" t="s">
        <v>17</v>
      </c>
      <c r="G463">
        <v>5</v>
      </c>
    </row>
    <row r="464" spans="1:7" x14ac:dyDescent="0.25">
      <c r="A464" t="s">
        <v>5</v>
      </c>
      <c r="B464">
        <v>462</v>
      </c>
      <c r="C464">
        <v>100</v>
      </c>
      <c r="D464">
        <v>10.581287860870361</v>
      </c>
      <c r="E464" t="s">
        <v>19</v>
      </c>
      <c r="F464" t="s">
        <v>17</v>
      </c>
      <c r="G464">
        <v>5</v>
      </c>
    </row>
    <row r="465" spans="1:7" x14ac:dyDescent="0.25">
      <c r="A465" t="s">
        <v>5</v>
      </c>
      <c r="B465">
        <v>463</v>
      </c>
      <c r="C465">
        <v>80</v>
      </c>
      <c r="D465">
        <v>8.8091757297515869</v>
      </c>
      <c r="E465" t="s">
        <v>10</v>
      </c>
      <c r="F465" t="s">
        <v>13</v>
      </c>
      <c r="G465">
        <v>4.3</v>
      </c>
    </row>
    <row r="466" spans="1:7" x14ac:dyDescent="0.25">
      <c r="A466" t="s">
        <v>5</v>
      </c>
      <c r="B466">
        <v>464</v>
      </c>
      <c r="C466">
        <v>87</v>
      </c>
      <c r="D466">
        <v>8.2844898700714111</v>
      </c>
      <c r="E466" t="s">
        <v>10</v>
      </c>
      <c r="F466" t="s">
        <v>13</v>
      </c>
      <c r="G466">
        <v>4.3</v>
      </c>
    </row>
    <row r="467" spans="1:7" x14ac:dyDescent="0.25">
      <c r="A467" t="s">
        <v>5</v>
      </c>
      <c r="B467">
        <v>465</v>
      </c>
      <c r="C467">
        <v>87</v>
      </c>
      <c r="D467">
        <v>8.1587016582489014</v>
      </c>
      <c r="E467" t="s">
        <v>10</v>
      </c>
      <c r="F467" t="s">
        <v>15</v>
      </c>
      <c r="G467">
        <v>5</v>
      </c>
    </row>
    <row r="468" spans="1:7" x14ac:dyDescent="0.25">
      <c r="A468" t="s">
        <v>5</v>
      </c>
      <c r="B468">
        <v>466</v>
      </c>
      <c r="C468">
        <v>70</v>
      </c>
      <c r="D468">
        <v>3.4882547855377197</v>
      </c>
      <c r="E468" t="s">
        <v>10</v>
      </c>
      <c r="F468" t="s">
        <v>15</v>
      </c>
      <c r="G468">
        <v>5</v>
      </c>
    </row>
    <row r="469" spans="1:7" x14ac:dyDescent="0.25">
      <c r="A469" t="s">
        <v>5</v>
      </c>
      <c r="B469">
        <v>467</v>
      </c>
      <c r="C469">
        <v>100</v>
      </c>
      <c r="D469">
        <v>11.279814720153809</v>
      </c>
      <c r="E469" t="s">
        <v>10</v>
      </c>
      <c r="F469" t="s">
        <v>14</v>
      </c>
      <c r="G469">
        <v>7.5</v>
      </c>
    </row>
    <row r="470" spans="1:7" x14ac:dyDescent="0.25">
      <c r="A470" t="s">
        <v>5</v>
      </c>
      <c r="B470">
        <v>468</v>
      </c>
      <c r="C470">
        <v>72</v>
      </c>
      <c r="D470">
        <v>16.969228506088257</v>
      </c>
      <c r="E470" t="s">
        <v>10</v>
      </c>
      <c r="F470" t="s">
        <v>14</v>
      </c>
      <c r="G470">
        <v>7.5</v>
      </c>
    </row>
    <row r="471" spans="1:7" x14ac:dyDescent="0.25">
      <c r="A471" t="s">
        <v>5</v>
      </c>
      <c r="B471">
        <v>469</v>
      </c>
      <c r="C471">
        <v>100</v>
      </c>
      <c r="D471">
        <v>5.4031746387481689</v>
      </c>
      <c r="E471" t="s">
        <v>10</v>
      </c>
      <c r="F471" t="s">
        <v>14</v>
      </c>
      <c r="G471">
        <v>7.5</v>
      </c>
    </row>
    <row r="472" spans="1:7" x14ac:dyDescent="0.25">
      <c r="A472" t="s">
        <v>5</v>
      </c>
      <c r="B472">
        <v>470</v>
      </c>
      <c r="C472">
        <v>40</v>
      </c>
      <c r="D472">
        <v>4.3400402069091797</v>
      </c>
      <c r="E472" t="s">
        <v>10</v>
      </c>
      <c r="F472" t="s">
        <v>15</v>
      </c>
      <c r="G472">
        <v>7.5</v>
      </c>
    </row>
    <row r="473" spans="1:7" x14ac:dyDescent="0.25">
      <c r="A473" t="s">
        <v>5</v>
      </c>
      <c r="B473">
        <v>471</v>
      </c>
      <c r="C473">
        <v>47</v>
      </c>
      <c r="D473">
        <v>2.5493063926696777</v>
      </c>
      <c r="E473" t="s">
        <v>10</v>
      </c>
      <c r="F473" t="s">
        <v>14</v>
      </c>
      <c r="G473">
        <v>7.5</v>
      </c>
    </row>
    <row r="474" spans="1:7" x14ac:dyDescent="0.25">
      <c r="A474" t="s">
        <v>5</v>
      </c>
      <c r="B474">
        <v>472</v>
      </c>
      <c r="C474">
        <v>80</v>
      </c>
      <c r="D474">
        <v>3.732419490814209</v>
      </c>
      <c r="E474" t="s">
        <v>10</v>
      </c>
      <c r="F474" t="s">
        <v>14</v>
      </c>
      <c r="G474">
        <v>7.5</v>
      </c>
    </row>
    <row r="475" spans="1:7" x14ac:dyDescent="0.25">
      <c r="A475" t="s">
        <v>5</v>
      </c>
      <c r="B475">
        <v>473</v>
      </c>
      <c r="C475">
        <v>50</v>
      </c>
      <c r="D475">
        <v>4.2321920394897461</v>
      </c>
      <c r="E475" t="s">
        <v>10</v>
      </c>
      <c r="F475" t="s">
        <v>14</v>
      </c>
      <c r="G475">
        <v>7.5</v>
      </c>
    </row>
    <row r="476" spans="1:7" x14ac:dyDescent="0.25">
      <c r="A476" t="s">
        <v>5</v>
      </c>
      <c r="B476">
        <v>474</v>
      </c>
      <c r="C476">
        <v>100</v>
      </c>
      <c r="D476">
        <v>7.8702850341796875</v>
      </c>
      <c r="E476" t="s">
        <v>10</v>
      </c>
      <c r="F476" t="s">
        <v>14</v>
      </c>
      <c r="G476">
        <v>7.5</v>
      </c>
    </row>
    <row r="477" spans="1:7" x14ac:dyDescent="0.25">
      <c r="A477" t="s">
        <v>5</v>
      </c>
      <c r="B477">
        <v>475</v>
      </c>
      <c r="C477">
        <v>80</v>
      </c>
      <c r="D477">
        <v>3.1856927871704102</v>
      </c>
      <c r="E477" t="s">
        <v>10</v>
      </c>
      <c r="F477" t="s">
        <v>14</v>
      </c>
      <c r="G477">
        <v>7.5</v>
      </c>
    </row>
    <row r="478" spans="1:7" x14ac:dyDescent="0.25">
      <c r="A478" t="s">
        <v>5</v>
      </c>
      <c r="B478">
        <v>476</v>
      </c>
      <c r="C478">
        <v>47</v>
      </c>
      <c r="D478">
        <v>8.602557897567749</v>
      </c>
      <c r="E478" t="s">
        <v>10</v>
      </c>
      <c r="F478" t="s">
        <v>14</v>
      </c>
      <c r="G478">
        <v>7.5</v>
      </c>
    </row>
    <row r="479" spans="1:7" x14ac:dyDescent="0.25">
      <c r="A479" t="s">
        <v>5</v>
      </c>
      <c r="B479">
        <v>477</v>
      </c>
      <c r="C479">
        <v>47</v>
      </c>
      <c r="D479">
        <v>4.7602579593658447</v>
      </c>
      <c r="E479" t="s">
        <v>10</v>
      </c>
      <c r="F479" t="s">
        <v>14</v>
      </c>
      <c r="G479">
        <v>7.5</v>
      </c>
    </row>
    <row r="480" spans="1:7" x14ac:dyDescent="0.25">
      <c r="A480" t="s">
        <v>5</v>
      </c>
      <c r="B480">
        <v>478</v>
      </c>
      <c r="C480">
        <v>100</v>
      </c>
      <c r="D480">
        <v>6.7515590190887451</v>
      </c>
      <c r="E480" t="s">
        <v>10</v>
      </c>
      <c r="F480" t="s">
        <v>14</v>
      </c>
      <c r="G480">
        <v>7.5</v>
      </c>
    </row>
    <row r="481" spans="1:7" x14ac:dyDescent="0.25">
      <c r="A481" t="s">
        <v>5</v>
      </c>
      <c r="B481">
        <v>479</v>
      </c>
      <c r="C481">
        <v>100</v>
      </c>
      <c r="D481">
        <v>4.0165939331054688</v>
      </c>
      <c r="E481" t="s">
        <v>10</v>
      </c>
      <c r="F481" t="s">
        <v>14</v>
      </c>
      <c r="G481">
        <v>7.5</v>
      </c>
    </row>
    <row r="482" spans="1:7" x14ac:dyDescent="0.25">
      <c r="A482" t="s">
        <v>5</v>
      </c>
      <c r="B482">
        <v>480</v>
      </c>
      <c r="C482">
        <v>37</v>
      </c>
      <c r="D482">
        <v>3.0860340595245361</v>
      </c>
      <c r="E482" t="s">
        <v>10</v>
      </c>
      <c r="F482" t="s">
        <v>14</v>
      </c>
      <c r="G482">
        <v>7.5</v>
      </c>
    </row>
    <row r="483" spans="1:7" x14ac:dyDescent="0.25">
      <c r="A483" t="s">
        <v>5</v>
      </c>
      <c r="B483">
        <v>481</v>
      </c>
      <c r="C483">
        <v>70</v>
      </c>
      <c r="D483">
        <v>5.1863546371459961</v>
      </c>
      <c r="E483" t="s">
        <v>10</v>
      </c>
      <c r="F483" t="s">
        <v>14</v>
      </c>
      <c r="G483">
        <v>7.5</v>
      </c>
    </row>
    <row r="484" spans="1:7" x14ac:dyDescent="0.25">
      <c r="A484" t="s">
        <v>5</v>
      </c>
      <c r="B484">
        <v>482</v>
      </c>
      <c r="C484">
        <v>100</v>
      </c>
      <c r="D484">
        <v>5.4690520763397217</v>
      </c>
      <c r="E484" t="s">
        <v>10</v>
      </c>
      <c r="F484" t="s">
        <v>14</v>
      </c>
      <c r="G484">
        <v>7.5</v>
      </c>
    </row>
    <row r="485" spans="1:7" x14ac:dyDescent="0.25">
      <c r="A485" t="s">
        <v>5</v>
      </c>
      <c r="B485">
        <v>483</v>
      </c>
      <c r="C485">
        <v>100</v>
      </c>
      <c r="D485">
        <v>5.1833515167236328</v>
      </c>
      <c r="E485" t="s">
        <v>10</v>
      </c>
      <c r="F485" t="s">
        <v>14</v>
      </c>
      <c r="G485">
        <v>7.5</v>
      </c>
    </row>
    <row r="486" spans="1:7" x14ac:dyDescent="0.25">
      <c r="A486" t="s">
        <v>5</v>
      </c>
      <c r="B486">
        <v>484</v>
      </c>
      <c r="C486">
        <v>80</v>
      </c>
      <c r="D486">
        <v>2.8705747127532959</v>
      </c>
      <c r="E486" t="s">
        <v>10</v>
      </c>
      <c r="F486" t="s">
        <v>13</v>
      </c>
      <c r="G486">
        <v>4.3</v>
      </c>
    </row>
    <row r="487" spans="1:7" x14ac:dyDescent="0.25">
      <c r="A487" t="s">
        <v>5</v>
      </c>
      <c r="B487">
        <v>485</v>
      </c>
      <c r="C487">
        <v>47</v>
      </c>
      <c r="D487">
        <v>4.0039708614349365</v>
      </c>
      <c r="E487" t="s">
        <v>10</v>
      </c>
      <c r="F487" t="s">
        <v>14</v>
      </c>
      <c r="G487">
        <v>5</v>
      </c>
    </row>
    <row r="488" spans="1:7" x14ac:dyDescent="0.25">
      <c r="A488" t="s">
        <v>5</v>
      </c>
      <c r="B488">
        <v>486</v>
      </c>
      <c r="C488">
        <v>100</v>
      </c>
      <c r="D488">
        <v>5.6919772624969482</v>
      </c>
      <c r="E488" t="s">
        <v>10</v>
      </c>
      <c r="F488" t="s">
        <v>14</v>
      </c>
      <c r="G488">
        <v>5</v>
      </c>
    </row>
    <row r="489" spans="1:7" x14ac:dyDescent="0.25">
      <c r="A489" t="s">
        <v>5</v>
      </c>
      <c r="B489">
        <v>487</v>
      </c>
      <c r="C489">
        <v>57</v>
      </c>
      <c r="D489">
        <v>2.7059121131896973</v>
      </c>
      <c r="E489" t="s">
        <v>10</v>
      </c>
      <c r="F489" t="s">
        <v>14</v>
      </c>
      <c r="G489">
        <v>5</v>
      </c>
    </row>
    <row r="490" spans="1:7" x14ac:dyDescent="0.25">
      <c r="A490" t="s">
        <v>5</v>
      </c>
      <c r="B490">
        <v>488</v>
      </c>
      <c r="C490">
        <v>47</v>
      </c>
      <c r="D490">
        <v>2.7184367179870605</v>
      </c>
      <c r="E490" t="s">
        <v>10</v>
      </c>
      <c r="F490" t="s">
        <v>14</v>
      </c>
      <c r="G490">
        <v>5</v>
      </c>
    </row>
    <row r="491" spans="1:7" x14ac:dyDescent="0.25">
      <c r="A491" t="s">
        <v>5</v>
      </c>
      <c r="B491">
        <v>489</v>
      </c>
      <c r="C491">
        <v>100</v>
      </c>
      <c r="D491">
        <v>6.0184788703918457</v>
      </c>
      <c r="E491" t="s">
        <v>10</v>
      </c>
      <c r="F491" t="s">
        <v>15</v>
      </c>
      <c r="G491">
        <v>5</v>
      </c>
    </row>
    <row r="492" spans="1:7" x14ac:dyDescent="0.25">
      <c r="A492" t="s">
        <v>5</v>
      </c>
      <c r="B492">
        <v>490</v>
      </c>
      <c r="C492">
        <v>47</v>
      </c>
      <c r="D492">
        <v>11.738083362579346</v>
      </c>
      <c r="E492" t="s">
        <v>10</v>
      </c>
      <c r="F492" t="s">
        <v>14</v>
      </c>
      <c r="G492">
        <v>5</v>
      </c>
    </row>
    <row r="493" spans="1:7" x14ac:dyDescent="0.25">
      <c r="A493" t="s">
        <v>5</v>
      </c>
      <c r="B493">
        <v>491</v>
      </c>
      <c r="C493">
        <v>40</v>
      </c>
      <c r="D493">
        <v>12.534629344940186</v>
      </c>
      <c r="E493" t="s">
        <v>10</v>
      </c>
      <c r="F493" t="s">
        <v>15</v>
      </c>
      <c r="G493">
        <v>5</v>
      </c>
    </row>
    <row r="494" spans="1:7" x14ac:dyDescent="0.25">
      <c r="A494" t="s">
        <v>5</v>
      </c>
      <c r="B494">
        <v>492</v>
      </c>
      <c r="C494">
        <v>87</v>
      </c>
      <c r="D494">
        <v>7.3357729911804199</v>
      </c>
      <c r="E494" t="s">
        <v>10</v>
      </c>
      <c r="F494" t="s">
        <v>22</v>
      </c>
      <c r="G494">
        <v>7.5</v>
      </c>
    </row>
    <row r="495" spans="1:7" x14ac:dyDescent="0.25">
      <c r="A495" t="s">
        <v>5</v>
      </c>
      <c r="B495">
        <v>493</v>
      </c>
      <c r="C495">
        <v>57</v>
      </c>
      <c r="D495">
        <v>3.1544854640960693</v>
      </c>
      <c r="E495" t="s">
        <v>10</v>
      </c>
      <c r="F495" t="s">
        <v>22</v>
      </c>
      <c r="G495">
        <v>7.5</v>
      </c>
    </row>
    <row r="496" spans="1:7" x14ac:dyDescent="0.25">
      <c r="A496" t="s">
        <v>5</v>
      </c>
      <c r="B496">
        <v>494</v>
      </c>
      <c r="C496">
        <v>37</v>
      </c>
      <c r="D496">
        <v>3.3945269584655762</v>
      </c>
      <c r="E496" t="s">
        <v>10</v>
      </c>
      <c r="F496" t="s">
        <v>22</v>
      </c>
      <c r="G496">
        <v>7.5</v>
      </c>
    </row>
    <row r="497" spans="1:7" x14ac:dyDescent="0.25">
      <c r="A497" t="s">
        <v>5</v>
      </c>
      <c r="B497">
        <v>495</v>
      </c>
      <c r="C497">
        <v>37</v>
      </c>
      <c r="D497">
        <v>3.1126298904418945</v>
      </c>
      <c r="E497" t="s">
        <v>10</v>
      </c>
      <c r="F497" t="s">
        <v>22</v>
      </c>
      <c r="G497">
        <v>7.5</v>
      </c>
    </row>
    <row r="498" spans="1:7" x14ac:dyDescent="0.25">
      <c r="A498" t="s">
        <v>5</v>
      </c>
      <c r="B498">
        <v>496</v>
      </c>
      <c r="C498">
        <v>100</v>
      </c>
      <c r="D498">
        <v>9.8452484607696533</v>
      </c>
      <c r="E498" t="s">
        <v>10</v>
      </c>
      <c r="F498" t="s">
        <v>22</v>
      </c>
      <c r="G498">
        <v>7.5</v>
      </c>
    </row>
    <row r="499" spans="1:7" x14ac:dyDescent="0.25">
      <c r="A499" t="s">
        <v>5</v>
      </c>
      <c r="B499">
        <v>497</v>
      </c>
      <c r="C499">
        <v>50</v>
      </c>
      <c r="D499">
        <v>6.0450108051300049</v>
      </c>
      <c r="E499" t="s">
        <v>10</v>
      </c>
      <c r="F499" t="s">
        <v>22</v>
      </c>
      <c r="G499">
        <v>7.5</v>
      </c>
    </row>
    <row r="500" spans="1:7" x14ac:dyDescent="0.25">
      <c r="A500" t="s">
        <v>5</v>
      </c>
      <c r="B500">
        <v>498</v>
      </c>
      <c r="C500">
        <v>47</v>
      </c>
      <c r="D500">
        <v>9.3932957649230957</v>
      </c>
      <c r="E500" t="s">
        <v>10</v>
      </c>
      <c r="F500" t="s">
        <v>22</v>
      </c>
      <c r="G500">
        <v>7.5</v>
      </c>
    </row>
    <row r="501" spans="1:7" x14ac:dyDescent="0.25">
      <c r="A501" t="s">
        <v>5</v>
      </c>
      <c r="B501">
        <v>499</v>
      </c>
      <c r="C501">
        <v>70</v>
      </c>
      <c r="D501">
        <v>5.3861191272735596</v>
      </c>
      <c r="E501" t="s">
        <v>10</v>
      </c>
      <c r="F501" t="s">
        <v>22</v>
      </c>
      <c r="G501">
        <v>7.5</v>
      </c>
    </row>
    <row r="502" spans="1:7" x14ac:dyDescent="0.25">
      <c r="A502" t="s">
        <v>5</v>
      </c>
      <c r="B502">
        <v>500</v>
      </c>
      <c r="C502">
        <v>100</v>
      </c>
      <c r="D502">
        <v>9.9324965476989746</v>
      </c>
      <c r="E502" t="s">
        <v>10</v>
      </c>
      <c r="F502" t="s">
        <v>22</v>
      </c>
      <c r="G502">
        <v>7.5</v>
      </c>
    </row>
    <row r="503" spans="1:7" x14ac:dyDescent="0.25">
      <c r="A503" t="s">
        <v>5</v>
      </c>
      <c r="B503">
        <v>501</v>
      </c>
      <c r="C503">
        <v>21</v>
      </c>
      <c r="D503">
        <v>3.953209400177002</v>
      </c>
      <c r="E503" t="s">
        <v>10</v>
      </c>
      <c r="F503" t="s">
        <v>22</v>
      </c>
      <c r="G503">
        <v>7.5</v>
      </c>
    </row>
    <row r="504" spans="1:7" x14ac:dyDescent="0.25">
      <c r="A504" t="s">
        <v>5</v>
      </c>
      <c r="B504">
        <v>502</v>
      </c>
      <c r="C504">
        <v>90</v>
      </c>
      <c r="D504">
        <v>5.7415854930877686</v>
      </c>
      <c r="E504" t="s">
        <v>10</v>
      </c>
      <c r="F504" t="s">
        <v>22</v>
      </c>
      <c r="G504">
        <v>7.5</v>
      </c>
    </row>
    <row r="505" spans="1:7" x14ac:dyDescent="0.25">
      <c r="A505" t="s">
        <v>5</v>
      </c>
      <c r="B505">
        <v>503</v>
      </c>
      <c r="C505">
        <v>30</v>
      </c>
      <c r="D505">
        <v>5.7834374904632568</v>
      </c>
      <c r="E505" t="s">
        <v>10</v>
      </c>
      <c r="F505" t="s">
        <v>22</v>
      </c>
      <c r="G505">
        <v>7.5</v>
      </c>
    </row>
    <row r="506" spans="1:7" x14ac:dyDescent="0.25">
      <c r="A506" t="s">
        <v>5</v>
      </c>
      <c r="B506">
        <v>504</v>
      </c>
      <c r="C506">
        <v>63</v>
      </c>
      <c r="D506">
        <v>5.1987934112548828</v>
      </c>
      <c r="E506" t="s">
        <v>10</v>
      </c>
      <c r="F506" t="s">
        <v>22</v>
      </c>
      <c r="G506">
        <v>7.5</v>
      </c>
    </row>
    <row r="507" spans="1:7" x14ac:dyDescent="0.25">
      <c r="A507" t="s">
        <v>5</v>
      </c>
      <c r="B507">
        <v>505</v>
      </c>
      <c r="C507">
        <v>30</v>
      </c>
      <c r="D507">
        <v>3.2760078907012939</v>
      </c>
      <c r="E507" t="s">
        <v>10</v>
      </c>
      <c r="F507" t="s">
        <v>22</v>
      </c>
      <c r="G507">
        <v>7.5</v>
      </c>
    </row>
    <row r="508" spans="1:7" x14ac:dyDescent="0.25">
      <c r="A508" t="s">
        <v>5</v>
      </c>
      <c r="B508">
        <v>506</v>
      </c>
      <c r="C508">
        <v>14</v>
      </c>
      <c r="D508">
        <v>4.7984097003936768</v>
      </c>
      <c r="E508" t="s">
        <v>10</v>
      </c>
      <c r="F508" t="s">
        <v>22</v>
      </c>
      <c r="G508">
        <v>7.5</v>
      </c>
    </row>
    <row r="509" spans="1:7" x14ac:dyDescent="0.25">
      <c r="A509" t="s">
        <v>5</v>
      </c>
      <c r="B509">
        <v>507</v>
      </c>
      <c r="C509">
        <v>30</v>
      </c>
      <c r="D509">
        <v>3.0368027687072754</v>
      </c>
      <c r="E509" t="s">
        <v>10</v>
      </c>
      <c r="F509" t="s">
        <v>22</v>
      </c>
      <c r="G509">
        <v>7.5</v>
      </c>
    </row>
    <row r="510" spans="1:7" x14ac:dyDescent="0.25">
      <c r="A510" t="s">
        <v>5</v>
      </c>
      <c r="B510">
        <v>508</v>
      </c>
      <c r="C510">
        <v>100</v>
      </c>
      <c r="D510">
        <v>10.402368307113647</v>
      </c>
      <c r="E510" t="s">
        <v>10</v>
      </c>
      <c r="F510" t="s">
        <v>22</v>
      </c>
      <c r="G510">
        <v>7.5</v>
      </c>
    </row>
    <row r="511" spans="1:7" x14ac:dyDescent="0.25">
      <c r="A511" t="s">
        <v>5</v>
      </c>
      <c r="B511">
        <v>509</v>
      </c>
      <c r="C511">
        <v>53</v>
      </c>
      <c r="D511">
        <v>6.5037910938262939</v>
      </c>
      <c r="E511" t="s">
        <v>10</v>
      </c>
      <c r="F511" t="s">
        <v>22</v>
      </c>
      <c r="G511">
        <v>7.5</v>
      </c>
    </row>
    <row r="512" spans="1:7" x14ac:dyDescent="0.25">
      <c r="A512" t="s">
        <v>5</v>
      </c>
      <c r="B512">
        <v>510</v>
      </c>
      <c r="C512">
        <v>70</v>
      </c>
      <c r="D512">
        <v>3.982933521270752</v>
      </c>
      <c r="E512" t="s">
        <v>10</v>
      </c>
      <c r="F512" t="s">
        <v>22</v>
      </c>
      <c r="G512">
        <v>7.5</v>
      </c>
    </row>
    <row r="513" spans="1:7" x14ac:dyDescent="0.25">
      <c r="A513" t="s">
        <v>5</v>
      </c>
      <c r="B513">
        <v>511</v>
      </c>
      <c r="C513">
        <v>70</v>
      </c>
      <c r="D513">
        <v>4.9325566291809082</v>
      </c>
      <c r="E513" t="s">
        <v>10</v>
      </c>
      <c r="F513" t="s">
        <v>15</v>
      </c>
      <c r="G513">
        <v>4.9000000000000004</v>
      </c>
    </row>
    <row r="514" spans="1:7" x14ac:dyDescent="0.25">
      <c r="A514" t="s">
        <v>5</v>
      </c>
      <c r="B514">
        <v>512</v>
      </c>
      <c r="C514">
        <v>87</v>
      </c>
      <c r="D514">
        <v>6.5635986328125</v>
      </c>
      <c r="E514" t="s">
        <v>10</v>
      </c>
      <c r="F514" t="s">
        <v>17</v>
      </c>
      <c r="G514">
        <v>2.1</v>
      </c>
    </row>
    <row r="515" spans="1:7" x14ac:dyDescent="0.25">
      <c r="A515" t="s">
        <v>5</v>
      </c>
      <c r="B515">
        <v>513</v>
      </c>
      <c r="C515">
        <v>90</v>
      </c>
      <c r="D515">
        <v>4.1699113845825195</v>
      </c>
      <c r="E515" t="s">
        <v>10</v>
      </c>
      <c r="F515" t="s">
        <v>15</v>
      </c>
      <c r="G515">
        <v>4.3</v>
      </c>
    </row>
    <row r="516" spans="1:7" x14ac:dyDescent="0.25">
      <c r="A516" t="s">
        <v>5</v>
      </c>
      <c r="B516">
        <v>514</v>
      </c>
      <c r="C516">
        <v>17</v>
      </c>
      <c r="D516">
        <v>3.7512073516845703</v>
      </c>
      <c r="E516" t="s">
        <v>10</v>
      </c>
      <c r="F516" t="s">
        <v>14</v>
      </c>
      <c r="G516">
        <v>4.3</v>
      </c>
    </row>
    <row r="517" spans="1:7" x14ac:dyDescent="0.25">
      <c r="A517" t="s">
        <v>5</v>
      </c>
      <c r="B517">
        <v>515</v>
      </c>
      <c r="C517">
        <v>90</v>
      </c>
      <c r="D517">
        <v>8.0596592426300049</v>
      </c>
      <c r="E517" t="s">
        <v>10</v>
      </c>
      <c r="F517" t="s">
        <v>12</v>
      </c>
      <c r="G517">
        <v>6.4</v>
      </c>
    </row>
    <row r="518" spans="1:7" x14ac:dyDescent="0.25">
      <c r="A518" t="s">
        <v>5</v>
      </c>
      <c r="B518">
        <v>516</v>
      </c>
      <c r="C518">
        <v>90</v>
      </c>
      <c r="D518">
        <v>8.8826124668121338</v>
      </c>
      <c r="E518" t="s">
        <v>10</v>
      </c>
      <c r="F518" t="s">
        <v>14</v>
      </c>
      <c r="G518">
        <v>5</v>
      </c>
    </row>
    <row r="519" spans="1:7" x14ac:dyDescent="0.25">
      <c r="A519" t="s">
        <v>5</v>
      </c>
      <c r="B519">
        <v>517</v>
      </c>
      <c r="C519">
        <v>80</v>
      </c>
      <c r="D519">
        <v>9.084160327911377</v>
      </c>
      <c r="E519" t="s">
        <v>10</v>
      </c>
      <c r="F519" t="s">
        <v>30</v>
      </c>
      <c r="G519">
        <v>5</v>
      </c>
    </row>
    <row r="520" spans="1:7" x14ac:dyDescent="0.25">
      <c r="A520" t="s">
        <v>5</v>
      </c>
      <c r="B520">
        <v>518</v>
      </c>
      <c r="C520">
        <v>15</v>
      </c>
      <c r="D520">
        <v>2.7557175159454346</v>
      </c>
      <c r="E520" t="s">
        <v>10</v>
      </c>
      <c r="F520" t="s">
        <v>36</v>
      </c>
      <c r="G520">
        <v>3.6</v>
      </c>
    </row>
    <row r="521" spans="1:7" x14ac:dyDescent="0.25">
      <c r="A521" t="s">
        <v>5</v>
      </c>
      <c r="B521">
        <v>519</v>
      </c>
      <c r="C521">
        <v>80</v>
      </c>
      <c r="D521">
        <v>2.7304568290710449</v>
      </c>
      <c r="E521" t="s">
        <v>10</v>
      </c>
      <c r="F521" t="s">
        <v>36</v>
      </c>
      <c r="G521">
        <v>3.6</v>
      </c>
    </row>
    <row r="522" spans="1:7" x14ac:dyDescent="0.25">
      <c r="A522" t="s">
        <v>5</v>
      </c>
      <c r="B522">
        <v>520</v>
      </c>
      <c r="C522">
        <v>20</v>
      </c>
      <c r="D522">
        <v>2.7848503589630127</v>
      </c>
      <c r="E522" t="s">
        <v>10</v>
      </c>
      <c r="F522" t="s">
        <v>36</v>
      </c>
      <c r="G522">
        <v>3.6</v>
      </c>
    </row>
    <row r="523" spans="1:7" x14ac:dyDescent="0.25">
      <c r="A523" t="s">
        <v>5</v>
      </c>
      <c r="B523">
        <v>521</v>
      </c>
      <c r="C523">
        <v>100</v>
      </c>
      <c r="D523">
        <v>3.2580206394195557</v>
      </c>
      <c r="E523" t="s">
        <v>10</v>
      </c>
      <c r="F523" t="s">
        <v>36</v>
      </c>
      <c r="G523">
        <v>3.6</v>
      </c>
    </row>
    <row r="524" spans="1:7" x14ac:dyDescent="0.25">
      <c r="A524" t="s">
        <v>5</v>
      </c>
      <c r="B524">
        <v>522</v>
      </c>
      <c r="C524">
        <v>100</v>
      </c>
      <c r="D524">
        <v>2.9484405517578125</v>
      </c>
      <c r="E524" t="s">
        <v>10</v>
      </c>
      <c r="F524" t="s">
        <v>36</v>
      </c>
      <c r="G524">
        <v>3.6</v>
      </c>
    </row>
    <row r="525" spans="1:7" x14ac:dyDescent="0.25">
      <c r="A525" t="s">
        <v>5</v>
      </c>
      <c r="B525">
        <v>523</v>
      </c>
      <c r="C525">
        <v>100</v>
      </c>
      <c r="D525">
        <v>3.1279611587524414</v>
      </c>
      <c r="E525" t="s">
        <v>10</v>
      </c>
      <c r="F525" t="s">
        <v>36</v>
      </c>
      <c r="G525">
        <v>3.6</v>
      </c>
    </row>
    <row r="526" spans="1:7" x14ac:dyDescent="0.25">
      <c r="A526" t="s">
        <v>5</v>
      </c>
      <c r="B526">
        <v>524</v>
      </c>
      <c r="C526">
        <v>50</v>
      </c>
      <c r="D526">
        <v>2.81607985496521</v>
      </c>
      <c r="E526" t="s">
        <v>10</v>
      </c>
      <c r="F526" t="s">
        <v>36</v>
      </c>
      <c r="G526">
        <v>3.6</v>
      </c>
    </row>
    <row r="527" spans="1:7" x14ac:dyDescent="0.25">
      <c r="A527" t="s">
        <v>5</v>
      </c>
      <c r="B527">
        <v>525</v>
      </c>
      <c r="C527">
        <v>20</v>
      </c>
      <c r="D527">
        <v>2.7512829303741455</v>
      </c>
      <c r="E527" t="s">
        <v>10</v>
      </c>
      <c r="F527" t="s">
        <v>36</v>
      </c>
      <c r="G527">
        <v>3.6</v>
      </c>
    </row>
    <row r="528" spans="1:7" x14ac:dyDescent="0.25">
      <c r="A528" t="s">
        <v>5</v>
      </c>
      <c r="B528">
        <v>526</v>
      </c>
      <c r="C528">
        <v>80</v>
      </c>
      <c r="D528">
        <v>4.9834167957305908</v>
      </c>
      <c r="E528" t="s">
        <v>10</v>
      </c>
      <c r="F528" t="s">
        <v>36</v>
      </c>
      <c r="G528">
        <v>3.6</v>
      </c>
    </row>
    <row r="529" spans="1:7" x14ac:dyDescent="0.25">
      <c r="A529" t="s">
        <v>5</v>
      </c>
      <c r="B529">
        <v>527</v>
      </c>
      <c r="C529">
        <v>70</v>
      </c>
      <c r="D529">
        <v>2.8838136196136475</v>
      </c>
      <c r="E529" t="s">
        <v>10</v>
      </c>
      <c r="F529" t="s">
        <v>36</v>
      </c>
      <c r="G529">
        <v>3.6</v>
      </c>
    </row>
    <row r="530" spans="1:7" x14ac:dyDescent="0.25">
      <c r="A530" t="s">
        <v>5</v>
      </c>
      <c r="B530">
        <v>528</v>
      </c>
      <c r="C530">
        <v>10</v>
      </c>
      <c r="D530">
        <v>2.5385587215423584</v>
      </c>
      <c r="E530" t="s">
        <v>10</v>
      </c>
      <c r="F530" t="s">
        <v>36</v>
      </c>
      <c r="G530">
        <v>3.6</v>
      </c>
    </row>
    <row r="531" spans="1:7" x14ac:dyDescent="0.25">
      <c r="A531" t="s">
        <v>5</v>
      </c>
      <c r="B531">
        <v>529</v>
      </c>
      <c r="C531">
        <v>100</v>
      </c>
      <c r="D531">
        <v>2.7328424453735352</v>
      </c>
      <c r="E531" t="s">
        <v>10</v>
      </c>
      <c r="F531" t="s">
        <v>36</v>
      </c>
      <c r="G531">
        <v>3.6</v>
      </c>
    </row>
    <row r="532" spans="1:7" x14ac:dyDescent="0.25">
      <c r="A532" t="s">
        <v>5</v>
      </c>
      <c r="B532">
        <v>530</v>
      </c>
      <c r="C532">
        <v>30</v>
      </c>
      <c r="D532">
        <v>2.5947356224060059</v>
      </c>
      <c r="E532" t="s">
        <v>10</v>
      </c>
      <c r="F532" t="s">
        <v>36</v>
      </c>
      <c r="G532">
        <v>3.6</v>
      </c>
    </row>
    <row r="533" spans="1:7" x14ac:dyDescent="0.25">
      <c r="A533" t="s">
        <v>5</v>
      </c>
      <c r="B533">
        <v>531</v>
      </c>
      <c r="C533">
        <v>30</v>
      </c>
      <c r="D533">
        <v>2.963975191116333</v>
      </c>
      <c r="E533" t="s">
        <v>10</v>
      </c>
      <c r="F533" t="s">
        <v>36</v>
      </c>
      <c r="G533">
        <v>3.6</v>
      </c>
    </row>
    <row r="534" spans="1:7" x14ac:dyDescent="0.25">
      <c r="A534" t="s">
        <v>5</v>
      </c>
      <c r="B534">
        <v>532</v>
      </c>
      <c r="C534">
        <v>20</v>
      </c>
      <c r="D534">
        <v>3.058354377746582</v>
      </c>
      <c r="E534" t="s">
        <v>10</v>
      </c>
      <c r="F534" t="s">
        <v>36</v>
      </c>
      <c r="G534">
        <v>3.6</v>
      </c>
    </row>
    <row r="535" spans="1:7" x14ac:dyDescent="0.25">
      <c r="A535" t="s">
        <v>5</v>
      </c>
      <c r="B535">
        <v>533</v>
      </c>
      <c r="C535">
        <v>17</v>
      </c>
      <c r="D535">
        <v>2.8998308181762695</v>
      </c>
      <c r="E535" t="s">
        <v>10</v>
      </c>
      <c r="F535" t="s">
        <v>36</v>
      </c>
      <c r="G535">
        <v>3.6</v>
      </c>
    </row>
    <row r="536" spans="1:7" x14ac:dyDescent="0.25">
      <c r="A536" t="s">
        <v>5</v>
      </c>
      <c r="B536">
        <v>534</v>
      </c>
      <c r="C536">
        <v>21</v>
      </c>
      <c r="D536">
        <v>2.6445028781890869</v>
      </c>
      <c r="E536" t="s">
        <v>10</v>
      </c>
      <c r="F536" t="s">
        <v>36</v>
      </c>
      <c r="G536">
        <v>3.6</v>
      </c>
    </row>
    <row r="537" spans="1:7" x14ac:dyDescent="0.25">
      <c r="A537" t="s">
        <v>5</v>
      </c>
      <c r="B537">
        <v>535</v>
      </c>
      <c r="C537">
        <v>70</v>
      </c>
      <c r="D537">
        <v>2.6484935283660889</v>
      </c>
      <c r="E537" t="s">
        <v>10</v>
      </c>
      <c r="F537" t="s">
        <v>36</v>
      </c>
      <c r="G537">
        <v>3.6</v>
      </c>
    </row>
    <row r="538" spans="1:7" x14ac:dyDescent="0.25">
      <c r="A538" t="s">
        <v>5</v>
      </c>
      <c r="B538">
        <v>536</v>
      </c>
      <c r="C538">
        <v>10</v>
      </c>
      <c r="D538">
        <v>3.2473132610321045</v>
      </c>
      <c r="E538" t="s">
        <v>10</v>
      </c>
      <c r="F538" t="s">
        <v>36</v>
      </c>
      <c r="G538">
        <v>3.6</v>
      </c>
    </row>
    <row r="539" spans="1:7" x14ac:dyDescent="0.25">
      <c r="A539" t="s">
        <v>5</v>
      </c>
      <c r="B539">
        <v>537</v>
      </c>
      <c r="C539">
        <v>100</v>
      </c>
      <c r="D539">
        <v>3.1474354267120361</v>
      </c>
      <c r="E539" t="s">
        <v>10</v>
      </c>
      <c r="F539" t="s">
        <v>36</v>
      </c>
      <c r="G539">
        <v>3.6</v>
      </c>
    </row>
    <row r="540" spans="1:7" x14ac:dyDescent="0.25">
      <c r="A540" t="s">
        <v>5</v>
      </c>
      <c r="B540">
        <v>538</v>
      </c>
      <c r="C540">
        <v>30</v>
      </c>
      <c r="D540">
        <v>3.06241774559021</v>
      </c>
      <c r="E540" t="s">
        <v>10</v>
      </c>
      <c r="F540" t="s">
        <v>36</v>
      </c>
      <c r="G540">
        <v>3.6</v>
      </c>
    </row>
    <row r="541" spans="1:7" x14ac:dyDescent="0.25">
      <c r="A541" t="s">
        <v>5</v>
      </c>
      <c r="B541">
        <v>539</v>
      </c>
      <c r="C541">
        <v>30</v>
      </c>
      <c r="D541">
        <v>2.6134366989135742</v>
      </c>
      <c r="E541" t="s">
        <v>10</v>
      </c>
      <c r="F541" t="s">
        <v>36</v>
      </c>
      <c r="G541">
        <v>3.6</v>
      </c>
    </row>
    <row r="542" spans="1:7" x14ac:dyDescent="0.25">
      <c r="A542" t="s">
        <v>5</v>
      </c>
      <c r="B542">
        <v>540</v>
      </c>
      <c r="C542">
        <v>30</v>
      </c>
      <c r="D542">
        <v>2.6497349739074707</v>
      </c>
      <c r="E542" t="s">
        <v>10</v>
      </c>
      <c r="F542" t="s">
        <v>36</v>
      </c>
      <c r="G542">
        <v>3.6</v>
      </c>
    </row>
    <row r="543" spans="1:7" x14ac:dyDescent="0.25">
      <c r="A543" t="s">
        <v>5</v>
      </c>
      <c r="B543">
        <v>541</v>
      </c>
      <c r="C543">
        <v>60</v>
      </c>
      <c r="D543">
        <v>2.6509528160095215</v>
      </c>
      <c r="E543" t="s">
        <v>10</v>
      </c>
      <c r="F543" t="s">
        <v>36</v>
      </c>
      <c r="G543">
        <v>3.6</v>
      </c>
    </row>
    <row r="544" spans="1:7" x14ac:dyDescent="0.25">
      <c r="A544" t="s">
        <v>5</v>
      </c>
      <c r="B544">
        <v>542</v>
      </c>
      <c r="C544">
        <v>80</v>
      </c>
      <c r="D544">
        <v>2.5553033351898193</v>
      </c>
      <c r="E544" t="s">
        <v>10</v>
      </c>
      <c r="F544" t="s">
        <v>36</v>
      </c>
      <c r="G544">
        <v>3.6</v>
      </c>
    </row>
    <row r="545" spans="1:7" x14ac:dyDescent="0.25">
      <c r="A545" t="s">
        <v>5</v>
      </c>
      <c r="B545">
        <v>543</v>
      </c>
      <c r="C545">
        <v>80</v>
      </c>
      <c r="D545">
        <v>2.8901128768920898</v>
      </c>
      <c r="E545" t="s">
        <v>10</v>
      </c>
      <c r="F545" t="s">
        <v>36</v>
      </c>
      <c r="G545">
        <v>3.6</v>
      </c>
    </row>
    <row r="546" spans="1:7" x14ac:dyDescent="0.25">
      <c r="A546" t="s">
        <v>5</v>
      </c>
      <c r="B546">
        <v>544</v>
      </c>
      <c r="C546">
        <v>40</v>
      </c>
      <c r="D546">
        <v>2.5424144268035889</v>
      </c>
      <c r="E546" t="s">
        <v>10</v>
      </c>
      <c r="F546" t="s">
        <v>36</v>
      </c>
      <c r="G546">
        <v>3.6</v>
      </c>
    </row>
    <row r="547" spans="1:7" x14ac:dyDescent="0.25">
      <c r="A547" t="s">
        <v>5</v>
      </c>
      <c r="B547">
        <v>545</v>
      </c>
      <c r="C547">
        <v>10</v>
      </c>
      <c r="D547">
        <v>2.4269111156463623</v>
      </c>
      <c r="E547" t="s">
        <v>10</v>
      </c>
      <c r="F547" t="s">
        <v>36</v>
      </c>
      <c r="G547">
        <v>3.6</v>
      </c>
    </row>
    <row r="548" spans="1:7" x14ac:dyDescent="0.25">
      <c r="A548" t="s">
        <v>5</v>
      </c>
      <c r="B548">
        <v>546</v>
      </c>
      <c r="C548">
        <v>14</v>
      </c>
      <c r="D548">
        <v>2.8087871074676514</v>
      </c>
      <c r="E548" t="s">
        <v>10</v>
      </c>
      <c r="F548" t="s">
        <v>36</v>
      </c>
      <c r="G548">
        <v>3.6</v>
      </c>
    </row>
    <row r="549" spans="1:7" x14ac:dyDescent="0.25">
      <c r="A549" t="s">
        <v>5</v>
      </c>
      <c r="B549">
        <v>547</v>
      </c>
      <c r="C549">
        <v>16</v>
      </c>
      <c r="D549">
        <v>3.0321803092956543</v>
      </c>
      <c r="E549" t="s">
        <v>10</v>
      </c>
      <c r="F549" t="s">
        <v>36</v>
      </c>
      <c r="G549">
        <v>3.6</v>
      </c>
    </row>
    <row r="550" spans="1:7" x14ac:dyDescent="0.25">
      <c r="A550" t="s">
        <v>5</v>
      </c>
      <c r="B550">
        <v>548</v>
      </c>
      <c r="C550">
        <v>100</v>
      </c>
      <c r="D550">
        <v>3.162039041519165</v>
      </c>
      <c r="E550" t="s">
        <v>10</v>
      </c>
      <c r="F550" t="s">
        <v>36</v>
      </c>
      <c r="G550">
        <v>3.6</v>
      </c>
    </row>
    <row r="551" spans="1:7" x14ac:dyDescent="0.25">
      <c r="A551" t="s">
        <v>5</v>
      </c>
      <c r="B551">
        <v>549</v>
      </c>
      <c r="C551">
        <v>47</v>
      </c>
      <c r="D551">
        <v>3.0502111911773682</v>
      </c>
      <c r="E551" t="s">
        <v>10</v>
      </c>
      <c r="F551" t="s">
        <v>36</v>
      </c>
      <c r="G551">
        <v>3.6</v>
      </c>
    </row>
    <row r="552" spans="1:7" x14ac:dyDescent="0.25">
      <c r="A552" t="s">
        <v>5</v>
      </c>
      <c r="B552">
        <v>550</v>
      </c>
      <c r="C552">
        <v>50</v>
      </c>
      <c r="D552">
        <v>3.0920867919921875</v>
      </c>
      <c r="E552" t="s">
        <v>10</v>
      </c>
      <c r="F552" t="s">
        <v>36</v>
      </c>
      <c r="G552">
        <v>3.6</v>
      </c>
    </row>
    <row r="553" spans="1:7" x14ac:dyDescent="0.25">
      <c r="A553" t="s">
        <v>5</v>
      </c>
      <c r="B553">
        <v>551</v>
      </c>
      <c r="C553">
        <v>50</v>
      </c>
      <c r="D553">
        <v>3.4552597999572754</v>
      </c>
      <c r="E553" t="s">
        <v>10</v>
      </c>
      <c r="F553" t="s">
        <v>36</v>
      </c>
      <c r="G553">
        <v>3.6</v>
      </c>
    </row>
    <row r="554" spans="1:7" x14ac:dyDescent="0.25">
      <c r="A554" t="s">
        <v>5</v>
      </c>
      <c r="B554">
        <v>552</v>
      </c>
      <c r="C554">
        <v>100</v>
      </c>
      <c r="D554">
        <v>6.0199143886566162</v>
      </c>
      <c r="E554" t="s">
        <v>10</v>
      </c>
      <c r="F554" t="s">
        <v>36</v>
      </c>
      <c r="G554">
        <v>3.6</v>
      </c>
    </row>
    <row r="555" spans="1:7" x14ac:dyDescent="0.25">
      <c r="A555" t="s">
        <v>5</v>
      </c>
      <c r="B555">
        <v>553</v>
      </c>
      <c r="C555">
        <v>15</v>
      </c>
      <c r="D555">
        <v>2.7200570106506348</v>
      </c>
      <c r="E555" t="s">
        <v>10</v>
      </c>
      <c r="F555" t="s">
        <v>36</v>
      </c>
      <c r="G555">
        <v>3.6</v>
      </c>
    </row>
    <row r="556" spans="1:7" x14ac:dyDescent="0.25">
      <c r="A556" t="s">
        <v>5</v>
      </c>
      <c r="B556">
        <v>554</v>
      </c>
      <c r="C556">
        <v>10</v>
      </c>
      <c r="D556">
        <v>3.1823318004608154</v>
      </c>
      <c r="E556" t="s">
        <v>10</v>
      </c>
      <c r="F556" t="s">
        <v>36</v>
      </c>
      <c r="G556">
        <v>3.6</v>
      </c>
    </row>
    <row r="557" spans="1:7" x14ac:dyDescent="0.25">
      <c r="A557" t="s">
        <v>5</v>
      </c>
      <c r="B557">
        <v>555</v>
      </c>
      <c r="C557">
        <v>30</v>
      </c>
      <c r="D557">
        <v>4.4160833358764648</v>
      </c>
      <c r="E557" t="s">
        <v>10</v>
      </c>
      <c r="F557" t="s">
        <v>36</v>
      </c>
      <c r="G557">
        <v>3.6</v>
      </c>
    </row>
    <row r="558" spans="1:7" x14ac:dyDescent="0.25">
      <c r="A558" t="s">
        <v>5</v>
      </c>
      <c r="B558">
        <v>556</v>
      </c>
      <c r="C558">
        <v>10</v>
      </c>
      <c r="D558">
        <v>3.2341518402099609</v>
      </c>
      <c r="E558" t="s">
        <v>10</v>
      </c>
      <c r="F558" t="s">
        <v>36</v>
      </c>
      <c r="G558">
        <v>3.6</v>
      </c>
    </row>
    <row r="559" spans="1:7" x14ac:dyDescent="0.25">
      <c r="A559" t="s">
        <v>5</v>
      </c>
      <c r="B559">
        <v>557</v>
      </c>
      <c r="C559">
        <v>27</v>
      </c>
      <c r="D559">
        <v>2.7796878814697266</v>
      </c>
      <c r="E559" t="s">
        <v>10</v>
      </c>
      <c r="F559" t="s">
        <v>36</v>
      </c>
      <c r="G559">
        <v>3.6</v>
      </c>
    </row>
    <row r="560" spans="1:7" x14ac:dyDescent="0.25">
      <c r="A560" t="s">
        <v>5</v>
      </c>
      <c r="B560">
        <v>558</v>
      </c>
      <c r="C560">
        <v>20</v>
      </c>
      <c r="D560">
        <v>3.1147468090057373</v>
      </c>
      <c r="E560" t="s">
        <v>10</v>
      </c>
      <c r="F560" t="s">
        <v>36</v>
      </c>
      <c r="G560">
        <v>3.6</v>
      </c>
    </row>
    <row r="561" spans="1:7" x14ac:dyDescent="0.25">
      <c r="A561" t="s">
        <v>5</v>
      </c>
      <c r="B561">
        <v>559</v>
      </c>
      <c r="C561">
        <v>20</v>
      </c>
      <c r="D561">
        <v>2.5166022777557373</v>
      </c>
      <c r="E561" t="s">
        <v>10</v>
      </c>
      <c r="F561" t="s">
        <v>36</v>
      </c>
      <c r="G561">
        <v>3.6</v>
      </c>
    </row>
    <row r="562" spans="1:7" x14ac:dyDescent="0.25">
      <c r="A562" t="s">
        <v>5</v>
      </c>
      <c r="B562">
        <v>560</v>
      </c>
      <c r="C562">
        <v>15</v>
      </c>
      <c r="D562">
        <v>2.6306514739990234</v>
      </c>
      <c r="E562" t="s">
        <v>10</v>
      </c>
      <c r="F562" t="s">
        <v>36</v>
      </c>
      <c r="G562">
        <v>3.6</v>
      </c>
    </row>
    <row r="563" spans="1:7" x14ac:dyDescent="0.25">
      <c r="A563" t="s">
        <v>5</v>
      </c>
      <c r="B563">
        <v>561</v>
      </c>
      <c r="C563">
        <v>23</v>
      </c>
      <c r="D563">
        <v>3.1055593490600586</v>
      </c>
      <c r="E563" t="s">
        <v>10</v>
      </c>
      <c r="F563" t="s">
        <v>36</v>
      </c>
      <c r="G563">
        <v>3.6</v>
      </c>
    </row>
    <row r="564" spans="1:7" x14ac:dyDescent="0.25">
      <c r="A564" t="s">
        <v>5</v>
      </c>
      <c r="B564">
        <v>562</v>
      </c>
      <c r="C564">
        <v>30</v>
      </c>
      <c r="D564">
        <v>2.5956814289093018</v>
      </c>
      <c r="E564" t="s">
        <v>10</v>
      </c>
      <c r="F564" t="s">
        <v>36</v>
      </c>
      <c r="G564">
        <v>3.6</v>
      </c>
    </row>
    <row r="565" spans="1:7" x14ac:dyDescent="0.25">
      <c r="A565" t="s">
        <v>5</v>
      </c>
      <c r="B565">
        <v>563</v>
      </c>
      <c r="C565">
        <v>100</v>
      </c>
      <c r="D565">
        <v>2.5357294082641602</v>
      </c>
      <c r="E565" t="s">
        <v>10</v>
      </c>
      <c r="F565" t="s">
        <v>36</v>
      </c>
      <c r="G565">
        <v>3.6</v>
      </c>
    </row>
    <row r="566" spans="1:7" x14ac:dyDescent="0.25">
      <c r="A566" t="s">
        <v>5</v>
      </c>
      <c r="B566">
        <v>564</v>
      </c>
      <c r="C566">
        <v>100</v>
      </c>
      <c r="D566">
        <v>8.593862771987915</v>
      </c>
      <c r="E566" t="s">
        <v>10</v>
      </c>
      <c r="F566" t="s">
        <v>34</v>
      </c>
      <c r="G566">
        <v>7.1</v>
      </c>
    </row>
    <row r="567" spans="1:7" x14ac:dyDescent="0.25">
      <c r="A567" t="s">
        <v>5</v>
      </c>
      <c r="B567">
        <v>565</v>
      </c>
      <c r="C567">
        <v>83</v>
      </c>
      <c r="D567">
        <v>9.4581978321075439</v>
      </c>
      <c r="E567" t="s">
        <v>10</v>
      </c>
      <c r="F567" t="s">
        <v>34</v>
      </c>
      <c r="G567">
        <v>7.1</v>
      </c>
    </row>
    <row r="568" spans="1:7" x14ac:dyDescent="0.25">
      <c r="A568" t="s">
        <v>5</v>
      </c>
      <c r="B568">
        <v>566</v>
      </c>
      <c r="C568">
        <v>17</v>
      </c>
      <c r="D568">
        <v>6.6997361183166504</v>
      </c>
      <c r="E568" t="s">
        <v>10</v>
      </c>
      <c r="F568" t="s">
        <v>34</v>
      </c>
      <c r="G568">
        <v>7.1</v>
      </c>
    </row>
    <row r="569" spans="1:7" x14ac:dyDescent="0.25">
      <c r="A569" t="s">
        <v>5</v>
      </c>
      <c r="B569">
        <v>567</v>
      </c>
      <c r="C569">
        <v>100</v>
      </c>
      <c r="D569">
        <v>9.1866281032562256</v>
      </c>
      <c r="E569" t="s">
        <v>10</v>
      </c>
      <c r="F569" t="s">
        <v>34</v>
      </c>
      <c r="G569">
        <v>7.1</v>
      </c>
    </row>
    <row r="570" spans="1:7" x14ac:dyDescent="0.25">
      <c r="A570" t="s">
        <v>5</v>
      </c>
      <c r="B570">
        <v>568</v>
      </c>
      <c r="C570">
        <v>100</v>
      </c>
      <c r="D570">
        <v>4.8064441680908203</v>
      </c>
      <c r="E570" t="s">
        <v>10</v>
      </c>
      <c r="F570" t="s">
        <v>17</v>
      </c>
      <c r="G570">
        <v>2.1</v>
      </c>
    </row>
    <row r="571" spans="1:7" x14ac:dyDescent="0.25">
      <c r="A571" t="s">
        <v>5</v>
      </c>
      <c r="B571">
        <v>569</v>
      </c>
      <c r="C571">
        <v>100</v>
      </c>
      <c r="D571">
        <v>10.338442087173462</v>
      </c>
      <c r="E571" t="s">
        <v>10</v>
      </c>
      <c r="F571" t="s">
        <v>17</v>
      </c>
      <c r="G571">
        <v>2.1</v>
      </c>
    </row>
    <row r="572" spans="1:7" x14ac:dyDescent="0.25">
      <c r="A572" t="s">
        <v>5</v>
      </c>
      <c r="B572">
        <v>570</v>
      </c>
      <c r="C572">
        <v>15</v>
      </c>
      <c r="D572">
        <v>3.0248210430145264</v>
      </c>
      <c r="E572" t="s">
        <v>10</v>
      </c>
      <c r="F572" t="s">
        <v>11</v>
      </c>
      <c r="G572">
        <v>5</v>
      </c>
    </row>
    <row r="573" spans="1:7" x14ac:dyDescent="0.25">
      <c r="A573" t="s">
        <v>5</v>
      </c>
      <c r="B573">
        <v>571</v>
      </c>
      <c r="C573">
        <v>37</v>
      </c>
      <c r="D573">
        <v>3.3277087211608887</v>
      </c>
      <c r="E573" t="s">
        <v>10</v>
      </c>
      <c r="F573" t="s">
        <v>15</v>
      </c>
      <c r="G573">
        <v>4.3</v>
      </c>
    </row>
    <row r="574" spans="1:7" x14ac:dyDescent="0.25">
      <c r="A574" t="s">
        <v>5</v>
      </c>
      <c r="B574">
        <v>572</v>
      </c>
      <c r="C574">
        <v>70</v>
      </c>
      <c r="D574">
        <v>3.0914533138275146</v>
      </c>
      <c r="E574" t="s">
        <v>10</v>
      </c>
      <c r="F574" t="s">
        <v>15</v>
      </c>
      <c r="G574">
        <v>4.3</v>
      </c>
    </row>
    <row r="575" spans="1:7" x14ac:dyDescent="0.25">
      <c r="A575" t="s">
        <v>5</v>
      </c>
      <c r="B575">
        <v>573</v>
      </c>
      <c r="C575">
        <v>30</v>
      </c>
      <c r="D575">
        <v>3.4938576221466064</v>
      </c>
      <c r="E575" t="s">
        <v>10</v>
      </c>
      <c r="F575" t="s">
        <v>13</v>
      </c>
      <c r="G575">
        <v>4.3</v>
      </c>
    </row>
    <row r="576" spans="1:7" x14ac:dyDescent="0.25">
      <c r="A576" t="s">
        <v>5</v>
      </c>
      <c r="B576">
        <v>574</v>
      </c>
      <c r="C576">
        <v>27</v>
      </c>
      <c r="D576">
        <v>4.0016157627105713</v>
      </c>
      <c r="E576" t="s">
        <v>10</v>
      </c>
      <c r="F576" t="s">
        <v>13</v>
      </c>
      <c r="G576">
        <v>4.3</v>
      </c>
    </row>
    <row r="577" spans="1:7" x14ac:dyDescent="0.25">
      <c r="A577" t="s">
        <v>5</v>
      </c>
      <c r="B577">
        <v>575</v>
      </c>
      <c r="C577">
        <v>100</v>
      </c>
      <c r="D577">
        <v>9.7433023452758789</v>
      </c>
      <c r="E577" t="s">
        <v>10</v>
      </c>
      <c r="F577" t="s">
        <v>17</v>
      </c>
      <c r="G577">
        <v>4.3</v>
      </c>
    </row>
    <row r="578" spans="1:7" x14ac:dyDescent="0.25">
      <c r="A578" t="s">
        <v>5</v>
      </c>
      <c r="B578">
        <v>576</v>
      </c>
      <c r="C578">
        <v>78</v>
      </c>
      <c r="D578">
        <v>9.5850133895874023</v>
      </c>
      <c r="E578" t="s">
        <v>10</v>
      </c>
      <c r="F578" t="s">
        <v>17</v>
      </c>
      <c r="G578">
        <v>4.3</v>
      </c>
    </row>
    <row r="579" spans="1:7" x14ac:dyDescent="0.25">
      <c r="A579" t="s">
        <v>5</v>
      </c>
      <c r="B579">
        <v>577</v>
      </c>
      <c r="C579">
        <v>47</v>
      </c>
      <c r="D579">
        <v>3.5016388893127441</v>
      </c>
      <c r="E579" t="s">
        <v>10</v>
      </c>
      <c r="F579" t="s">
        <v>17</v>
      </c>
      <c r="G579">
        <v>4.3</v>
      </c>
    </row>
    <row r="580" spans="1:7" x14ac:dyDescent="0.25">
      <c r="A580" t="s">
        <v>5</v>
      </c>
      <c r="B580">
        <v>578</v>
      </c>
      <c r="C580">
        <v>13</v>
      </c>
      <c r="D580">
        <v>2.5849399566650391</v>
      </c>
      <c r="E580" t="s">
        <v>10</v>
      </c>
      <c r="F580" t="s">
        <v>13</v>
      </c>
      <c r="G580">
        <v>5</v>
      </c>
    </row>
    <row r="581" spans="1:7" x14ac:dyDescent="0.25">
      <c r="A581" t="s">
        <v>5</v>
      </c>
      <c r="B581">
        <v>579</v>
      </c>
      <c r="C581">
        <v>70</v>
      </c>
      <c r="D581">
        <v>4.9445881843566895</v>
      </c>
      <c r="E581" t="s">
        <v>10</v>
      </c>
      <c r="F581" t="s">
        <v>13</v>
      </c>
      <c r="G581">
        <v>5</v>
      </c>
    </row>
    <row r="582" spans="1:7" x14ac:dyDescent="0.25">
      <c r="A582" t="s">
        <v>5</v>
      </c>
      <c r="B582">
        <v>580</v>
      </c>
      <c r="C582">
        <v>100</v>
      </c>
      <c r="D582">
        <v>5.2760689258575439</v>
      </c>
      <c r="E582" t="s">
        <v>10</v>
      </c>
      <c r="F582" t="s">
        <v>13</v>
      </c>
      <c r="G582">
        <v>5</v>
      </c>
    </row>
    <row r="583" spans="1:7" x14ac:dyDescent="0.25">
      <c r="A583" t="s">
        <v>5</v>
      </c>
      <c r="B583">
        <v>581</v>
      </c>
      <c r="C583">
        <v>80</v>
      </c>
      <c r="D583">
        <v>4.8719642162322998</v>
      </c>
      <c r="E583" t="s">
        <v>10</v>
      </c>
      <c r="F583" t="s">
        <v>15</v>
      </c>
      <c r="G583">
        <v>5</v>
      </c>
    </row>
    <row r="584" spans="1:7" x14ac:dyDescent="0.25">
      <c r="A584" t="s">
        <v>5</v>
      </c>
      <c r="B584">
        <v>582</v>
      </c>
      <c r="C584">
        <v>70</v>
      </c>
      <c r="D584">
        <v>8.945143461227417</v>
      </c>
      <c r="E584" t="s">
        <v>10</v>
      </c>
      <c r="F584" t="s">
        <v>15</v>
      </c>
      <c r="G584">
        <v>5</v>
      </c>
    </row>
    <row r="585" spans="1:7" x14ac:dyDescent="0.25">
      <c r="A585" t="s">
        <v>5</v>
      </c>
      <c r="B585">
        <v>583</v>
      </c>
      <c r="C585">
        <v>18</v>
      </c>
      <c r="D585">
        <v>4.5237133502960205</v>
      </c>
      <c r="E585" t="s">
        <v>10</v>
      </c>
      <c r="F585" t="s">
        <v>15</v>
      </c>
      <c r="G585">
        <v>5</v>
      </c>
    </row>
    <row r="586" spans="1:7" x14ac:dyDescent="0.25">
      <c r="A586" t="s">
        <v>5</v>
      </c>
      <c r="B586">
        <v>584</v>
      </c>
      <c r="C586">
        <v>100</v>
      </c>
      <c r="D586">
        <v>6.6700477600097656</v>
      </c>
      <c r="E586" t="s">
        <v>10</v>
      </c>
      <c r="F586" t="s">
        <v>20</v>
      </c>
      <c r="G586">
        <v>6.8</v>
      </c>
    </row>
    <row r="587" spans="1:7" x14ac:dyDescent="0.25">
      <c r="A587" t="s">
        <v>5</v>
      </c>
      <c r="B587">
        <v>585</v>
      </c>
      <c r="C587">
        <v>37</v>
      </c>
      <c r="D587">
        <v>3.7745513916015625</v>
      </c>
      <c r="E587" t="s">
        <v>10</v>
      </c>
      <c r="F587" t="s">
        <v>20</v>
      </c>
      <c r="G587">
        <v>7.5</v>
      </c>
    </row>
    <row r="588" spans="1:7" x14ac:dyDescent="0.25">
      <c r="A588" t="s">
        <v>5</v>
      </c>
      <c r="B588">
        <v>586</v>
      </c>
      <c r="C588">
        <v>37</v>
      </c>
      <c r="D588">
        <v>3.0362148284912109</v>
      </c>
      <c r="E588" t="s">
        <v>10</v>
      </c>
      <c r="F588" t="s">
        <v>17</v>
      </c>
      <c r="G588">
        <v>2.1</v>
      </c>
    </row>
    <row r="589" spans="1:7" x14ac:dyDescent="0.25">
      <c r="A589" t="s">
        <v>5</v>
      </c>
      <c r="B589">
        <v>587</v>
      </c>
      <c r="C589">
        <v>100</v>
      </c>
      <c r="D589">
        <v>4.8289639949798584</v>
      </c>
      <c r="E589" t="s">
        <v>10</v>
      </c>
      <c r="F589" t="s">
        <v>17</v>
      </c>
      <c r="G589">
        <v>2.1</v>
      </c>
    </row>
    <row r="590" spans="1:7" x14ac:dyDescent="0.25">
      <c r="A590" t="s">
        <v>5</v>
      </c>
      <c r="B590">
        <v>588</v>
      </c>
      <c r="C590">
        <v>30</v>
      </c>
      <c r="D590">
        <v>4.3732683658599854</v>
      </c>
      <c r="E590" t="s">
        <v>10</v>
      </c>
      <c r="F590" t="s">
        <v>15</v>
      </c>
      <c r="G590">
        <v>4</v>
      </c>
    </row>
    <row r="591" spans="1:7" x14ac:dyDescent="0.25">
      <c r="A591" t="s">
        <v>5</v>
      </c>
      <c r="B591">
        <v>589</v>
      </c>
      <c r="C591">
        <v>83</v>
      </c>
      <c r="D591">
        <v>9.0842137336730957</v>
      </c>
      <c r="E591" t="s">
        <v>10</v>
      </c>
      <c r="F591" t="s">
        <v>15</v>
      </c>
      <c r="G591">
        <v>5</v>
      </c>
    </row>
    <row r="592" spans="1:7" x14ac:dyDescent="0.25">
      <c r="A592" t="s">
        <v>5</v>
      </c>
      <c r="B592">
        <v>590</v>
      </c>
      <c r="C592">
        <v>75</v>
      </c>
      <c r="D592">
        <v>10.296875476837158</v>
      </c>
      <c r="E592" t="s">
        <v>10</v>
      </c>
      <c r="F592" t="s">
        <v>15</v>
      </c>
      <c r="G592">
        <v>5</v>
      </c>
    </row>
    <row r="593" spans="1:7" x14ac:dyDescent="0.25">
      <c r="A593" t="s">
        <v>5</v>
      </c>
      <c r="B593">
        <v>591</v>
      </c>
      <c r="C593">
        <v>100</v>
      </c>
      <c r="D593">
        <v>12.379061698913574</v>
      </c>
      <c r="E593" t="s">
        <v>10</v>
      </c>
      <c r="F593" t="s">
        <v>15</v>
      </c>
      <c r="G593">
        <v>5</v>
      </c>
    </row>
    <row r="594" spans="1:7" x14ac:dyDescent="0.25">
      <c r="A594" t="s">
        <v>5</v>
      </c>
      <c r="B594">
        <v>592</v>
      </c>
      <c r="C594">
        <v>20</v>
      </c>
      <c r="D594">
        <v>3.357452392578125</v>
      </c>
      <c r="E594" t="s">
        <v>10</v>
      </c>
      <c r="F594" t="s">
        <v>11</v>
      </c>
      <c r="G594">
        <v>4.3</v>
      </c>
    </row>
    <row r="595" spans="1:7" x14ac:dyDescent="0.25">
      <c r="A595" t="s">
        <v>5</v>
      </c>
      <c r="B595">
        <v>593</v>
      </c>
      <c r="C595">
        <v>100</v>
      </c>
      <c r="D595">
        <v>12.904217481613159</v>
      </c>
      <c r="E595" t="s">
        <v>10</v>
      </c>
      <c r="F595" t="s">
        <v>11</v>
      </c>
      <c r="G595">
        <v>4.3</v>
      </c>
    </row>
    <row r="596" spans="1:7" x14ac:dyDescent="0.25">
      <c r="A596" t="s">
        <v>5</v>
      </c>
      <c r="B596">
        <v>594</v>
      </c>
      <c r="C596">
        <v>20</v>
      </c>
      <c r="D596">
        <v>3.0336592197418213</v>
      </c>
      <c r="E596" t="s">
        <v>10</v>
      </c>
      <c r="F596" t="s">
        <v>11</v>
      </c>
      <c r="G596">
        <v>4.3</v>
      </c>
    </row>
    <row r="597" spans="1:7" x14ac:dyDescent="0.25">
      <c r="A597" t="s">
        <v>5</v>
      </c>
      <c r="B597">
        <v>595</v>
      </c>
      <c r="C597">
        <v>80</v>
      </c>
      <c r="D597">
        <v>7.9376437664031982</v>
      </c>
      <c r="E597" t="s">
        <v>10</v>
      </c>
      <c r="F597" t="s">
        <v>15</v>
      </c>
      <c r="G597">
        <v>7.1</v>
      </c>
    </row>
    <row r="598" spans="1:7" x14ac:dyDescent="0.25">
      <c r="A598" t="s">
        <v>5</v>
      </c>
      <c r="B598">
        <v>596</v>
      </c>
      <c r="C598">
        <v>85</v>
      </c>
      <c r="D598">
        <v>9.5413641929626465</v>
      </c>
      <c r="E598" t="s">
        <v>10</v>
      </c>
      <c r="F598" t="s">
        <v>24</v>
      </c>
      <c r="G598">
        <v>6.4</v>
      </c>
    </row>
    <row r="599" spans="1:7" x14ac:dyDescent="0.25">
      <c r="A599" t="s">
        <v>5</v>
      </c>
      <c r="B599">
        <v>597</v>
      </c>
      <c r="C599">
        <v>95</v>
      </c>
      <c r="D599">
        <v>14.737388372421265</v>
      </c>
      <c r="E599" t="s">
        <v>10</v>
      </c>
      <c r="F599" t="s">
        <v>20</v>
      </c>
      <c r="G599">
        <v>6.8</v>
      </c>
    </row>
    <row r="600" spans="1:7" x14ac:dyDescent="0.25">
      <c r="A600" t="s">
        <v>5</v>
      </c>
      <c r="B600">
        <v>598</v>
      </c>
      <c r="C600">
        <v>20</v>
      </c>
      <c r="D600">
        <v>14.615347862243652</v>
      </c>
      <c r="E600" t="s">
        <v>10</v>
      </c>
      <c r="F600" t="s">
        <v>20</v>
      </c>
      <c r="G600">
        <v>6.8</v>
      </c>
    </row>
    <row r="601" spans="1:7" x14ac:dyDescent="0.25">
      <c r="A601" t="s">
        <v>5</v>
      </c>
      <c r="B601">
        <v>599</v>
      </c>
      <c r="C601">
        <v>100</v>
      </c>
      <c r="D601">
        <v>9.7683830261230469</v>
      </c>
      <c r="E601" t="s">
        <v>10</v>
      </c>
      <c r="F601" t="s">
        <v>12</v>
      </c>
      <c r="G601">
        <v>6.4</v>
      </c>
    </row>
    <row r="602" spans="1:7" x14ac:dyDescent="0.25">
      <c r="A602" t="s">
        <v>5</v>
      </c>
      <c r="B602">
        <v>600</v>
      </c>
      <c r="C602">
        <v>78</v>
      </c>
      <c r="D602">
        <v>17.895168304443359</v>
      </c>
      <c r="E602" t="s">
        <v>10</v>
      </c>
      <c r="F602" t="s">
        <v>12</v>
      </c>
      <c r="G602">
        <v>6.4</v>
      </c>
    </row>
    <row r="603" spans="1:7" x14ac:dyDescent="0.25">
      <c r="A603" t="s">
        <v>5</v>
      </c>
      <c r="B603">
        <v>601</v>
      </c>
      <c r="C603">
        <v>57</v>
      </c>
      <c r="D603">
        <v>8.6905646324157715</v>
      </c>
      <c r="E603" t="s">
        <v>10</v>
      </c>
      <c r="F603" t="s">
        <v>29</v>
      </c>
      <c r="G603">
        <v>7.5</v>
      </c>
    </row>
    <row r="604" spans="1:7" x14ac:dyDescent="0.25">
      <c r="A604" t="s">
        <v>5</v>
      </c>
      <c r="B604">
        <v>602</v>
      </c>
      <c r="C604">
        <v>90</v>
      </c>
      <c r="D604">
        <v>6.6994404792785645</v>
      </c>
      <c r="E604" t="s">
        <v>10</v>
      </c>
      <c r="F604" t="s">
        <v>22</v>
      </c>
      <c r="G604">
        <v>7.5</v>
      </c>
    </row>
    <row r="605" spans="1:7" x14ac:dyDescent="0.25">
      <c r="A605" t="s">
        <v>5</v>
      </c>
      <c r="B605">
        <v>603</v>
      </c>
      <c r="C605">
        <v>0</v>
      </c>
      <c r="D605">
        <v>13.814516305923462</v>
      </c>
      <c r="E605" t="s">
        <v>10</v>
      </c>
      <c r="F605" t="s">
        <v>22</v>
      </c>
      <c r="G605">
        <v>7.5</v>
      </c>
    </row>
    <row r="606" spans="1:7" x14ac:dyDescent="0.25">
      <c r="A606" t="s">
        <v>5</v>
      </c>
      <c r="B606">
        <v>604</v>
      </c>
      <c r="C606">
        <v>14</v>
      </c>
      <c r="D606">
        <v>4.1484725475311279</v>
      </c>
      <c r="E606" t="s">
        <v>10</v>
      </c>
      <c r="F606" t="s">
        <v>28</v>
      </c>
      <c r="G606">
        <v>4.4000000000000004</v>
      </c>
    </row>
    <row r="607" spans="1:7" x14ac:dyDescent="0.25">
      <c r="A607" t="s">
        <v>5</v>
      </c>
      <c r="B607">
        <v>605</v>
      </c>
      <c r="C607">
        <v>83</v>
      </c>
      <c r="D607">
        <v>11.777419805526733</v>
      </c>
      <c r="E607" t="s">
        <v>10</v>
      </c>
      <c r="F607" t="s">
        <v>28</v>
      </c>
      <c r="G607">
        <v>4.4000000000000004</v>
      </c>
    </row>
    <row r="608" spans="1:7" x14ac:dyDescent="0.25">
      <c r="A608" t="s">
        <v>5</v>
      </c>
      <c r="B608">
        <v>606</v>
      </c>
      <c r="C608">
        <v>94</v>
      </c>
      <c r="D608">
        <v>11.868717908859253</v>
      </c>
      <c r="E608" t="s">
        <v>10</v>
      </c>
      <c r="F608" t="s">
        <v>15</v>
      </c>
      <c r="G608">
        <v>7.1</v>
      </c>
    </row>
    <row r="609" spans="1:7" x14ac:dyDescent="0.25">
      <c r="A609" t="s">
        <v>5</v>
      </c>
      <c r="B609">
        <v>607</v>
      </c>
      <c r="C609">
        <v>29</v>
      </c>
      <c r="D609">
        <v>10.332526445388794</v>
      </c>
      <c r="E609" t="s">
        <v>10</v>
      </c>
      <c r="F609" t="s">
        <v>15</v>
      </c>
      <c r="G609">
        <v>7.1</v>
      </c>
    </row>
    <row r="610" spans="1:7" x14ac:dyDescent="0.25">
      <c r="A610" t="s">
        <v>5</v>
      </c>
      <c r="B610">
        <v>608</v>
      </c>
      <c r="C610">
        <v>49</v>
      </c>
      <c r="D610">
        <v>4.1312339305877686</v>
      </c>
      <c r="E610" t="s">
        <v>10</v>
      </c>
      <c r="F610" t="s">
        <v>14</v>
      </c>
      <c r="G610">
        <v>7.5</v>
      </c>
    </row>
    <row r="611" spans="1:7" x14ac:dyDescent="0.25">
      <c r="A611" t="s">
        <v>5</v>
      </c>
      <c r="B611">
        <v>609</v>
      </c>
      <c r="C611">
        <v>37</v>
      </c>
      <c r="D611">
        <v>3.7303695678710938</v>
      </c>
      <c r="E611" t="s">
        <v>10</v>
      </c>
      <c r="F611" t="s">
        <v>14</v>
      </c>
      <c r="G611">
        <v>7.5</v>
      </c>
    </row>
    <row r="612" spans="1:7" x14ac:dyDescent="0.25">
      <c r="A612" t="s">
        <v>5</v>
      </c>
      <c r="B612">
        <v>610</v>
      </c>
      <c r="C612">
        <v>48</v>
      </c>
      <c r="D612">
        <v>12.456660270690918</v>
      </c>
      <c r="E612" t="s">
        <v>10</v>
      </c>
      <c r="F612" t="s">
        <v>13</v>
      </c>
      <c r="G612">
        <v>4.3</v>
      </c>
    </row>
    <row r="613" spans="1:7" x14ac:dyDescent="0.25">
      <c r="A613" t="s">
        <v>5</v>
      </c>
      <c r="B613">
        <v>611</v>
      </c>
      <c r="C613">
        <v>100</v>
      </c>
      <c r="D613">
        <v>15.563174724578857</v>
      </c>
      <c r="E613" t="s">
        <v>10</v>
      </c>
      <c r="F613" t="s">
        <v>15</v>
      </c>
      <c r="G613">
        <v>6.8</v>
      </c>
    </row>
    <row r="614" spans="1:7" x14ac:dyDescent="0.25">
      <c r="A614" t="s">
        <v>5</v>
      </c>
      <c r="B614">
        <v>612</v>
      </c>
      <c r="C614">
        <v>37</v>
      </c>
      <c r="D614">
        <v>6.0681071281433105</v>
      </c>
      <c r="E614" t="s">
        <v>10</v>
      </c>
      <c r="F614" t="s">
        <v>17</v>
      </c>
      <c r="G614">
        <v>4.3</v>
      </c>
    </row>
    <row r="615" spans="1:7" x14ac:dyDescent="0.25">
      <c r="A615" t="s">
        <v>5</v>
      </c>
      <c r="B615">
        <v>613</v>
      </c>
      <c r="C615">
        <v>70</v>
      </c>
      <c r="D615">
        <v>3.3392295837402344</v>
      </c>
      <c r="E615" t="s">
        <v>10</v>
      </c>
      <c r="F615" t="s">
        <v>13</v>
      </c>
      <c r="G615">
        <v>6.8</v>
      </c>
    </row>
    <row r="616" spans="1:7" x14ac:dyDescent="0.25">
      <c r="A616" t="s">
        <v>5</v>
      </c>
      <c r="B616">
        <v>614</v>
      </c>
      <c r="C616">
        <v>90</v>
      </c>
      <c r="D616">
        <v>3.2886099815368652</v>
      </c>
      <c r="E616" t="s">
        <v>10</v>
      </c>
      <c r="F616" t="s">
        <v>13</v>
      </c>
      <c r="G616">
        <v>6.8</v>
      </c>
    </row>
    <row r="617" spans="1:7" x14ac:dyDescent="0.25">
      <c r="A617" t="s">
        <v>5</v>
      </c>
      <c r="B617">
        <v>615</v>
      </c>
      <c r="C617">
        <v>100</v>
      </c>
      <c r="D617">
        <v>4.7323999404907227</v>
      </c>
      <c r="E617" t="s">
        <v>10</v>
      </c>
      <c r="F617" t="s">
        <v>11</v>
      </c>
      <c r="G617">
        <v>4</v>
      </c>
    </row>
    <row r="618" spans="1:7" x14ac:dyDescent="0.25">
      <c r="A618" t="s">
        <v>5</v>
      </c>
      <c r="B618">
        <v>616</v>
      </c>
      <c r="C618">
        <v>57</v>
      </c>
      <c r="D618">
        <v>3.3004951477050781</v>
      </c>
      <c r="E618" t="s">
        <v>10</v>
      </c>
      <c r="F618" t="s">
        <v>29</v>
      </c>
      <c r="G618">
        <v>1.9</v>
      </c>
    </row>
    <row r="619" spans="1:7" x14ac:dyDescent="0.25">
      <c r="A619" t="s">
        <v>5</v>
      </c>
      <c r="B619">
        <v>617</v>
      </c>
      <c r="C619">
        <v>21</v>
      </c>
      <c r="D619">
        <v>2.834831714630127</v>
      </c>
      <c r="E619" t="s">
        <v>10</v>
      </c>
      <c r="F619" t="s">
        <v>29</v>
      </c>
      <c r="G619">
        <v>1.9</v>
      </c>
    </row>
    <row r="620" spans="1:7" x14ac:dyDescent="0.25">
      <c r="A620" t="s">
        <v>5</v>
      </c>
      <c r="B620">
        <v>618</v>
      </c>
      <c r="C620">
        <v>37</v>
      </c>
      <c r="D620">
        <v>3.1229584217071533</v>
      </c>
      <c r="E620" t="s">
        <v>10</v>
      </c>
      <c r="F620" t="s">
        <v>14</v>
      </c>
      <c r="G620">
        <v>2.1</v>
      </c>
    </row>
    <row r="621" spans="1:7" x14ac:dyDescent="0.25">
      <c r="A621" t="s">
        <v>5</v>
      </c>
      <c r="B621">
        <v>619</v>
      </c>
      <c r="C621">
        <v>90</v>
      </c>
      <c r="D621">
        <v>12.346679925918579</v>
      </c>
      <c r="E621" t="s">
        <v>10</v>
      </c>
      <c r="F621" t="s">
        <v>14</v>
      </c>
      <c r="G621">
        <v>10</v>
      </c>
    </row>
    <row r="622" spans="1:7" x14ac:dyDescent="0.25">
      <c r="A622" t="s">
        <v>5</v>
      </c>
      <c r="B622">
        <v>620</v>
      </c>
      <c r="C622">
        <v>24</v>
      </c>
      <c r="D622">
        <v>2.8558056354522705</v>
      </c>
      <c r="E622" t="s">
        <v>10</v>
      </c>
      <c r="F622" t="s">
        <v>15</v>
      </c>
      <c r="G622">
        <v>2.1</v>
      </c>
    </row>
    <row r="623" spans="1:7" x14ac:dyDescent="0.25">
      <c r="A623" t="s">
        <v>5</v>
      </c>
      <c r="B623">
        <v>621</v>
      </c>
      <c r="C623">
        <v>47</v>
      </c>
      <c r="D623">
        <v>5.2719008922576904</v>
      </c>
      <c r="E623" t="s">
        <v>10</v>
      </c>
      <c r="F623" t="s">
        <v>12</v>
      </c>
      <c r="G623">
        <v>3.6</v>
      </c>
    </row>
    <row r="624" spans="1:7" x14ac:dyDescent="0.25">
      <c r="A624" t="s">
        <v>5</v>
      </c>
      <c r="B624">
        <v>622</v>
      </c>
      <c r="C624">
        <v>16</v>
      </c>
      <c r="D624">
        <v>4.4325218200683594</v>
      </c>
      <c r="E624" t="s">
        <v>10</v>
      </c>
      <c r="F624" t="s">
        <v>12</v>
      </c>
      <c r="G624">
        <v>3.6</v>
      </c>
    </row>
    <row r="625" spans="1:7" x14ac:dyDescent="0.25">
      <c r="A625" t="s">
        <v>5</v>
      </c>
      <c r="B625">
        <v>623</v>
      </c>
      <c r="C625">
        <v>37</v>
      </c>
      <c r="D625">
        <v>2.6368646621704102</v>
      </c>
      <c r="E625" t="s">
        <v>10</v>
      </c>
      <c r="F625" t="s">
        <v>15</v>
      </c>
      <c r="G625">
        <v>2.1</v>
      </c>
    </row>
    <row r="626" spans="1:7" x14ac:dyDescent="0.25">
      <c r="A626" t="s">
        <v>5</v>
      </c>
      <c r="B626">
        <v>624</v>
      </c>
      <c r="C626">
        <v>80</v>
      </c>
      <c r="D626">
        <v>3.932070255279541</v>
      </c>
      <c r="E626" t="s">
        <v>10</v>
      </c>
      <c r="F626" t="s">
        <v>15</v>
      </c>
      <c r="G626">
        <v>2.1</v>
      </c>
    </row>
    <row r="627" spans="1:7" x14ac:dyDescent="0.25">
      <c r="A627" t="s">
        <v>5</v>
      </c>
      <c r="B627">
        <v>625</v>
      </c>
      <c r="C627">
        <v>100</v>
      </c>
      <c r="D627">
        <v>5.6945533752441406</v>
      </c>
      <c r="E627" t="s">
        <v>10</v>
      </c>
      <c r="F627" t="s">
        <v>20</v>
      </c>
      <c r="G627">
        <v>7.6</v>
      </c>
    </row>
    <row r="628" spans="1:7" x14ac:dyDescent="0.25">
      <c r="A628" t="s">
        <v>5</v>
      </c>
      <c r="B628">
        <v>626</v>
      </c>
      <c r="C628">
        <v>32</v>
      </c>
      <c r="D628">
        <v>9.1216063499450684</v>
      </c>
      <c r="E628" t="s">
        <v>10</v>
      </c>
      <c r="F628" t="s">
        <v>37</v>
      </c>
      <c r="G628">
        <v>4.5999999999999996</v>
      </c>
    </row>
    <row r="629" spans="1:7" x14ac:dyDescent="0.25">
      <c r="A629" t="s">
        <v>5</v>
      </c>
      <c r="B629">
        <v>627</v>
      </c>
      <c r="C629">
        <v>47</v>
      </c>
      <c r="D629">
        <v>6.8210368156433105</v>
      </c>
      <c r="E629" t="s">
        <v>10</v>
      </c>
      <c r="F629" t="s">
        <v>37</v>
      </c>
      <c r="G629">
        <v>4.5999999999999996</v>
      </c>
    </row>
    <row r="630" spans="1:7" x14ac:dyDescent="0.25">
      <c r="A630" t="s">
        <v>5</v>
      </c>
      <c r="B630">
        <v>628</v>
      </c>
      <c r="C630">
        <v>75</v>
      </c>
      <c r="D630">
        <v>11.371908664703369</v>
      </c>
      <c r="E630" t="s">
        <v>10</v>
      </c>
      <c r="F630" t="s">
        <v>37</v>
      </c>
      <c r="G630">
        <v>4.5999999999999996</v>
      </c>
    </row>
    <row r="631" spans="1:7" x14ac:dyDescent="0.25">
      <c r="A631" t="s">
        <v>5</v>
      </c>
      <c r="B631">
        <v>629</v>
      </c>
      <c r="C631">
        <v>0</v>
      </c>
      <c r="D631">
        <v>16.669837236404419</v>
      </c>
      <c r="E631" t="s">
        <v>10</v>
      </c>
      <c r="F631" t="s">
        <v>22</v>
      </c>
      <c r="G631">
        <v>6.8</v>
      </c>
    </row>
    <row r="632" spans="1:7" x14ac:dyDescent="0.25">
      <c r="A632" t="s">
        <v>5</v>
      </c>
      <c r="B632">
        <v>630</v>
      </c>
      <c r="C632">
        <v>70</v>
      </c>
      <c r="D632">
        <v>4.6613237857818604</v>
      </c>
      <c r="E632" t="s">
        <v>10</v>
      </c>
      <c r="F632" t="s">
        <v>15</v>
      </c>
      <c r="G632">
        <v>5</v>
      </c>
    </row>
    <row r="633" spans="1:7" x14ac:dyDescent="0.25">
      <c r="A633" t="s">
        <v>5</v>
      </c>
      <c r="B633">
        <v>631</v>
      </c>
      <c r="C633">
        <v>30</v>
      </c>
      <c r="D633">
        <v>2.9825417995452881</v>
      </c>
      <c r="E633" t="s">
        <v>10</v>
      </c>
      <c r="F633" t="s">
        <v>15</v>
      </c>
      <c r="G633">
        <v>5</v>
      </c>
    </row>
    <row r="634" spans="1:7" x14ac:dyDescent="0.25">
      <c r="A634" t="s">
        <v>5</v>
      </c>
      <c r="B634">
        <v>632</v>
      </c>
      <c r="C634">
        <v>70</v>
      </c>
      <c r="D634">
        <v>8.2692208290100098</v>
      </c>
      <c r="E634" t="s">
        <v>10</v>
      </c>
      <c r="F634" t="s">
        <v>15</v>
      </c>
      <c r="G634">
        <v>5</v>
      </c>
    </row>
    <row r="635" spans="1:7" x14ac:dyDescent="0.25">
      <c r="A635" t="s">
        <v>5</v>
      </c>
      <c r="B635">
        <v>633</v>
      </c>
      <c r="C635">
        <v>30</v>
      </c>
      <c r="D635">
        <v>3.8110718727111816</v>
      </c>
      <c r="E635" t="s">
        <v>10</v>
      </c>
      <c r="F635" t="s">
        <v>15</v>
      </c>
      <c r="G635">
        <v>5</v>
      </c>
    </row>
    <row r="636" spans="1:7" x14ac:dyDescent="0.25">
      <c r="A636" t="s">
        <v>5</v>
      </c>
      <c r="B636">
        <v>634</v>
      </c>
      <c r="C636">
        <v>90</v>
      </c>
      <c r="D636">
        <v>5.4304797649383545</v>
      </c>
      <c r="E636" t="s">
        <v>10</v>
      </c>
      <c r="F636" t="s">
        <v>15</v>
      </c>
      <c r="G636">
        <v>5</v>
      </c>
    </row>
    <row r="637" spans="1:7" x14ac:dyDescent="0.25">
      <c r="A637" t="s">
        <v>5</v>
      </c>
      <c r="B637">
        <v>635</v>
      </c>
      <c r="C637">
        <v>30</v>
      </c>
      <c r="D637">
        <v>5.8619141578674316</v>
      </c>
      <c r="E637" t="s">
        <v>10</v>
      </c>
      <c r="F637" t="s">
        <v>15</v>
      </c>
      <c r="G637">
        <v>5</v>
      </c>
    </row>
    <row r="638" spans="1:7" x14ac:dyDescent="0.25">
      <c r="A638" t="s">
        <v>5</v>
      </c>
      <c r="B638">
        <v>636</v>
      </c>
      <c r="C638">
        <v>89</v>
      </c>
      <c r="D638">
        <v>8.5050663948059082</v>
      </c>
      <c r="E638" t="s">
        <v>10</v>
      </c>
      <c r="F638" t="s">
        <v>14</v>
      </c>
      <c r="G638">
        <v>7.5</v>
      </c>
    </row>
    <row r="639" spans="1:7" x14ac:dyDescent="0.25">
      <c r="A639" t="s">
        <v>5</v>
      </c>
      <c r="B639">
        <v>637</v>
      </c>
      <c r="C639">
        <v>100</v>
      </c>
      <c r="D639">
        <v>11.65398645401001</v>
      </c>
      <c r="E639" t="s">
        <v>10</v>
      </c>
      <c r="F639" t="s">
        <v>14</v>
      </c>
      <c r="G639">
        <v>7.5</v>
      </c>
    </row>
    <row r="640" spans="1:7" x14ac:dyDescent="0.25">
      <c r="A640" t="s">
        <v>5</v>
      </c>
      <c r="B640">
        <v>638</v>
      </c>
      <c r="C640">
        <v>100</v>
      </c>
      <c r="D640">
        <v>5.0594151020050049</v>
      </c>
      <c r="E640" t="s">
        <v>10</v>
      </c>
      <c r="F640" t="s">
        <v>14</v>
      </c>
      <c r="G640">
        <v>7.5</v>
      </c>
    </row>
    <row r="641" spans="1:7" x14ac:dyDescent="0.25">
      <c r="A641" t="s">
        <v>5</v>
      </c>
      <c r="B641">
        <v>639</v>
      </c>
      <c r="C641">
        <v>37</v>
      </c>
      <c r="D641">
        <v>3.6720690727233887</v>
      </c>
      <c r="E641" t="s">
        <v>10</v>
      </c>
      <c r="F641" t="s">
        <v>14</v>
      </c>
      <c r="G641">
        <v>7.5</v>
      </c>
    </row>
    <row r="642" spans="1:7" x14ac:dyDescent="0.25">
      <c r="A642" t="s">
        <v>5</v>
      </c>
      <c r="B642">
        <v>640</v>
      </c>
      <c r="C642">
        <v>83</v>
      </c>
      <c r="D642">
        <v>4.3292813301086426</v>
      </c>
      <c r="E642" t="s">
        <v>10</v>
      </c>
      <c r="F642" t="s">
        <v>14</v>
      </c>
      <c r="G642">
        <v>7.5</v>
      </c>
    </row>
    <row r="643" spans="1:7" x14ac:dyDescent="0.25">
      <c r="A643" t="s">
        <v>5</v>
      </c>
      <c r="B643">
        <v>641</v>
      </c>
      <c r="C643">
        <v>100</v>
      </c>
      <c r="D643">
        <v>15.8167564868927</v>
      </c>
      <c r="E643" t="s">
        <v>10</v>
      </c>
      <c r="F643" t="s">
        <v>14</v>
      </c>
      <c r="G643">
        <v>7.5</v>
      </c>
    </row>
    <row r="644" spans="1:7" x14ac:dyDescent="0.25">
      <c r="A644" t="s">
        <v>5</v>
      </c>
      <c r="B644">
        <v>642</v>
      </c>
      <c r="C644">
        <v>50</v>
      </c>
      <c r="D644">
        <v>6.0330586433410645</v>
      </c>
      <c r="E644" t="s">
        <v>10</v>
      </c>
      <c r="F644" t="s">
        <v>14</v>
      </c>
      <c r="G644">
        <v>7.5</v>
      </c>
    </row>
    <row r="645" spans="1:7" x14ac:dyDescent="0.25">
      <c r="A645" t="s">
        <v>5</v>
      </c>
      <c r="B645">
        <v>643</v>
      </c>
      <c r="C645">
        <v>5</v>
      </c>
      <c r="D645">
        <v>11.580175876617432</v>
      </c>
      <c r="E645" t="s">
        <v>10</v>
      </c>
      <c r="F645" t="s">
        <v>12</v>
      </c>
      <c r="G645">
        <v>6.4</v>
      </c>
    </row>
    <row r="646" spans="1:7" x14ac:dyDescent="0.25">
      <c r="A646" t="s">
        <v>5</v>
      </c>
      <c r="B646">
        <v>644</v>
      </c>
      <c r="C646">
        <v>37</v>
      </c>
      <c r="D646">
        <v>4.073519229888916</v>
      </c>
      <c r="E646" t="s">
        <v>10</v>
      </c>
      <c r="F646" t="s">
        <v>15</v>
      </c>
      <c r="G646">
        <v>7.8</v>
      </c>
    </row>
    <row r="647" spans="1:7" x14ac:dyDescent="0.25">
      <c r="A647" t="s">
        <v>5</v>
      </c>
      <c r="B647">
        <v>645</v>
      </c>
      <c r="C647">
        <v>49</v>
      </c>
      <c r="D647">
        <v>4.3179666996002197</v>
      </c>
      <c r="E647" t="s">
        <v>10</v>
      </c>
      <c r="F647" t="s">
        <v>16</v>
      </c>
      <c r="G647">
        <v>10</v>
      </c>
    </row>
    <row r="648" spans="1:7" x14ac:dyDescent="0.25">
      <c r="A648" t="s">
        <v>5</v>
      </c>
      <c r="B648">
        <v>646</v>
      </c>
      <c r="C648">
        <v>70</v>
      </c>
      <c r="D648">
        <v>3.6496357917785645</v>
      </c>
      <c r="E648" t="s">
        <v>10</v>
      </c>
      <c r="F648" t="s">
        <v>16</v>
      </c>
      <c r="G648">
        <v>10</v>
      </c>
    </row>
    <row r="649" spans="1:7" x14ac:dyDescent="0.25">
      <c r="A649" t="s">
        <v>5</v>
      </c>
      <c r="B649">
        <v>647</v>
      </c>
      <c r="C649">
        <v>40</v>
      </c>
      <c r="D649">
        <v>4.8630850315093994</v>
      </c>
      <c r="E649" t="s">
        <v>10</v>
      </c>
      <c r="F649" t="s">
        <v>16</v>
      </c>
      <c r="G649">
        <v>10</v>
      </c>
    </row>
    <row r="650" spans="1:7" x14ac:dyDescent="0.25">
      <c r="A650" t="s">
        <v>5</v>
      </c>
      <c r="B650">
        <v>648</v>
      </c>
      <c r="C650">
        <v>70</v>
      </c>
      <c r="D650">
        <v>10.273813962936401</v>
      </c>
      <c r="E650" t="s">
        <v>10</v>
      </c>
      <c r="F650" t="s">
        <v>16</v>
      </c>
      <c r="G650">
        <v>10</v>
      </c>
    </row>
    <row r="651" spans="1:7" x14ac:dyDescent="0.25">
      <c r="A651" t="s">
        <v>5</v>
      </c>
      <c r="B651">
        <v>649</v>
      </c>
      <c r="C651">
        <v>100</v>
      </c>
      <c r="D651">
        <v>8.6450631618499756</v>
      </c>
      <c r="E651" t="s">
        <v>10</v>
      </c>
      <c r="F651" t="s">
        <v>16</v>
      </c>
      <c r="G651">
        <v>10</v>
      </c>
    </row>
    <row r="652" spans="1:7" x14ac:dyDescent="0.25">
      <c r="A652" t="s">
        <v>5</v>
      </c>
      <c r="B652">
        <v>650</v>
      </c>
      <c r="C652">
        <v>42</v>
      </c>
      <c r="D652">
        <v>6.6801271438598633</v>
      </c>
      <c r="E652" t="s">
        <v>10</v>
      </c>
      <c r="F652" t="s">
        <v>17</v>
      </c>
      <c r="G652">
        <v>2.6</v>
      </c>
    </row>
    <row r="653" spans="1:7" x14ac:dyDescent="0.25">
      <c r="A653" t="s">
        <v>5</v>
      </c>
      <c r="B653">
        <v>651</v>
      </c>
      <c r="C653">
        <v>100</v>
      </c>
      <c r="D653">
        <v>6.352287769317627</v>
      </c>
      <c r="E653" t="s">
        <v>10</v>
      </c>
      <c r="F653" t="s">
        <v>17</v>
      </c>
      <c r="G653">
        <v>2.6</v>
      </c>
    </row>
    <row r="654" spans="1:7" x14ac:dyDescent="0.25">
      <c r="A654" t="s">
        <v>5</v>
      </c>
      <c r="B654">
        <v>652</v>
      </c>
      <c r="C654">
        <v>37</v>
      </c>
      <c r="D654">
        <v>5.379713773727417</v>
      </c>
      <c r="E654" t="s">
        <v>10</v>
      </c>
      <c r="F654" t="s">
        <v>29</v>
      </c>
      <c r="G654">
        <v>5</v>
      </c>
    </row>
    <row r="655" spans="1:7" x14ac:dyDescent="0.25">
      <c r="A655" t="s">
        <v>5</v>
      </c>
      <c r="B655">
        <v>653</v>
      </c>
      <c r="C655">
        <v>37</v>
      </c>
      <c r="D655">
        <v>4.6622252464294434</v>
      </c>
      <c r="E655" t="s">
        <v>10</v>
      </c>
      <c r="F655" t="s">
        <v>29</v>
      </c>
      <c r="G655">
        <v>5</v>
      </c>
    </row>
    <row r="656" spans="1:7" x14ac:dyDescent="0.25">
      <c r="A656" t="s">
        <v>5</v>
      </c>
      <c r="B656">
        <v>654</v>
      </c>
      <c r="C656">
        <v>30</v>
      </c>
      <c r="D656">
        <v>3.532386302947998</v>
      </c>
      <c r="E656" t="s">
        <v>10</v>
      </c>
      <c r="F656" t="s">
        <v>22</v>
      </c>
      <c r="G656">
        <v>7.6</v>
      </c>
    </row>
    <row r="657" spans="1:7" x14ac:dyDescent="0.25">
      <c r="A657" t="s">
        <v>5</v>
      </c>
      <c r="B657">
        <v>655</v>
      </c>
      <c r="C657">
        <v>14</v>
      </c>
      <c r="D657">
        <v>15.019091367721558</v>
      </c>
      <c r="E657" t="s">
        <v>10</v>
      </c>
      <c r="F657" t="s">
        <v>14</v>
      </c>
      <c r="G657">
        <v>5</v>
      </c>
    </row>
    <row r="658" spans="1:7" x14ac:dyDescent="0.25">
      <c r="A658" t="s">
        <v>5</v>
      </c>
      <c r="B658">
        <v>656</v>
      </c>
      <c r="C658">
        <v>100</v>
      </c>
      <c r="D658">
        <v>12.205227613449097</v>
      </c>
      <c r="E658" t="s">
        <v>10</v>
      </c>
      <c r="F658" t="s">
        <v>17</v>
      </c>
      <c r="G658">
        <v>5</v>
      </c>
    </row>
    <row r="659" spans="1:7" x14ac:dyDescent="0.25">
      <c r="A659" t="s">
        <v>5</v>
      </c>
      <c r="B659">
        <v>657</v>
      </c>
      <c r="C659">
        <v>27</v>
      </c>
      <c r="D659">
        <v>3.0847718715667725</v>
      </c>
      <c r="E659" t="s">
        <v>10</v>
      </c>
      <c r="F659" t="s">
        <v>15</v>
      </c>
      <c r="G659">
        <v>6.8</v>
      </c>
    </row>
    <row r="660" spans="1:7" x14ac:dyDescent="0.25">
      <c r="A660" t="s">
        <v>5</v>
      </c>
      <c r="B660">
        <v>658</v>
      </c>
      <c r="C660">
        <v>85</v>
      </c>
      <c r="D660">
        <v>4.2013485431671143</v>
      </c>
      <c r="E660" t="s">
        <v>10</v>
      </c>
      <c r="F660" t="s">
        <v>21</v>
      </c>
      <c r="G660">
        <v>7.5</v>
      </c>
    </row>
    <row r="661" spans="1:7" x14ac:dyDescent="0.25">
      <c r="A661" t="s">
        <v>5</v>
      </c>
      <c r="B661">
        <v>659</v>
      </c>
      <c r="C661">
        <v>20</v>
      </c>
      <c r="D661">
        <v>3.0282888412475586</v>
      </c>
      <c r="E661" t="s">
        <v>10</v>
      </c>
      <c r="F661" t="s">
        <v>18</v>
      </c>
      <c r="G661">
        <v>9.3000000000000007</v>
      </c>
    </row>
    <row r="662" spans="1:7" x14ac:dyDescent="0.25">
      <c r="A662" t="s">
        <v>5</v>
      </c>
      <c r="B662">
        <v>660</v>
      </c>
      <c r="C662">
        <v>100</v>
      </c>
      <c r="D662">
        <v>8.1242315769195557</v>
      </c>
      <c r="E662" t="s">
        <v>10</v>
      </c>
      <c r="F662" t="s">
        <v>17</v>
      </c>
      <c r="G662">
        <v>5</v>
      </c>
    </row>
    <row r="663" spans="1:7" x14ac:dyDescent="0.25">
      <c r="A663" t="s">
        <v>5</v>
      </c>
      <c r="B663">
        <v>661</v>
      </c>
      <c r="C663">
        <v>14</v>
      </c>
      <c r="D663">
        <v>3.3087332248687744</v>
      </c>
      <c r="E663" t="s">
        <v>10</v>
      </c>
      <c r="F663" t="s">
        <v>17</v>
      </c>
      <c r="G663">
        <v>5</v>
      </c>
    </row>
    <row r="664" spans="1:7" x14ac:dyDescent="0.25">
      <c r="A664" t="s">
        <v>5</v>
      </c>
      <c r="B664">
        <v>662</v>
      </c>
      <c r="C664">
        <v>85</v>
      </c>
      <c r="D664">
        <v>7.7224404811859131</v>
      </c>
      <c r="E664" t="s">
        <v>10</v>
      </c>
      <c r="F664" t="s">
        <v>17</v>
      </c>
      <c r="G664">
        <v>5</v>
      </c>
    </row>
    <row r="665" spans="1:7" x14ac:dyDescent="0.25">
      <c r="A665" t="s">
        <v>5</v>
      </c>
      <c r="B665">
        <v>663</v>
      </c>
      <c r="C665">
        <v>100</v>
      </c>
      <c r="D665">
        <v>4.4500606060028076</v>
      </c>
      <c r="E665" t="s">
        <v>10</v>
      </c>
      <c r="F665" t="s">
        <v>23</v>
      </c>
      <c r="G665">
        <v>7.5</v>
      </c>
    </row>
    <row r="666" spans="1:7" x14ac:dyDescent="0.25">
      <c r="A666" t="s">
        <v>5</v>
      </c>
      <c r="B666">
        <v>664</v>
      </c>
      <c r="C666">
        <v>100</v>
      </c>
      <c r="D666">
        <v>7.4147109985351563</v>
      </c>
      <c r="E666" t="s">
        <v>10</v>
      </c>
      <c r="F666" t="s">
        <v>23</v>
      </c>
      <c r="G666">
        <v>7.5</v>
      </c>
    </row>
    <row r="667" spans="1:7" x14ac:dyDescent="0.25">
      <c r="A667" t="s">
        <v>5</v>
      </c>
      <c r="B667">
        <v>665</v>
      </c>
      <c r="C667">
        <v>80</v>
      </c>
      <c r="D667">
        <v>15.456280708312988</v>
      </c>
      <c r="E667" t="s">
        <v>10</v>
      </c>
      <c r="F667" t="s">
        <v>23</v>
      </c>
      <c r="G667">
        <v>7.5</v>
      </c>
    </row>
    <row r="668" spans="1:7" x14ac:dyDescent="0.25">
      <c r="A668" t="s">
        <v>5</v>
      </c>
      <c r="B668">
        <v>666</v>
      </c>
      <c r="C668">
        <v>70</v>
      </c>
      <c r="D668">
        <v>9.8582987785339355</v>
      </c>
      <c r="E668" t="s">
        <v>10</v>
      </c>
      <c r="F668" t="s">
        <v>23</v>
      </c>
      <c r="G668">
        <v>7.5</v>
      </c>
    </row>
    <row r="669" spans="1:7" x14ac:dyDescent="0.25">
      <c r="A669" t="s">
        <v>5</v>
      </c>
      <c r="B669">
        <v>667</v>
      </c>
      <c r="C669">
        <v>87</v>
      </c>
      <c r="D669">
        <v>16.906429767608643</v>
      </c>
      <c r="E669" t="s">
        <v>10</v>
      </c>
      <c r="F669" t="s">
        <v>23</v>
      </c>
      <c r="G669">
        <v>7.5</v>
      </c>
    </row>
    <row r="670" spans="1:7" x14ac:dyDescent="0.25">
      <c r="A670" t="s">
        <v>5</v>
      </c>
      <c r="B670">
        <v>668</v>
      </c>
      <c r="C670">
        <v>47</v>
      </c>
      <c r="D670">
        <v>8.5675370693206787</v>
      </c>
      <c r="E670" t="s">
        <v>10</v>
      </c>
      <c r="F670" t="s">
        <v>36</v>
      </c>
      <c r="G670">
        <v>4.5999999999999996</v>
      </c>
    </row>
    <row r="671" spans="1:7" x14ac:dyDescent="0.25">
      <c r="A671" t="s">
        <v>5</v>
      </c>
      <c r="B671">
        <v>669</v>
      </c>
      <c r="C671">
        <v>80</v>
      </c>
      <c r="D671">
        <v>5.2924339771270752</v>
      </c>
      <c r="E671" t="s">
        <v>19</v>
      </c>
      <c r="F671" t="s">
        <v>17</v>
      </c>
      <c r="G671">
        <v>5</v>
      </c>
    </row>
    <row r="672" spans="1:7" x14ac:dyDescent="0.25">
      <c r="A672" t="s">
        <v>5</v>
      </c>
      <c r="B672">
        <v>670</v>
      </c>
      <c r="C672">
        <v>100</v>
      </c>
      <c r="D672">
        <v>14.229461431503296</v>
      </c>
      <c r="E672" t="s">
        <v>10</v>
      </c>
      <c r="F672" t="s">
        <v>21</v>
      </c>
      <c r="G672">
        <v>7.5</v>
      </c>
    </row>
    <row r="673" spans="1:7" x14ac:dyDescent="0.25">
      <c r="A673" t="s">
        <v>5</v>
      </c>
      <c r="B673">
        <v>671</v>
      </c>
      <c r="C673">
        <v>75</v>
      </c>
      <c r="D673">
        <v>14.661220550537109</v>
      </c>
      <c r="E673" t="s">
        <v>10</v>
      </c>
      <c r="F673" t="s">
        <v>15</v>
      </c>
      <c r="G673">
        <v>4.3</v>
      </c>
    </row>
    <row r="674" spans="1:7" x14ac:dyDescent="0.25">
      <c r="A674" t="s">
        <v>5</v>
      </c>
      <c r="B674">
        <v>672</v>
      </c>
      <c r="C674">
        <v>27</v>
      </c>
      <c r="D674">
        <v>8.2687036991119385</v>
      </c>
      <c r="E674" t="s">
        <v>10</v>
      </c>
      <c r="F674" t="s">
        <v>15</v>
      </c>
      <c r="G674">
        <v>1.9</v>
      </c>
    </row>
    <row r="675" spans="1:7" x14ac:dyDescent="0.25">
      <c r="A675" t="s">
        <v>5</v>
      </c>
      <c r="B675">
        <v>673</v>
      </c>
      <c r="C675">
        <v>81</v>
      </c>
      <c r="D675">
        <v>8.1967606544494629</v>
      </c>
      <c r="E675" t="s">
        <v>10</v>
      </c>
      <c r="F675" t="s">
        <v>13</v>
      </c>
      <c r="G675">
        <v>1.2</v>
      </c>
    </row>
    <row r="676" spans="1:7" x14ac:dyDescent="0.25">
      <c r="A676" t="s">
        <v>5</v>
      </c>
      <c r="B676">
        <v>674</v>
      </c>
      <c r="C676">
        <v>70</v>
      </c>
      <c r="D676">
        <v>9.3897624015808105</v>
      </c>
      <c r="E676" t="s">
        <v>10</v>
      </c>
      <c r="F676" t="s">
        <v>20</v>
      </c>
      <c r="G676">
        <v>7.5</v>
      </c>
    </row>
    <row r="677" spans="1:7" x14ac:dyDescent="0.25">
      <c r="A677" t="s">
        <v>5</v>
      </c>
      <c r="B677">
        <v>675</v>
      </c>
      <c r="C677">
        <v>40</v>
      </c>
      <c r="D677">
        <v>2.9657113552093506</v>
      </c>
      <c r="E677" t="s">
        <v>10</v>
      </c>
      <c r="F677" t="s">
        <v>15</v>
      </c>
      <c r="G677">
        <v>4.9000000000000004</v>
      </c>
    </row>
    <row r="678" spans="1:7" x14ac:dyDescent="0.25">
      <c r="A678" t="s">
        <v>5</v>
      </c>
      <c r="B678">
        <v>676</v>
      </c>
      <c r="C678">
        <v>20</v>
      </c>
      <c r="D678">
        <v>3.3034348487854004</v>
      </c>
      <c r="E678" t="s">
        <v>10</v>
      </c>
      <c r="F678" t="s">
        <v>21</v>
      </c>
      <c r="G678">
        <v>7.5</v>
      </c>
    </row>
    <row r="679" spans="1:7" x14ac:dyDescent="0.25">
      <c r="A679" t="s">
        <v>5</v>
      </c>
      <c r="B679">
        <v>677</v>
      </c>
      <c r="C679">
        <v>80</v>
      </c>
      <c r="D679">
        <v>10.005687236785889</v>
      </c>
      <c r="E679" t="s">
        <v>10</v>
      </c>
      <c r="F679" t="s">
        <v>20</v>
      </c>
      <c r="G679">
        <v>6.8</v>
      </c>
    </row>
    <row r="680" spans="1:7" x14ac:dyDescent="0.25">
      <c r="A680" t="s">
        <v>5</v>
      </c>
      <c r="B680">
        <v>678</v>
      </c>
      <c r="C680">
        <v>27</v>
      </c>
      <c r="D680">
        <v>8.1546392440795898</v>
      </c>
      <c r="E680" t="s">
        <v>10</v>
      </c>
      <c r="F680" t="s">
        <v>15</v>
      </c>
      <c r="G680">
        <v>4.3</v>
      </c>
    </row>
    <row r="681" spans="1:7" x14ac:dyDescent="0.25">
      <c r="A681" t="s">
        <v>5</v>
      </c>
      <c r="B681">
        <v>679</v>
      </c>
      <c r="C681">
        <v>47</v>
      </c>
      <c r="D681">
        <v>5.1851541996002197</v>
      </c>
      <c r="E681" t="s">
        <v>10</v>
      </c>
      <c r="F681" t="s">
        <v>15</v>
      </c>
      <c r="G681">
        <v>4.3</v>
      </c>
    </row>
    <row r="682" spans="1:7" x14ac:dyDescent="0.25">
      <c r="A682" t="s">
        <v>5</v>
      </c>
      <c r="B682">
        <v>680</v>
      </c>
      <c r="C682">
        <v>27</v>
      </c>
      <c r="D682">
        <v>4.6450822353363037</v>
      </c>
      <c r="E682" t="s">
        <v>10</v>
      </c>
      <c r="F682" t="s">
        <v>20</v>
      </c>
      <c r="G682">
        <v>6.8</v>
      </c>
    </row>
    <row r="683" spans="1:7" x14ac:dyDescent="0.25">
      <c r="A683" t="s">
        <v>5</v>
      </c>
      <c r="B683">
        <v>681</v>
      </c>
      <c r="C683">
        <v>100</v>
      </c>
      <c r="D683">
        <v>3.5933468341827393</v>
      </c>
      <c r="E683" t="s">
        <v>10</v>
      </c>
      <c r="F683" t="s">
        <v>15</v>
      </c>
      <c r="G683">
        <v>4.3</v>
      </c>
    </row>
    <row r="684" spans="1:7" x14ac:dyDescent="0.25">
      <c r="A684" t="s">
        <v>5</v>
      </c>
      <c r="B684">
        <v>682</v>
      </c>
      <c r="C684">
        <v>87</v>
      </c>
      <c r="D684">
        <v>8.0408451557159424</v>
      </c>
      <c r="E684" t="s">
        <v>10</v>
      </c>
      <c r="F684" t="s">
        <v>20</v>
      </c>
      <c r="G684">
        <v>9.3000000000000007</v>
      </c>
    </row>
    <row r="685" spans="1:7" x14ac:dyDescent="0.25">
      <c r="A685" t="s">
        <v>5</v>
      </c>
      <c r="B685">
        <v>683</v>
      </c>
      <c r="C685">
        <v>100</v>
      </c>
      <c r="D685">
        <v>10.725835800170898</v>
      </c>
      <c r="E685" t="s">
        <v>10</v>
      </c>
      <c r="F685" t="s">
        <v>15</v>
      </c>
      <c r="G685">
        <v>7.8</v>
      </c>
    </row>
    <row r="686" spans="1:7" x14ac:dyDescent="0.25">
      <c r="A686" t="s">
        <v>5</v>
      </c>
      <c r="B686">
        <v>684</v>
      </c>
      <c r="C686">
        <v>47</v>
      </c>
      <c r="D686">
        <v>3.9228479862213135</v>
      </c>
      <c r="E686" t="s">
        <v>10</v>
      </c>
      <c r="F686" t="s">
        <v>15</v>
      </c>
      <c r="G686">
        <v>7.8</v>
      </c>
    </row>
    <row r="687" spans="1:7" x14ac:dyDescent="0.25">
      <c r="A687" t="s">
        <v>5</v>
      </c>
      <c r="B687">
        <v>685</v>
      </c>
      <c r="C687">
        <v>20</v>
      </c>
      <c r="D687">
        <v>2.8466668128967285</v>
      </c>
      <c r="E687" t="s">
        <v>10</v>
      </c>
      <c r="F687" t="s">
        <v>15</v>
      </c>
      <c r="G687">
        <v>7.8</v>
      </c>
    </row>
    <row r="688" spans="1:7" x14ac:dyDescent="0.25">
      <c r="A688" t="s">
        <v>5</v>
      </c>
      <c r="B688">
        <v>686</v>
      </c>
      <c r="C688">
        <v>21</v>
      </c>
      <c r="D688">
        <v>3.3498775959014893</v>
      </c>
      <c r="E688" t="s">
        <v>10</v>
      </c>
      <c r="F688" t="s">
        <v>29</v>
      </c>
      <c r="G688">
        <v>5</v>
      </c>
    </row>
    <row r="689" spans="1:7" x14ac:dyDescent="0.25">
      <c r="A689" t="s">
        <v>5</v>
      </c>
      <c r="B689">
        <v>687</v>
      </c>
      <c r="C689">
        <v>100</v>
      </c>
      <c r="D689">
        <v>7.0135047435760498</v>
      </c>
      <c r="E689" t="s">
        <v>10</v>
      </c>
      <c r="F689" t="s">
        <v>17</v>
      </c>
      <c r="G689">
        <v>5</v>
      </c>
    </row>
    <row r="690" spans="1:7" x14ac:dyDescent="0.25">
      <c r="A690" t="s">
        <v>5</v>
      </c>
      <c r="B690">
        <v>688</v>
      </c>
      <c r="C690">
        <v>90</v>
      </c>
      <c r="D690">
        <v>9.7125914096832275</v>
      </c>
      <c r="E690" t="s">
        <v>10</v>
      </c>
      <c r="F690" t="s">
        <v>17</v>
      </c>
      <c r="G690">
        <v>5</v>
      </c>
    </row>
    <row r="691" spans="1:7" x14ac:dyDescent="0.25">
      <c r="A691" t="s">
        <v>5</v>
      </c>
      <c r="B691">
        <v>689</v>
      </c>
      <c r="C691">
        <v>100</v>
      </c>
      <c r="D691">
        <v>7.5640954971313477</v>
      </c>
      <c r="E691" t="s">
        <v>10</v>
      </c>
      <c r="F691" t="s">
        <v>30</v>
      </c>
      <c r="G691">
        <v>10</v>
      </c>
    </row>
    <row r="692" spans="1:7" x14ac:dyDescent="0.25">
      <c r="A692" t="s">
        <v>5</v>
      </c>
      <c r="B692">
        <v>690</v>
      </c>
      <c r="C692">
        <v>100</v>
      </c>
      <c r="D692">
        <v>7.4253511428833008</v>
      </c>
      <c r="E692" t="s">
        <v>10</v>
      </c>
      <c r="F692" t="s">
        <v>17</v>
      </c>
      <c r="G692">
        <v>1.9</v>
      </c>
    </row>
    <row r="693" spans="1:7" x14ac:dyDescent="0.25">
      <c r="A693" t="s">
        <v>5</v>
      </c>
      <c r="B693">
        <v>691</v>
      </c>
      <c r="C693">
        <v>95</v>
      </c>
      <c r="D693">
        <v>7.9055969715118408</v>
      </c>
      <c r="E693" t="s">
        <v>10</v>
      </c>
      <c r="F693" t="s">
        <v>17</v>
      </c>
      <c r="G693">
        <v>2.6</v>
      </c>
    </row>
    <row r="694" spans="1:7" x14ac:dyDescent="0.25">
      <c r="A694" t="s">
        <v>5</v>
      </c>
      <c r="B694">
        <v>692</v>
      </c>
      <c r="C694">
        <v>70</v>
      </c>
      <c r="D694">
        <v>5.7094054222106934</v>
      </c>
      <c r="E694" t="s">
        <v>10</v>
      </c>
      <c r="F694" t="s">
        <v>17</v>
      </c>
      <c r="G694">
        <v>2.6</v>
      </c>
    </row>
    <row r="695" spans="1:7" x14ac:dyDescent="0.25">
      <c r="A695" t="s">
        <v>5</v>
      </c>
      <c r="B695">
        <v>693</v>
      </c>
      <c r="C695">
        <v>60</v>
      </c>
      <c r="D695">
        <v>8.5281317234039307</v>
      </c>
      <c r="E695" t="s">
        <v>10</v>
      </c>
      <c r="F695" t="s">
        <v>17</v>
      </c>
      <c r="G695">
        <v>2.6</v>
      </c>
    </row>
    <row r="696" spans="1:7" x14ac:dyDescent="0.25">
      <c r="A696" t="s">
        <v>5</v>
      </c>
      <c r="B696">
        <v>694</v>
      </c>
      <c r="C696">
        <v>47</v>
      </c>
      <c r="D696">
        <v>3.3296661376953125</v>
      </c>
      <c r="E696" t="s">
        <v>10</v>
      </c>
      <c r="F696" t="s">
        <v>17</v>
      </c>
      <c r="G696">
        <v>2.6</v>
      </c>
    </row>
    <row r="697" spans="1:7" x14ac:dyDescent="0.25">
      <c r="A697" t="s">
        <v>5</v>
      </c>
      <c r="B697">
        <v>695</v>
      </c>
      <c r="C697">
        <v>20</v>
      </c>
      <c r="D697">
        <v>2.7578551769256592</v>
      </c>
      <c r="E697" t="s">
        <v>10</v>
      </c>
      <c r="F697" t="s">
        <v>15</v>
      </c>
      <c r="G697">
        <v>7.5</v>
      </c>
    </row>
    <row r="698" spans="1:7" x14ac:dyDescent="0.25">
      <c r="A698" t="s">
        <v>5</v>
      </c>
      <c r="B698">
        <v>696</v>
      </c>
      <c r="C698">
        <v>80</v>
      </c>
      <c r="D698">
        <v>4.4382517337799072</v>
      </c>
      <c r="E698" t="s">
        <v>10</v>
      </c>
      <c r="F698" t="s">
        <v>15</v>
      </c>
      <c r="G698">
        <v>4.3</v>
      </c>
    </row>
    <row r="699" spans="1:7" x14ac:dyDescent="0.25">
      <c r="A699" t="s">
        <v>5</v>
      </c>
      <c r="B699">
        <v>697</v>
      </c>
      <c r="C699">
        <v>72</v>
      </c>
      <c r="D699">
        <v>16.054774045944214</v>
      </c>
      <c r="E699" t="s">
        <v>10</v>
      </c>
      <c r="F699" t="s">
        <v>15</v>
      </c>
      <c r="G699">
        <v>4.3</v>
      </c>
    </row>
    <row r="700" spans="1:7" x14ac:dyDescent="0.25">
      <c r="A700" t="s">
        <v>5</v>
      </c>
      <c r="B700">
        <v>698</v>
      </c>
      <c r="C700">
        <v>97</v>
      </c>
      <c r="D700">
        <v>8.6243510246276855</v>
      </c>
      <c r="E700" t="s">
        <v>10</v>
      </c>
      <c r="F700" t="s">
        <v>15</v>
      </c>
      <c r="G700">
        <v>5</v>
      </c>
    </row>
    <row r="701" spans="1:7" x14ac:dyDescent="0.25">
      <c r="A701" t="s">
        <v>5</v>
      </c>
      <c r="B701">
        <v>699</v>
      </c>
      <c r="C701">
        <v>100</v>
      </c>
      <c r="D701">
        <v>13.355931043624878</v>
      </c>
      <c r="E701" t="s">
        <v>10</v>
      </c>
      <c r="F701" t="s">
        <v>18</v>
      </c>
      <c r="G701">
        <v>6.8</v>
      </c>
    </row>
    <row r="702" spans="1:7" x14ac:dyDescent="0.25">
      <c r="A702" t="s">
        <v>5</v>
      </c>
      <c r="B702">
        <v>700</v>
      </c>
      <c r="C702">
        <v>100</v>
      </c>
      <c r="D702">
        <v>3.6305487155914307</v>
      </c>
      <c r="E702" t="s">
        <v>10</v>
      </c>
      <c r="F702" t="s">
        <v>38</v>
      </c>
      <c r="G702">
        <v>4.3</v>
      </c>
    </row>
    <row r="703" spans="1:7" x14ac:dyDescent="0.25">
      <c r="A703" t="s">
        <v>5</v>
      </c>
      <c r="B703">
        <v>701</v>
      </c>
      <c r="C703">
        <v>27</v>
      </c>
      <c r="D703">
        <v>5.0548124313354492</v>
      </c>
      <c r="E703" t="s">
        <v>10</v>
      </c>
      <c r="F703" t="s">
        <v>22</v>
      </c>
      <c r="G703">
        <v>6.8</v>
      </c>
    </row>
    <row r="704" spans="1:7" x14ac:dyDescent="0.25">
      <c r="A704" t="s">
        <v>5</v>
      </c>
      <c r="B704">
        <v>702</v>
      </c>
      <c r="C704">
        <v>37</v>
      </c>
      <c r="D704">
        <v>5.9559645652770996</v>
      </c>
      <c r="E704" t="s">
        <v>10</v>
      </c>
      <c r="F704" t="s">
        <v>22</v>
      </c>
      <c r="G704">
        <v>6.8</v>
      </c>
    </row>
    <row r="705" spans="1:7" x14ac:dyDescent="0.25">
      <c r="A705" t="s">
        <v>5</v>
      </c>
      <c r="B705">
        <v>703</v>
      </c>
      <c r="C705">
        <v>47</v>
      </c>
      <c r="D705">
        <v>4.3143484592437744</v>
      </c>
      <c r="E705" t="s">
        <v>10</v>
      </c>
      <c r="F705" t="s">
        <v>22</v>
      </c>
      <c r="G705">
        <v>6.8</v>
      </c>
    </row>
    <row r="706" spans="1:7" x14ac:dyDescent="0.25">
      <c r="A706" t="s">
        <v>5</v>
      </c>
      <c r="B706">
        <v>704</v>
      </c>
      <c r="C706">
        <v>100</v>
      </c>
      <c r="D706">
        <v>11.140326976776123</v>
      </c>
      <c r="E706" t="s">
        <v>10</v>
      </c>
      <c r="F706" t="s">
        <v>15</v>
      </c>
      <c r="G706">
        <v>3.6</v>
      </c>
    </row>
    <row r="707" spans="1:7" x14ac:dyDescent="0.25">
      <c r="A707" t="s">
        <v>5</v>
      </c>
      <c r="B707">
        <v>705</v>
      </c>
      <c r="C707">
        <v>10</v>
      </c>
      <c r="D707">
        <v>2.9945333003997803</v>
      </c>
      <c r="E707" t="s">
        <v>10</v>
      </c>
      <c r="F707" t="s">
        <v>18</v>
      </c>
      <c r="G707">
        <v>8.5</v>
      </c>
    </row>
    <row r="708" spans="1:7" x14ac:dyDescent="0.25">
      <c r="A708" t="s">
        <v>5</v>
      </c>
      <c r="B708">
        <v>706</v>
      </c>
      <c r="C708">
        <v>21</v>
      </c>
      <c r="D708">
        <v>2.8888587951660156</v>
      </c>
      <c r="E708" t="s">
        <v>10</v>
      </c>
      <c r="F708" t="s">
        <v>18</v>
      </c>
      <c r="G708">
        <v>8.5</v>
      </c>
    </row>
    <row r="709" spans="1:7" x14ac:dyDescent="0.25">
      <c r="A709" t="s">
        <v>5</v>
      </c>
      <c r="B709">
        <v>707</v>
      </c>
      <c r="C709">
        <v>17</v>
      </c>
      <c r="D709">
        <v>3.2798593044281006</v>
      </c>
      <c r="E709" t="s">
        <v>10</v>
      </c>
      <c r="F709" t="s">
        <v>18</v>
      </c>
      <c r="G709">
        <v>8.5</v>
      </c>
    </row>
    <row r="710" spans="1:7" x14ac:dyDescent="0.25">
      <c r="A710" t="s">
        <v>5</v>
      </c>
      <c r="B710">
        <v>708</v>
      </c>
      <c r="C710">
        <v>40</v>
      </c>
      <c r="D710">
        <v>4.8067009449005127</v>
      </c>
      <c r="E710" t="s">
        <v>10</v>
      </c>
      <c r="F710" t="s">
        <v>13</v>
      </c>
      <c r="G710">
        <v>5</v>
      </c>
    </row>
    <row r="711" spans="1:7" x14ac:dyDescent="0.25">
      <c r="A711" t="s">
        <v>5</v>
      </c>
      <c r="B711">
        <v>709</v>
      </c>
      <c r="C711">
        <v>100</v>
      </c>
      <c r="D711">
        <v>2.9151642322540283</v>
      </c>
      <c r="E711" t="s">
        <v>10</v>
      </c>
      <c r="F711" t="s">
        <v>13</v>
      </c>
      <c r="G711">
        <v>6.8</v>
      </c>
    </row>
    <row r="712" spans="1:7" x14ac:dyDescent="0.25">
      <c r="A712" t="s">
        <v>5</v>
      </c>
      <c r="B712">
        <v>710</v>
      </c>
      <c r="C712">
        <v>30</v>
      </c>
      <c r="D712">
        <v>3.4380114078521729</v>
      </c>
      <c r="E712" t="s">
        <v>10</v>
      </c>
      <c r="F712" t="s">
        <v>13</v>
      </c>
      <c r="G712">
        <v>4.3</v>
      </c>
    </row>
    <row r="713" spans="1:7" x14ac:dyDescent="0.25">
      <c r="A713" t="s">
        <v>5</v>
      </c>
      <c r="B713">
        <v>711</v>
      </c>
      <c r="C713">
        <v>100</v>
      </c>
      <c r="D713">
        <v>5.060431957244873</v>
      </c>
      <c r="E713" t="s">
        <v>10</v>
      </c>
      <c r="F713" t="s">
        <v>13</v>
      </c>
      <c r="G713">
        <v>4.3</v>
      </c>
    </row>
    <row r="714" spans="1:7" x14ac:dyDescent="0.25">
      <c r="A714" t="s">
        <v>5</v>
      </c>
      <c r="B714">
        <v>712</v>
      </c>
      <c r="C714">
        <v>100</v>
      </c>
      <c r="D714">
        <v>4.9696500301361084</v>
      </c>
      <c r="E714" t="s">
        <v>10</v>
      </c>
      <c r="F714" t="s">
        <v>13</v>
      </c>
      <c r="G714">
        <v>2.1</v>
      </c>
    </row>
    <row r="715" spans="1:7" x14ac:dyDescent="0.25">
      <c r="A715" t="s">
        <v>5</v>
      </c>
      <c r="B715">
        <v>713</v>
      </c>
      <c r="C715">
        <v>87</v>
      </c>
      <c r="D715">
        <v>5.9451847076416016</v>
      </c>
      <c r="E715" t="s">
        <v>10</v>
      </c>
      <c r="F715" t="s">
        <v>13</v>
      </c>
      <c r="G715">
        <v>2.1</v>
      </c>
    </row>
    <row r="716" spans="1:7" x14ac:dyDescent="0.25">
      <c r="A716" t="s">
        <v>5</v>
      </c>
      <c r="B716">
        <v>714</v>
      </c>
      <c r="C716">
        <v>30</v>
      </c>
      <c r="D716">
        <v>3.7605900764465332</v>
      </c>
      <c r="E716" t="s">
        <v>10</v>
      </c>
      <c r="F716" t="s">
        <v>14</v>
      </c>
      <c r="G716">
        <v>4.3</v>
      </c>
    </row>
    <row r="717" spans="1:7" x14ac:dyDescent="0.25">
      <c r="A717" t="s">
        <v>5</v>
      </c>
      <c r="B717">
        <v>715</v>
      </c>
      <c r="C717">
        <v>70</v>
      </c>
      <c r="D717">
        <v>9.2782087326049805</v>
      </c>
      <c r="E717" t="s">
        <v>10</v>
      </c>
      <c r="F717" t="s">
        <v>15</v>
      </c>
      <c r="G717">
        <v>4.9000000000000004</v>
      </c>
    </row>
    <row r="718" spans="1:7" x14ac:dyDescent="0.25">
      <c r="A718" t="s">
        <v>5</v>
      </c>
      <c r="B718">
        <v>716</v>
      </c>
      <c r="C718">
        <v>100</v>
      </c>
      <c r="D718">
        <v>7.0738263130187988</v>
      </c>
      <c r="E718" t="s">
        <v>10</v>
      </c>
      <c r="F718" t="s">
        <v>17</v>
      </c>
      <c r="G718">
        <v>5.8</v>
      </c>
    </row>
    <row r="719" spans="1:7" x14ac:dyDescent="0.25">
      <c r="A719" t="s">
        <v>5</v>
      </c>
      <c r="B719">
        <v>717</v>
      </c>
      <c r="C719">
        <v>100</v>
      </c>
      <c r="D719">
        <v>7.0511963367462158</v>
      </c>
      <c r="E719" t="s">
        <v>10</v>
      </c>
      <c r="F719" t="s">
        <v>17</v>
      </c>
      <c r="G719">
        <v>5.8</v>
      </c>
    </row>
    <row r="720" spans="1:7" x14ac:dyDescent="0.25">
      <c r="A720" t="s">
        <v>5</v>
      </c>
      <c r="B720">
        <v>718</v>
      </c>
      <c r="C720">
        <v>90</v>
      </c>
      <c r="D720">
        <v>8.8583779335021973</v>
      </c>
      <c r="E720" t="s">
        <v>10</v>
      </c>
      <c r="F720" t="s">
        <v>15</v>
      </c>
      <c r="G720">
        <v>4.3</v>
      </c>
    </row>
    <row r="721" spans="1:7" x14ac:dyDescent="0.25">
      <c r="A721" t="s">
        <v>5</v>
      </c>
      <c r="B721">
        <v>719</v>
      </c>
      <c r="C721">
        <v>85</v>
      </c>
      <c r="D721">
        <v>13.063088178634644</v>
      </c>
      <c r="E721" t="s">
        <v>10</v>
      </c>
      <c r="F721" t="s">
        <v>28</v>
      </c>
      <c r="G721">
        <v>7.2</v>
      </c>
    </row>
    <row r="722" spans="1:7" x14ac:dyDescent="0.25">
      <c r="A722" t="s">
        <v>5</v>
      </c>
      <c r="B722">
        <v>720</v>
      </c>
      <c r="C722">
        <v>100</v>
      </c>
      <c r="D722">
        <v>5.2323839664459229</v>
      </c>
      <c r="E722" t="s">
        <v>10</v>
      </c>
      <c r="F722" t="s">
        <v>20</v>
      </c>
      <c r="G722">
        <v>6.8</v>
      </c>
    </row>
    <row r="723" spans="1:7" x14ac:dyDescent="0.25">
      <c r="A723" t="s">
        <v>5</v>
      </c>
      <c r="B723">
        <v>721</v>
      </c>
      <c r="C723">
        <v>100</v>
      </c>
      <c r="D723">
        <v>6.5740549564361572</v>
      </c>
      <c r="E723" t="s">
        <v>10</v>
      </c>
      <c r="F723" t="s">
        <v>23</v>
      </c>
      <c r="G723">
        <v>7.5</v>
      </c>
    </row>
    <row r="724" spans="1:7" x14ac:dyDescent="0.25">
      <c r="A724" t="s">
        <v>5</v>
      </c>
      <c r="B724">
        <v>722</v>
      </c>
      <c r="C724">
        <v>50</v>
      </c>
      <c r="D724">
        <v>12.81061840057373</v>
      </c>
      <c r="E724" t="s">
        <v>10</v>
      </c>
      <c r="F724" t="s">
        <v>20</v>
      </c>
      <c r="G724">
        <v>6.8</v>
      </c>
    </row>
    <row r="725" spans="1:7" x14ac:dyDescent="0.25">
      <c r="A725" t="s">
        <v>5</v>
      </c>
      <c r="B725">
        <v>723</v>
      </c>
      <c r="C725">
        <v>47</v>
      </c>
      <c r="D725">
        <v>5.3398551940917969</v>
      </c>
      <c r="E725" t="s">
        <v>10</v>
      </c>
      <c r="F725" t="s">
        <v>17</v>
      </c>
      <c r="G725">
        <v>3.6</v>
      </c>
    </row>
    <row r="726" spans="1:7" x14ac:dyDescent="0.25">
      <c r="A726" t="s">
        <v>5</v>
      </c>
      <c r="B726">
        <v>724</v>
      </c>
      <c r="C726">
        <v>100</v>
      </c>
      <c r="D726">
        <v>8.8184919357299805</v>
      </c>
      <c r="E726" t="s">
        <v>10</v>
      </c>
      <c r="F726" t="s">
        <v>17</v>
      </c>
      <c r="G726">
        <v>3.6</v>
      </c>
    </row>
    <row r="727" spans="1:7" x14ac:dyDescent="0.25">
      <c r="A727" t="s">
        <v>5</v>
      </c>
      <c r="B727">
        <v>725</v>
      </c>
      <c r="C727">
        <v>100</v>
      </c>
      <c r="D727">
        <v>3.0110363960266113</v>
      </c>
      <c r="E727" t="s">
        <v>10</v>
      </c>
      <c r="F727" t="s">
        <v>17</v>
      </c>
      <c r="G727">
        <v>3.6</v>
      </c>
    </row>
    <row r="728" spans="1:7" x14ac:dyDescent="0.25">
      <c r="A728" t="s">
        <v>5</v>
      </c>
      <c r="B728">
        <v>726</v>
      </c>
      <c r="C728">
        <v>54</v>
      </c>
      <c r="D728">
        <v>13.02607274055481</v>
      </c>
      <c r="E728" t="s">
        <v>10</v>
      </c>
      <c r="F728" t="s">
        <v>15</v>
      </c>
      <c r="G728">
        <v>10</v>
      </c>
    </row>
    <row r="729" spans="1:7" x14ac:dyDescent="0.25">
      <c r="A729" t="s">
        <v>5</v>
      </c>
      <c r="B729">
        <v>727</v>
      </c>
      <c r="C729">
        <v>85</v>
      </c>
      <c r="D729">
        <v>10.537248373031616</v>
      </c>
      <c r="E729" t="s">
        <v>10</v>
      </c>
      <c r="F729" t="s">
        <v>15</v>
      </c>
      <c r="G729">
        <v>10</v>
      </c>
    </row>
    <row r="730" spans="1:7" x14ac:dyDescent="0.25">
      <c r="A730" t="s">
        <v>5</v>
      </c>
      <c r="B730">
        <v>728</v>
      </c>
      <c r="C730">
        <v>30</v>
      </c>
      <c r="D730">
        <v>3.5864167213439941</v>
      </c>
      <c r="E730" t="s">
        <v>10</v>
      </c>
      <c r="F730" t="s">
        <v>15</v>
      </c>
      <c r="G730">
        <v>10</v>
      </c>
    </row>
    <row r="731" spans="1:7" x14ac:dyDescent="0.25">
      <c r="A731" t="s">
        <v>5</v>
      </c>
      <c r="B731">
        <v>729</v>
      </c>
      <c r="C731">
        <v>30</v>
      </c>
      <c r="D731">
        <v>3.0788893699645996</v>
      </c>
      <c r="E731" t="s">
        <v>10</v>
      </c>
      <c r="F731" t="s">
        <v>15</v>
      </c>
      <c r="G731">
        <v>10</v>
      </c>
    </row>
    <row r="732" spans="1:7" x14ac:dyDescent="0.25">
      <c r="A732" t="s">
        <v>5</v>
      </c>
      <c r="B732">
        <v>730</v>
      </c>
      <c r="C732">
        <v>100</v>
      </c>
      <c r="D732">
        <v>9.8550126552581787</v>
      </c>
      <c r="E732" t="s">
        <v>10</v>
      </c>
      <c r="F732" t="s">
        <v>15</v>
      </c>
      <c r="G732">
        <v>10</v>
      </c>
    </row>
    <row r="733" spans="1:7" x14ac:dyDescent="0.25">
      <c r="A733" t="s">
        <v>5</v>
      </c>
      <c r="B733">
        <v>731</v>
      </c>
      <c r="C733">
        <v>100</v>
      </c>
      <c r="D733">
        <v>2.8368501663208008</v>
      </c>
      <c r="E733" t="s">
        <v>10</v>
      </c>
      <c r="F733" t="s">
        <v>15</v>
      </c>
      <c r="G733">
        <v>10</v>
      </c>
    </row>
    <row r="734" spans="1:7" x14ac:dyDescent="0.25">
      <c r="A734" t="s">
        <v>5</v>
      </c>
      <c r="B734">
        <v>732</v>
      </c>
      <c r="C734">
        <v>80</v>
      </c>
      <c r="D734">
        <v>5.3052713871002197</v>
      </c>
      <c r="E734" t="s">
        <v>10</v>
      </c>
      <c r="F734" t="s">
        <v>15</v>
      </c>
      <c r="G734">
        <v>10</v>
      </c>
    </row>
    <row r="735" spans="1:7" x14ac:dyDescent="0.25">
      <c r="A735" t="s">
        <v>5</v>
      </c>
      <c r="B735">
        <v>733</v>
      </c>
      <c r="C735">
        <v>56</v>
      </c>
      <c r="D735">
        <v>12.312632322311401</v>
      </c>
      <c r="E735" t="s">
        <v>10</v>
      </c>
      <c r="F735" t="s">
        <v>15</v>
      </c>
      <c r="G735">
        <v>10</v>
      </c>
    </row>
    <row r="736" spans="1:7" x14ac:dyDescent="0.25">
      <c r="A736" t="s">
        <v>5</v>
      </c>
      <c r="B736">
        <v>734</v>
      </c>
      <c r="C736">
        <v>80</v>
      </c>
      <c r="D736">
        <v>16.194223403930664</v>
      </c>
      <c r="E736" t="s">
        <v>10</v>
      </c>
      <c r="F736" t="s">
        <v>15</v>
      </c>
      <c r="G736">
        <v>4.3</v>
      </c>
    </row>
    <row r="737" spans="1:7" x14ac:dyDescent="0.25">
      <c r="A737" t="s">
        <v>5</v>
      </c>
      <c r="B737">
        <v>735</v>
      </c>
      <c r="C737">
        <v>90</v>
      </c>
      <c r="D737">
        <v>12.321412324905396</v>
      </c>
      <c r="E737" t="s">
        <v>19</v>
      </c>
      <c r="F737" t="s">
        <v>14</v>
      </c>
      <c r="G737">
        <v>5</v>
      </c>
    </row>
    <row r="738" spans="1:7" x14ac:dyDescent="0.25">
      <c r="A738" t="s">
        <v>5</v>
      </c>
      <c r="B738">
        <v>736</v>
      </c>
      <c r="C738">
        <v>100</v>
      </c>
      <c r="D738">
        <v>11.507749795913696</v>
      </c>
      <c r="E738" t="s">
        <v>10</v>
      </c>
      <c r="F738" t="s">
        <v>15</v>
      </c>
      <c r="G738">
        <v>5</v>
      </c>
    </row>
    <row r="739" spans="1:7" x14ac:dyDescent="0.25">
      <c r="A739" t="s">
        <v>5</v>
      </c>
      <c r="B739">
        <v>737</v>
      </c>
      <c r="C739">
        <v>100</v>
      </c>
      <c r="D739">
        <v>5.5114772319793701</v>
      </c>
      <c r="E739" t="s">
        <v>10</v>
      </c>
      <c r="F739" t="s">
        <v>23</v>
      </c>
      <c r="G739">
        <v>7.5</v>
      </c>
    </row>
    <row r="740" spans="1:7" x14ac:dyDescent="0.25">
      <c r="A740" t="s">
        <v>5</v>
      </c>
      <c r="B740">
        <v>738</v>
      </c>
      <c r="C740">
        <v>100</v>
      </c>
      <c r="D740">
        <v>4.3358833789825439</v>
      </c>
      <c r="E740" t="s">
        <v>10</v>
      </c>
      <c r="F740" t="s">
        <v>22</v>
      </c>
      <c r="G740">
        <v>10</v>
      </c>
    </row>
    <row r="741" spans="1:7" x14ac:dyDescent="0.25">
      <c r="A741" t="s">
        <v>5</v>
      </c>
      <c r="B741">
        <v>739</v>
      </c>
      <c r="C741">
        <v>16</v>
      </c>
      <c r="D741">
        <v>3.2015435695648193</v>
      </c>
      <c r="E741" t="s">
        <v>10</v>
      </c>
      <c r="F741" t="s">
        <v>18</v>
      </c>
      <c r="G741">
        <v>10</v>
      </c>
    </row>
    <row r="742" spans="1:7" x14ac:dyDescent="0.25">
      <c r="A742" t="s">
        <v>5</v>
      </c>
      <c r="B742">
        <v>740</v>
      </c>
      <c r="C742">
        <v>47</v>
      </c>
      <c r="D742">
        <v>3.9515085220336914</v>
      </c>
      <c r="E742" t="s">
        <v>10</v>
      </c>
      <c r="F742" t="s">
        <v>18</v>
      </c>
      <c r="G742">
        <v>10</v>
      </c>
    </row>
    <row r="743" spans="1:7" x14ac:dyDescent="0.25">
      <c r="A743" t="s">
        <v>5</v>
      </c>
      <c r="B743">
        <v>741</v>
      </c>
      <c r="C743">
        <v>75</v>
      </c>
      <c r="D743">
        <v>12.598675012588501</v>
      </c>
      <c r="E743" t="s">
        <v>10</v>
      </c>
      <c r="F743" t="s">
        <v>18</v>
      </c>
      <c r="G743">
        <v>10</v>
      </c>
    </row>
    <row r="744" spans="1:7" x14ac:dyDescent="0.25">
      <c r="A744" t="s">
        <v>5</v>
      </c>
      <c r="B744">
        <v>742</v>
      </c>
      <c r="C744">
        <v>83</v>
      </c>
      <c r="D744">
        <v>3.6865630149841309</v>
      </c>
      <c r="E744" t="s">
        <v>10</v>
      </c>
      <c r="F744" t="s">
        <v>18</v>
      </c>
      <c r="G744">
        <v>10</v>
      </c>
    </row>
    <row r="745" spans="1:7" x14ac:dyDescent="0.25">
      <c r="A745" t="s">
        <v>5</v>
      </c>
      <c r="B745">
        <v>743</v>
      </c>
      <c r="C745">
        <v>30</v>
      </c>
      <c r="D745">
        <v>3.8070468902587891</v>
      </c>
      <c r="E745" t="s">
        <v>10</v>
      </c>
      <c r="F745" t="s">
        <v>22</v>
      </c>
      <c r="G745">
        <v>7.5</v>
      </c>
    </row>
    <row r="746" spans="1:7" x14ac:dyDescent="0.25">
      <c r="A746" t="s">
        <v>5</v>
      </c>
      <c r="B746">
        <v>744</v>
      </c>
      <c r="C746">
        <v>100</v>
      </c>
      <c r="D746">
        <v>5.0939104557037354</v>
      </c>
      <c r="E746" t="s">
        <v>10</v>
      </c>
      <c r="F746" t="s">
        <v>15</v>
      </c>
      <c r="G746">
        <v>5</v>
      </c>
    </row>
    <row r="747" spans="1:7" x14ac:dyDescent="0.25">
      <c r="A747" t="s">
        <v>5</v>
      </c>
      <c r="B747">
        <v>745</v>
      </c>
      <c r="C747">
        <v>100</v>
      </c>
      <c r="D747">
        <v>17.930634260177612</v>
      </c>
      <c r="E747" t="s">
        <v>10</v>
      </c>
      <c r="F747" t="s">
        <v>11</v>
      </c>
      <c r="G747">
        <v>5</v>
      </c>
    </row>
    <row r="748" spans="1:7" x14ac:dyDescent="0.25">
      <c r="A748" t="s">
        <v>5</v>
      </c>
      <c r="B748">
        <v>746</v>
      </c>
      <c r="C748">
        <v>100</v>
      </c>
      <c r="D748">
        <v>15.834673881530762</v>
      </c>
      <c r="E748" t="s">
        <v>10</v>
      </c>
      <c r="F748" t="s">
        <v>11</v>
      </c>
      <c r="G748">
        <v>5</v>
      </c>
    </row>
    <row r="749" spans="1:7" x14ac:dyDescent="0.25">
      <c r="A749" t="s">
        <v>5</v>
      </c>
      <c r="B749">
        <v>747</v>
      </c>
      <c r="C749">
        <v>87</v>
      </c>
      <c r="D749">
        <v>9.4895386695861816</v>
      </c>
      <c r="E749" t="s">
        <v>10</v>
      </c>
      <c r="F749" t="s">
        <v>11</v>
      </c>
      <c r="G749">
        <v>5</v>
      </c>
    </row>
    <row r="750" spans="1:7" x14ac:dyDescent="0.25">
      <c r="A750" t="s">
        <v>5</v>
      </c>
      <c r="B750">
        <v>748</v>
      </c>
      <c r="C750">
        <v>80</v>
      </c>
      <c r="D750">
        <v>3.8400263786315918</v>
      </c>
      <c r="E750" t="s">
        <v>10</v>
      </c>
      <c r="F750" t="s">
        <v>11</v>
      </c>
      <c r="G750">
        <v>5</v>
      </c>
    </row>
    <row r="751" spans="1:7" x14ac:dyDescent="0.25">
      <c r="A751" t="s">
        <v>5</v>
      </c>
      <c r="B751">
        <v>749</v>
      </c>
      <c r="C751">
        <v>30</v>
      </c>
      <c r="D751">
        <v>9.5898838043212891</v>
      </c>
      <c r="E751" t="s">
        <v>10</v>
      </c>
      <c r="F751" t="s">
        <v>11</v>
      </c>
      <c r="G751">
        <v>5</v>
      </c>
    </row>
    <row r="752" spans="1:7" x14ac:dyDescent="0.25">
      <c r="A752" t="s">
        <v>5</v>
      </c>
      <c r="B752">
        <v>750</v>
      </c>
      <c r="C752">
        <v>29</v>
      </c>
      <c r="D752">
        <v>3.6824831962585449</v>
      </c>
      <c r="E752" t="s">
        <v>10</v>
      </c>
      <c r="F752" t="s">
        <v>11</v>
      </c>
      <c r="G752">
        <v>5</v>
      </c>
    </row>
    <row r="753" spans="1:7" x14ac:dyDescent="0.25">
      <c r="A753" t="s">
        <v>5</v>
      </c>
      <c r="B753">
        <v>751</v>
      </c>
      <c r="C753">
        <v>100</v>
      </c>
      <c r="D753">
        <v>13.853952884674072</v>
      </c>
      <c r="E753" t="s">
        <v>10</v>
      </c>
      <c r="F753" t="s">
        <v>11</v>
      </c>
      <c r="G753">
        <v>5</v>
      </c>
    </row>
    <row r="754" spans="1:7" x14ac:dyDescent="0.25">
      <c r="A754" t="s">
        <v>5</v>
      </c>
      <c r="B754">
        <v>752</v>
      </c>
      <c r="C754">
        <v>27</v>
      </c>
      <c r="D754">
        <v>3.4064044952392578</v>
      </c>
      <c r="E754" t="s">
        <v>10</v>
      </c>
      <c r="F754" t="s">
        <v>11</v>
      </c>
      <c r="G754">
        <v>5</v>
      </c>
    </row>
    <row r="755" spans="1:7" x14ac:dyDescent="0.25">
      <c r="A755" t="s">
        <v>5</v>
      </c>
      <c r="B755">
        <v>753</v>
      </c>
      <c r="C755">
        <v>47</v>
      </c>
      <c r="D755">
        <v>2.9767391681671143</v>
      </c>
      <c r="E755" t="s">
        <v>10</v>
      </c>
      <c r="F755" t="s">
        <v>11</v>
      </c>
      <c r="G755">
        <v>5</v>
      </c>
    </row>
    <row r="756" spans="1:7" x14ac:dyDescent="0.25">
      <c r="A756" t="s">
        <v>5</v>
      </c>
      <c r="B756">
        <v>754</v>
      </c>
      <c r="C756">
        <v>100</v>
      </c>
      <c r="D756">
        <v>5.2161951065063477</v>
      </c>
      <c r="E756" t="s">
        <v>10</v>
      </c>
      <c r="F756" t="s">
        <v>11</v>
      </c>
      <c r="G756">
        <v>5</v>
      </c>
    </row>
    <row r="757" spans="1:7" x14ac:dyDescent="0.25">
      <c r="A757" t="s">
        <v>5</v>
      </c>
      <c r="B757">
        <v>755</v>
      </c>
      <c r="C757">
        <v>100</v>
      </c>
      <c r="D757">
        <v>3.3382585048675537</v>
      </c>
      <c r="E757" t="s">
        <v>10</v>
      </c>
      <c r="F757" t="s">
        <v>11</v>
      </c>
      <c r="G757">
        <v>5</v>
      </c>
    </row>
    <row r="758" spans="1:7" x14ac:dyDescent="0.25">
      <c r="A758" t="s">
        <v>5</v>
      </c>
      <c r="B758">
        <v>756</v>
      </c>
      <c r="C758">
        <v>20</v>
      </c>
      <c r="D758">
        <v>3.3824574947357178</v>
      </c>
      <c r="E758" t="s">
        <v>10</v>
      </c>
      <c r="F758" t="s">
        <v>11</v>
      </c>
      <c r="G758">
        <v>5</v>
      </c>
    </row>
    <row r="759" spans="1:7" x14ac:dyDescent="0.25">
      <c r="A759" t="s">
        <v>5</v>
      </c>
      <c r="B759">
        <v>757</v>
      </c>
      <c r="C759">
        <v>0</v>
      </c>
      <c r="D759">
        <v>12.471872091293335</v>
      </c>
      <c r="E759" t="s">
        <v>10</v>
      </c>
      <c r="F759" t="s">
        <v>13</v>
      </c>
      <c r="G759">
        <v>4.3</v>
      </c>
    </row>
    <row r="760" spans="1:7" x14ac:dyDescent="0.25">
      <c r="A760" t="s">
        <v>5</v>
      </c>
      <c r="B760">
        <v>758</v>
      </c>
      <c r="C760">
        <v>80</v>
      </c>
      <c r="D760">
        <v>14.410871028900146</v>
      </c>
      <c r="E760" t="s">
        <v>10</v>
      </c>
      <c r="F760" t="s">
        <v>13</v>
      </c>
      <c r="G760">
        <v>4.3</v>
      </c>
    </row>
    <row r="761" spans="1:7" x14ac:dyDescent="0.25">
      <c r="A761" t="s">
        <v>5</v>
      </c>
      <c r="B761">
        <v>759</v>
      </c>
      <c r="C761">
        <v>100</v>
      </c>
      <c r="D761">
        <v>4.4518346786499023</v>
      </c>
      <c r="E761" t="s">
        <v>10</v>
      </c>
      <c r="F761" t="s">
        <v>15</v>
      </c>
      <c r="G761">
        <v>5</v>
      </c>
    </row>
    <row r="762" spans="1:7" x14ac:dyDescent="0.25">
      <c r="A762" t="s">
        <v>5</v>
      </c>
      <c r="B762">
        <v>760</v>
      </c>
      <c r="C762">
        <v>100</v>
      </c>
      <c r="D762">
        <v>7.1656181812286377</v>
      </c>
      <c r="E762" t="s">
        <v>10</v>
      </c>
      <c r="F762" t="s">
        <v>15</v>
      </c>
      <c r="G762">
        <v>5</v>
      </c>
    </row>
    <row r="763" spans="1:7" x14ac:dyDescent="0.25">
      <c r="A763" t="s">
        <v>5</v>
      </c>
      <c r="B763">
        <v>761</v>
      </c>
      <c r="C763">
        <v>100</v>
      </c>
      <c r="D763">
        <v>4.1520400047302246</v>
      </c>
      <c r="E763" t="s">
        <v>10</v>
      </c>
      <c r="F763" t="s">
        <v>15</v>
      </c>
      <c r="G763">
        <v>5</v>
      </c>
    </row>
    <row r="764" spans="1:7" x14ac:dyDescent="0.25">
      <c r="A764" t="s">
        <v>5</v>
      </c>
      <c r="B764">
        <v>762</v>
      </c>
      <c r="C764">
        <v>47</v>
      </c>
      <c r="D764">
        <v>4.3482677936553955</v>
      </c>
      <c r="E764" t="s">
        <v>10</v>
      </c>
      <c r="F764" t="s">
        <v>15</v>
      </c>
      <c r="G764">
        <v>4.3</v>
      </c>
    </row>
    <row r="765" spans="1:7" x14ac:dyDescent="0.25">
      <c r="A765" t="s">
        <v>5</v>
      </c>
      <c r="B765">
        <v>763</v>
      </c>
      <c r="C765">
        <v>87</v>
      </c>
      <c r="D765">
        <v>12.42660117149353</v>
      </c>
      <c r="E765" t="s">
        <v>10</v>
      </c>
      <c r="F765" t="s">
        <v>13</v>
      </c>
      <c r="G765">
        <v>4.3</v>
      </c>
    </row>
    <row r="766" spans="1:7" x14ac:dyDescent="0.25">
      <c r="A766" t="s">
        <v>5</v>
      </c>
      <c r="B766">
        <v>764</v>
      </c>
      <c r="C766">
        <v>100</v>
      </c>
      <c r="D766">
        <v>11.966029405593872</v>
      </c>
      <c r="E766" t="s">
        <v>10</v>
      </c>
      <c r="F766" t="s">
        <v>13</v>
      </c>
      <c r="G766">
        <v>4.3</v>
      </c>
    </row>
    <row r="767" spans="1:7" x14ac:dyDescent="0.25">
      <c r="A767" t="s">
        <v>5</v>
      </c>
      <c r="B767">
        <v>765</v>
      </c>
      <c r="C767">
        <v>85</v>
      </c>
      <c r="D767">
        <v>13.730244874954224</v>
      </c>
      <c r="E767" t="s">
        <v>10</v>
      </c>
      <c r="F767" t="s">
        <v>13</v>
      </c>
      <c r="G767">
        <v>4.3</v>
      </c>
    </row>
    <row r="768" spans="1:7" x14ac:dyDescent="0.25">
      <c r="A768" t="s">
        <v>5</v>
      </c>
      <c r="B768">
        <v>766</v>
      </c>
      <c r="C768">
        <v>100</v>
      </c>
      <c r="D768">
        <v>16.391938447952271</v>
      </c>
      <c r="E768" t="s">
        <v>10</v>
      </c>
      <c r="F768" t="s">
        <v>13</v>
      </c>
      <c r="G768">
        <v>4.3</v>
      </c>
    </row>
    <row r="769" spans="1:7" x14ac:dyDescent="0.25">
      <c r="A769" t="s">
        <v>5</v>
      </c>
      <c r="B769">
        <v>767</v>
      </c>
      <c r="C769">
        <v>100</v>
      </c>
      <c r="D769">
        <v>7.5407063961029053</v>
      </c>
      <c r="E769" t="s">
        <v>10</v>
      </c>
      <c r="F769" t="s">
        <v>13</v>
      </c>
      <c r="G769">
        <v>4.3</v>
      </c>
    </row>
    <row r="770" spans="1:7" x14ac:dyDescent="0.25">
      <c r="A770" t="s">
        <v>5</v>
      </c>
      <c r="B770">
        <v>768</v>
      </c>
      <c r="C770">
        <v>37</v>
      </c>
      <c r="D770">
        <v>3.6484396457672119</v>
      </c>
      <c r="E770" t="s">
        <v>10</v>
      </c>
      <c r="F770" t="s">
        <v>15</v>
      </c>
      <c r="G770">
        <v>5</v>
      </c>
    </row>
    <row r="771" spans="1:7" x14ac:dyDescent="0.25">
      <c r="A771" t="s">
        <v>5</v>
      </c>
      <c r="B771">
        <v>769</v>
      </c>
      <c r="C771">
        <v>72</v>
      </c>
      <c r="D771">
        <v>13.857279062271118</v>
      </c>
      <c r="E771" t="s">
        <v>10</v>
      </c>
      <c r="F771" t="s">
        <v>20</v>
      </c>
      <c r="G771">
        <v>9.3000000000000007</v>
      </c>
    </row>
    <row r="772" spans="1:7" x14ac:dyDescent="0.25">
      <c r="A772" t="s">
        <v>5</v>
      </c>
      <c r="B772">
        <v>770</v>
      </c>
      <c r="C772">
        <v>100</v>
      </c>
      <c r="D772">
        <v>12.82571005821228</v>
      </c>
      <c r="E772" t="s">
        <v>10</v>
      </c>
      <c r="F772" t="s">
        <v>15</v>
      </c>
      <c r="G772">
        <v>5.8</v>
      </c>
    </row>
    <row r="773" spans="1:7" x14ac:dyDescent="0.25">
      <c r="A773" t="s">
        <v>5</v>
      </c>
      <c r="B773">
        <v>771</v>
      </c>
      <c r="C773">
        <v>40</v>
      </c>
      <c r="D773">
        <v>13.862412214279175</v>
      </c>
      <c r="E773" t="s">
        <v>10</v>
      </c>
      <c r="F773" t="s">
        <v>15</v>
      </c>
      <c r="G773">
        <v>5.8</v>
      </c>
    </row>
    <row r="774" spans="1:7" x14ac:dyDescent="0.25">
      <c r="A774" t="s">
        <v>5</v>
      </c>
      <c r="B774">
        <v>772</v>
      </c>
      <c r="C774">
        <v>100</v>
      </c>
      <c r="D774">
        <v>7.0144393444061279</v>
      </c>
      <c r="E774" t="s">
        <v>10</v>
      </c>
      <c r="F774" t="s">
        <v>22</v>
      </c>
      <c r="G774">
        <v>7.5</v>
      </c>
    </row>
    <row r="775" spans="1:7" x14ac:dyDescent="0.25">
      <c r="A775" t="s">
        <v>5</v>
      </c>
      <c r="B775">
        <v>773</v>
      </c>
      <c r="C775">
        <v>80</v>
      </c>
      <c r="D775">
        <v>3.8764922618865967</v>
      </c>
      <c r="E775" t="s">
        <v>10</v>
      </c>
      <c r="F775" t="s">
        <v>20</v>
      </c>
      <c r="G775">
        <v>7.5</v>
      </c>
    </row>
    <row r="776" spans="1:7" x14ac:dyDescent="0.25">
      <c r="A776" t="s">
        <v>5</v>
      </c>
      <c r="B776">
        <v>774</v>
      </c>
      <c r="C776">
        <v>80</v>
      </c>
      <c r="D776">
        <v>11.778552055358887</v>
      </c>
      <c r="E776" t="s">
        <v>10</v>
      </c>
      <c r="F776" t="s">
        <v>15</v>
      </c>
      <c r="G776">
        <v>5</v>
      </c>
    </row>
    <row r="777" spans="1:7" x14ac:dyDescent="0.25">
      <c r="A777" t="s">
        <v>5</v>
      </c>
      <c r="B777">
        <v>775</v>
      </c>
      <c r="C777">
        <v>100</v>
      </c>
      <c r="D777">
        <v>7.8265376091003418</v>
      </c>
      <c r="E777" t="s">
        <v>10</v>
      </c>
      <c r="F777" t="s">
        <v>15</v>
      </c>
      <c r="G777">
        <v>5</v>
      </c>
    </row>
    <row r="778" spans="1:7" x14ac:dyDescent="0.25">
      <c r="A778" t="s">
        <v>5</v>
      </c>
      <c r="B778">
        <v>776</v>
      </c>
      <c r="C778">
        <v>95</v>
      </c>
      <c r="D778">
        <v>10.319982290267944</v>
      </c>
      <c r="E778" t="s">
        <v>10</v>
      </c>
      <c r="F778" t="s">
        <v>15</v>
      </c>
      <c r="G778">
        <v>5</v>
      </c>
    </row>
    <row r="779" spans="1:7" x14ac:dyDescent="0.25">
      <c r="A779" t="s">
        <v>5</v>
      </c>
      <c r="B779">
        <v>777</v>
      </c>
      <c r="C779">
        <v>90</v>
      </c>
      <c r="D779">
        <v>4.5665886402130127</v>
      </c>
      <c r="E779" t="s">
        <v>10</v>
      </c>
      <c r="F779" t="s">
        <v>15</v>
      </c>
      <c r="G779">
        <v>7.5</v>
      </c>
    </row>
    <row r="780" spans="1:7" x14ac:dyDescent="0.25">
      <c r="A780" t="s">
        <v>5</v>
      </c>
      <c r="B780">
        <v>778</v>
      </c>
      <c r="C780">
        <v>80</v>
      </c>
      <c r="D780">
        <v>5.7931582927703857</v>
      </c>
      <c r="E780" t="s">
        <v>10</v>
      </c>
      <c r="F780" t="s">
        <v>15</v>
      </c>
      <c r="G780">
        <v>7.5</v>
      </c>
    </row>
    <row r="781" spans="1:7" x14ac:dyDescent="0.25">
      <c r="A781" t="s">
        <v>5</v>
      </c>
      <c r="B781">
        <v>779</v>
      </c>
      <c r="C781">
        <v>70</v>
      </c>
      <c r="D781">
        <v>5.0037186145782471</v>
      </c>
      <c r="E781" t="s">
        <v>10</v>
      </c>
      <c r="F781" t="s">
        <v>15</v>
      </c>
      <c r="G781">
        <v>7.5</v>
      </c>
    </row>
    <row r="782" spans="1:7" x14ac:dyDescent="0.25">
      <c r="A782" t="s">
        <v>5</v>
      </c>
      <c r="B782">
        <v>780</v>
      </c>
      <c r="C782">
        <v>70</v>
      </c>
      <c r="D782">
        <v>8.0611650943756104</v>
      </c>
      <c r="E782" t="s">
        <v>10</v>
      </c>
      <c r="F782" t="s">
        <v>15</v>
      </c>
      <c r="G782">
        <v>5</v>
      </c>
    </row>
    <row r="783" spans="1:7" x14ac:dyDescent="0.25">
      <c r="A783" t="s">
        <v>5</v>
      </c>
      <c r="B783">
        <v>781</v>
      </c>
      <c r="C783">
        <v>100</v>
      </c>
      <c r="D783">
        <v>8.9442806243896484</v>
      </c>
      <c r="E783" t="s">
        <v>10</v>
      </c>
      <c r="F783" t="s">
        <v>13</v>
      </c>
      <c r="G783">
        <v>5</v>
      </c>
    </row>
    <row r="784" spans="1:7" x14ac:dyDescent="0.25">
      <c r="A784" t="s">
        <v>5</v>
      </c>
      <c r="B784">
        <v>782</v>
      </c>
      <c r="C784">
        <v>19</v>
      </c>
      <c r="D784">
        <v>4.674311637878418</v>
      </c>
      <c r="E784" t="s">
        <v>19</v>
      </c>
      <c r="F784" t="s">
        <v>27</v>
      </c>
      <c r="G784">
        <v>5</v>
      </c>
    </row>
    <row r="785" spans="1:7" x14ac:dyDescent="0.25">
      <c r="A785" t="s">
        <v>5</v>
      </c>
      <c r="B785">
        <v>783</v>
      </c>
      <c r="C785">
        <v>85</v>
      </c>
      <c r="D785">
        <v>7.3040003776550293</v>
      </c>
      <c r="E785" t="s">
        <v>19</v>
      </c>
      <c r="F785" t="s">
        <v>27</v>
      </c>
      <c r="G785">
        <v>5</v>
      </c>
    </row>
    <row r="786" spans="1:7" x14ac:dyDescent="0.25">
      <c r="A786" t="s">
        <v>5</v>
      </c>
      <c r="B786">
        <v>784</v>
      </c>
      <c r="C786">
        <v>87</v>
      </c>
      <c r="D786">
        <v>6.9622490406036377</v>
      </c>
      <c r="E786" t="s">
        <v>10</v>
      </c>
      <c r="F786" t="s">
        <v>17</v>
      </c>
      <c r="G786">
        <v>1.9</v>
      </c>
    </row>
    <row r="787" spans="1:7" x14ac:dyDescent="0.25">
      <c r="A787" t="s">
        <v>5</v>
      </c>
      <c r="B787">
        <v>785</v>
      </c>
      <c r="C787">
        <v>33</v>
      </c>
      <c r="D787">
        <v>9.6113872528076172</v>
      </c>
      <c r="E787" t="s">
        <v>10</v>
      </c>
      <c r="F787" t="s">
        <v>21</v>
      </c>
      <c r="G787">
        <v>7.5</v>
      </c>
    </row>
    <row r="788" spans="1:7" x14ac:dyDescent="0.25">
      <c r="A788" t="s">
        <v>5</v>
      </c>
      <c r="B788">
        <v>786</v>
      </c>
      <c r="C788">
        <v>100</v>
      </c>
      <c r="D788">
        <v>4.3256523609161377</v>
      </c>
      <c r="E788" t="s">
        <v>10</v>
      </c>
      <c r="F788" t="s">
        <v>21</v>
      </c>
      <c r="G788">
        <v>7.5</v>
      </c>
    </row>
    <row r="789" spans="1:7" x14ac:dyDescent="0.25">
      <c r="A789" t="s">
        <v>5</v>
      </c>
      <c r="B789">
        <v>787</v>
      </c>
      <c r="C789">
        <v>21</v>
      </c>
      <c r="D789">
        <v>2.8096542358398438</v>
      </c>
      <c r="E789" t="s">
        <v>10</v>
      </c>
      <c r="F789" t="s">
        <v>13</v>
      </c>
      <c r="G789">
        <v>7.5</v>
      </c>
    </row>
    <row r="790" spans="1:7" x14ac:dyDescent="0.25">
      <c r="A790" t="s">
        <v>5</v>
      </c>
      <c r="B790">
        <v>788</v>
      </c>
      <c r="C790">
        <v>16</v>
      </c>
      <c r="D790">
        <v>6.1512186527252197</v>
      </c>
      <c r="E790" t="s">
        <v>10</v>
      </c>
      <c r="F790" t="s">
        <v>13</v>
      </c>
      <c r="G790">
        <v>7.5</v>
      </c>
    </row>
    <row r="791" spans="1:7" x14ac:dyDescent="0.25">
      <c r="A791" t="s">
        <v>5</v>
      </c>
      <c r="B791">
        <v>789</v>
      </c>
      <c r="C791">
        <v>100</v>
      </c>
      <c r="D791">
        <v>10.47131085395813</v>
      </c>
      <c r="E791" t="s">
        <v>10</v>
      </c>
      <c r="F791" t="s">
        <v>13</v>
      </c>
      <c r="G791">
        <v>7.5</v>
      </c>
    </row>
    <row r="792" spans="1:7" x14ac:dyDescent="0.25">
      <c r="A792" t="s">
        <v>5</v>
      </c>
      <c r="B792">
        <v>790</v>
      </c>
      <c r="C792">
        <v>47</v>
      </c>
      <c r="D792">
        <v>3.4953939914703369</v>
      </c>
      <c r="E792" t="s">
        <v>10</v>
      </c>
      <c r="F792" t="s">
        <v>18</v>
      </c>
      <c r="G792">
        <v>4.9000000000000004</v>
      </c>
    </row>
    <row r="793" spans="1:7" x14ac:dyDescent="0.25">
      <c r="A793" t="s">
        <v>5</v>
      </c>
      <c r="B793">
        <v>791</v>
      </c>
      <c r="C793">
        <v>54</v>
      </c>
      <c r="D793">
        <v>11.193960189819336</v>
      </c>
      <c r="E793" t="s">
        <v>10</v>
      </c>
      <c r="F793" t="s">
        <v>18</v>
      </c>
      <c r="G793">
        <v>4.9000000000000004</v>
      </c>
    </row>
    <row r="794" spans="1:7" x14ac:dyDescent="0.25">
      <c r="A794" t="s">
        <v>5</v>
      </c>
      <c r="B794">
        <v>792</v>
      </c>
      <c r="C794">
        <v>30</v>
      </c>
      <c r="D794">
        <v>4.5671036243438721</v>
      </c>
      <c r="E794" t="s">
        <v>10</v>
      </c>
      <c r="F794" t="s">
        <v>23</v>
      </c>
      <c r="G794">
        <v>7.5</v>
      </c>
    </row>
    <row r="795" spans="1:7" x14ac:dyDescent="0.25">
      <c r="A795" t="s">
        <v>5</v>
      </c>
      <c r="B795">
        <v>793</v>
      </c>
      <c r="C795">
        <v>100</v>
      </c>
      <c r="D795">
        <v>4.1884653568267822</v>
      </c>
      <c r="E795" t="s">
        <v>10</v>
      </c>
      <c r="F795" t="s">
        <v>16</v>
      </c>
      <c r="G795">
        <v>7.5</v>
      </c>
    </row>
    <row r="796" spans="1:7" x14ac:dyDescent="0.25">
      <c r="A796" t="s">
        <v>5</v>
      </c>
      <c r="B796">
        <v>794</v>
      </c>
      <c r="C796">
        <v>37</v>
      </c>
      <c r="D796">
        <v>4.1373205184936523</v>
      </c>
      <c r="E796" t="s">
        <v>10</v>
      </c>
      <c r="F796" t="s">
        <v>22</v>
      </c>
      <c r="G796">
        <v>7.5</v>
      </c>
    </row>
    <row r="797" spans="1:7" x14ac:dyDescent="0.25">
      <c r="A797" t="s">
        <v>5</v>
      </c>
      <c r="B797">
        <v>795</v>
      </c>
      <c r="C797">
        <v>47</v>
      </c>
      <c r="D797">
        <v>2.8302090167999268</v>
      </c>
      <c r="E797" t="s">
        <v>10</v>
      </c>
      <c r="F797" t="s">
        <v>20</v>
      </c>
      <c r="G797">
        <v>7.5</v>
      </c>
    </row>
    <row r="798" spans="1:7" x14ac:dyDescent="0.25">
      <c r="A798" t="s">
        <v>5</v>
      </c>
      <c r="B798">
        <v>796</v>
      </c>
      <c r="C798">
        <v>20</v>
      </c>
      <c r="D798">
        <v>3.0390148162841797</v>
      </c>
      <c r="E798" t="s">
        <v>10</v>
      </c>
      <c r="F798" t="s">
        <v>15</v>
      </c>
      <c r="G798">
        <v>4.3</v>
      </c>
    </row>
    <row r="799" spans="1:7" x14ac:dyDescent="0.25">
      <c r="A799" t="s">
        <v>5</v>
      </c>
      <c r="B799">
        <v>797</v>
      </c>
      <c r="C799">
        <v>47</v>
      </c>
      <c r="D799">
        <v>8.6782996654510498</v>
      </c>
      <c r="E799" t="s">
        <v>10</v>
      </c>
      <c r="F799" t="s">
        <v>13</v>
      </c>
      <c r="G799">
        <v>7.5</v>
      </c>
    </row>
    <row r="800" spans="1:7" x14ac:dyDescent="0.25">
      <c r="A800" t="s">
        <v>5</v>
      </c>
      <c r="B800">
        <v>798</v>
      </c>
      <c r="C800">
        <v>100</v>
      </c>
      <c r="D800">
        <v>8.4546658992767334</v>
      </c>
      <c r="E800" t="s">
        <v>10</v>
      </c>
      <c r="F800" t="s">
        <v>20</v>
      </c>
      <c r="G800">
        <v>7.5</v>
      </c>
    </row>
    <row r="801" spans="1:7" x14ac:dyDescent="0.25">
      <c r="A801" t="s">
        <v>5</v>
      </c>
      <c r="B801">
        <v>799</v>
      </c>
      <c r="C801">
        <v>67</v>
      </c>
      <c r="D801">
        <v>5.1868801116943359</v>
      </c>
      <c r="E801" t="s">
        <v>10</v>
      </c>
      <c r="F801" t="s">
        <v>23</v>
      </c>
      <c r="G801">
        <v>7.5</v>
      </c>
    </row>
    <row r="802" spans="1:7" x14ac:dyDescent="0.25">
      <c r="A802" t="s">
        <v>5</v>
      </c>
      <c r="B802">
        <v>800</v>
      </c>
      <c r="C802">
        <v>80</v>
      </c>
      <c r="D802">
        <v>5.6126768589019775</v>
      </c>
      <c r="E802" t="s">
        <v>19</v>
      </c>
      <c r="F802" t="s">
        <v>15</v>
      </c>
      <c r="G802">
        <v>4.3</v>
      </c>
    </row>
    <row r="803" spans="1:7" x14ac:dyDescent="0.25">
      <c r="A803" t="s">
        <v>5</v>
      </c>
      <c r="B803">
        <v>801</v>
      </c>
      <c r="C803">
        <v>50</v>
      </c>
      <c r="D803">
        <v>2.5148110389709473</v>
      </c>
      <c r="E803" t="s">
        <v>19</v>
      </c>
      <c r="F803" t="s">
        <v>15</v>
      </c>
      <c r="G803">
        <v>4.3</v>
      </c>
    </row>
    <row r="804" spans="1:7" x14ac:dyDescent="0.25">
      <c r="A804" t="s">
        <v>5</v>
      </c>
      <c r="B804">
        <v>802</v>
      </c>
      <c r="C804">
        <v>100</v>
      </c>
      <c r="D804">
        <v>2.5480985641479492</v>
      </c>
      <c r="E804" t="s">
        <v>19</v>
      </c>
      <c r="F804" t="s">
        <v>15</v>
      </c>
      <c r="G804">
        <v>4.3</v>
      </c>
    </row>
    <row r="805" spans="1:7" x14ac:dyDescent="0.25">
      <c r="A805" t="s">
        <v>5</v>
      </c>
      <c r="B805">
        <v>803</v>
      </c>
      <c r="C805">
        <v>70</v>
      </c>
      <c r="D805">
        <v>3.5782735347747803</v>
      </c>
      <c r="E805" t="s">
        <v>19</v>
      </c>
      <c r="F805" t="s">
        <v>15</v>
      </c>
      <c r="G805">
        <v>6.8</v>
      </c>
    </row>
    <row r="806" spans="1:7" x14ac:dyDescent="0.25">
      <c r="A806" t="s">
        <v>5</v>
      </c>
      <c r="B806">
        <v>804</v>
      </c>
      <c r="C806">
        <v>47</v>
      </c>
      <c r="D806">
        <v>3.0689780712127686</v>
      </c>
      <c r="E806" t="s">
        <v>19</v>
      </c>
      <c r="F806" t="s">
        <v>15</v>
      </c>
      <c r="G806">
        <v>6.8</v>
      </c>
    </row>
    <row r="807" spans="1:7" x14ac:dyDescent="0.25">
      <c r="A807" t="s">
        <v>5</v>
      </c>
      <c r="B807">
        <v>805</v>
      </c>
      <c r="C807">
        <v>80</v>
      </c>
      <c r="D807">
        <v>4.9868791103363037</v>
      </c>
      <c r="E807" t="s">
        <v>19</v>
      </c>
      <c r="F807" t="s">
        <v>14</v>
      </c>
      <c r="G807">
        <v>4.3</v>
      </c>
    </row>
    <row r="808" spans="1:7" x14ac:dyDescent="0.25">
      <c r="A808" t="s">
        <v>5</v>
      </c>
      <c r="B808">
        <v>806</v>
      </c>
      <c r="C808">
        <v>13</v>
      </c>
      <c r="D808">
        <v>3.631061315536499</v>
      </c>
      <c r="E808" t="s">
        <v>10</v>
      </c>
      <c r="F808" t="s">
        <v>13</v>
      </c>
      <c r="G808">
        <v>7.5</v>
      </c>
    </row>
    <row r="809" spans="1:7" x14ac:dyDescent="0.25">
      <c r="A809" t="s">
        <v>5</v>
      </c>
      <c r="B809">
        <v>807</v>
      </c>
      <c r="C809">
        <v>100</v>
      </c>
      <c r="D809">
        <v>7.0331540107727051</v>
      </c>
      <c r="E809" t="s">
        <v>19</v>
      </c>
      <c r="F809" t="s">
        <v>18</v>
      </c>
      <c r="G809">
        <v>4.4000000000000004</v>
      </c>
    </row>
    <row r="810" spans="1:7" x14ac:dyDescent="0.25">
      <c r="A810" t="s">
        <v>5</v>
      </c>
      <c r="B810">
        <v>808</v>
      </c>
      <c r="C810">
        <v>100</v>
      </c>
      <c r="D810">
        <v>6.6535506248474121</v>
      </c>
      <c r="E810" t="s">
        <v>19</v>
      </c>
      <c r="F810" t="s">
        <v>18</v>
      </c>
      <c r="G810">
        <v>4.4000000000000004</v>
      </c>
    </row>
    <row r="811" spans="1:7" x14ac:dyDescent="0.25">
      <c r="A811" t="s">
        <v>5</v>
      </c>
      <c r="B811">
        <v>809</v>
      </c>
      <c r="C811">
        <v>100</v>
      </c>
      <c r="D811">
        <v>3.9123449325561523</v>
      </c>
      <c r="E811" t="s">
        <v>19</v>
      </c>
      <c r="F811" t="s">
        <v>18</v>
      </c>
      <c r="G811">
        <v>4.4000000000000004</v>
      </c>
    </row>
    <row r="812" spans="1:7" x14ac:dyDescent="0.25">
      <c r="A812" t="s">
        <v>5</v>
      </c>
      <c r="B812">
        <v>810</v>
      </c>
      <c r="C812">
        <v>87</v>
      </c>
      <c r="D812">
        <v>10.90980863571167</v>
      </c>
      <c r="E812" t="s">
        <v>19</v>
      </c>
      <c r="F812" t="s">
        <v>18</v>
      </c>
      <c r="G812">
        <v>4.4000000000000004</v>
      </c>
    </row>
    <row r="813" spans="1:7" x14ac:dyDescent="0.25">
      <c r="A813" t="s">
        <v>5</v>
      </c>
      <c r="B813">
        <v>811</v>
      </c>
      <c r="C813">
        <v>100</v>
      </c>
      <c r="D813">
        <v>5.8215034008026123</v>
      </c>
      <c r="E813" t="s">
        <v>19</v>
      </c>
      <c r="F813" t="s">
        <v>18</v>
      </c>
      <c r="G813">
        <v>4.4000000000000004</v>
      </c>
    </row>
    <row r="814" spans="1:7" x14ac:dyDescent="0.25">
      <c r="A814" t="s">
        <v>5</v>
      </c>
      <c r="B814">
        <v>812</v>
      </c>
      <c r="C814">
        <v>29</v>
      </c>
      <c r="D814">
        <v>7.7319023609161377</v>
      </c>
      <c r="E814" t="s">
        <v>19</v>
      </c>
      <c r="F814" t="s">
        <v>18</v>
      </c>
      <c r="G814">
        <v>4.4000000000000004</v>
      </c>
    </row>
    <row r="815" spans="1:7" x14ac:dyDescent="0.25">
      <c r="A815" t="s">
        <v>5</v>
      </c>
      <c r="B815">
        <v>813</v>
      </c>
      <c r="C815">
        <v>15</v>
      </c>
      <c r="D815">
        <v>3.5667214393615723</v>
      </c>
      <c r="E815" t="s">
        <v>19</v>
      </c>
      <c r="F815" t="s">
        <v>18</v>
      </c>
      <c r="G815">
        <v>4.4000000000000004</v>
      </c>
    </row>
    <row r="816" spans="1:7" x14ac:dyDescent="0.25">
      <c r="A816" t="s">
        <v>5</v>
      </c>
      <c r="B816">
        <v>814</v>
      </c>
      <c r="C816">
        <v>25</v>
      </c>
      <c r="D816">
        <v>5.9176270961761475</v>
      </c>
      <c r="E816" t="s">
        <v>19</v>
      </c>
      <c r="F816" t="s">
        <v>18</v>
      </c>
      <c r="G816">
        <v>4.4000000000000004</v>
      </c>
    </row>
    <row r="817" spans="1:7" x14ac:dyDescent="0.25">
      <c r="A817" t="s">
        <v>5</v>
      </c>
      <c r="B817">
        <v>815</v>
      </c>
      <c r="C817">
        <v>21</v>
      </c>
      <c r="D817">
        <v>3.4852321147918701</v>
      </c>
      <c r="E817" t="s">
        <v>19</v>
      </c>
      <c r="F817" t="s">
        <v>18</v>
      </c>
      <c r="G817">
        <v>4.4000000000000004</v>
      </c>
    </row>
    <row r="818" spans="1:7" x14ac:dyDescent="0.25">
      <c r="A818" t="s">
        <v>5</v>
      </c>
      <c r="B818">
        <v>816</v>
      </c>
      <c r="C818">
        <v>100</v>
      </c>
      <c r="D818">
        <v>7.1811232566833496</v>
      </c>
      <c r="E818" t="s">
        <v>19</v>
      </c>
      <c r="F818" t="s">
        <v>18</v>
      </c>
      <c r="G818">
        <v>4.4000000000000004</v>
      </c>
    </row>
    <row r="819" spans="1:7" x14ac:dyDescent="0.25">
      <c r="A819" t="s">
        <v>5</v>
      </c>
      <c r="B819">
        <v>817</v>
      </c>
      <c r="C819">
        <v>100</v>
      </c>
      <c r="D819">
        <v>5.588362455368042</v>
      </c>
      <c r="E819" t="s">
        <v>19</v>
      </c>
      <c r="F819" t="s">
        <v>18</v>
      </c>
      <c r="G819">
        <v>4.4000000000000004</v>
      </c>
    </row>
    <row r="820" spans="1:7" x14ac:dyDescent="0.25">
      <c r="A820" t="s">
        <v>5</v>
      </c>
      <c r="B820">
        <v>818</v>
      </c>
      <c r="C820">
        <v>87</v>
      </c>
      <c r="D820">
        <v>3.8439474105834961</v>
      </c>
      <c r="E820" t="s">
        <v>19</v>
      </c>
      <c r="F820" t="s">
        <v>18</v>
      </c>
      <c r="G820">
        <v>4.4000000000000004</v>
      </c>
    </row>
    <row r="821" spans="1:7" x14ac:dyDescent="0.25">
      <c r="A821" t="s">
        <v>5</v>
      </c>
      <c r="B821">
        <v>819</v>
      </c>
      <c r="C821">
        <v>20</v>
      </c>
      <c r="D821">
        <v>3.0059199333190918</v>
      </c>
      <c r="E821" t="s">
        <v>19</v>
      </c>
      <c r="F821" t="s">
        <v>18</v>
      </c>
      <c r="G821">
        <v>4.4000000000000004</v>
      </c>
    </row>
    <row r="822" spans="1:7" x14ac:dyDescent="0.25">
      <c r="A822" t="s">
        <v>5</v>
      </c>
      <c r="B822">
        <v>820</v>
      </c>
      <c r="C822">
        <v>100</v>
      </c>
      <c r="D822">
        <v>6.39913010597229</v>
      </c>
      <c r="E822" t="s">
        <v>19</v>
      </c>
      <c r="F822" t="s">
        <v>18</v>
      </c>
      <c r="G822">
        <v>4.4000000000000004</v>
      </c>
    </row>
    <row r="823" spans="1:7" x14ac:dyDescent="0.25">
      <c r="A823" t="s">
        <v>5</v>
      </c>
      <c r="B823">
        <v>821</v>
      </c>
      <c r="C823">
        <v>100</v>
      </c>
      <c r="D823">
        <v>3.2393641471862793</v>
      </c>
      <c r="E823" t="s">
        <v>19</v>
      </c>
      <c r="F823" t="s">
        <v>18</v>
      </c>
      <c r="G823">
        <v>4.4000000000000004</v>
      </c>
    </row>
    <row r="824" spans="1:7" x14ac:dyDescent="0.25">
      <c r="A824" t="s">
        <v>5</v>
      </c>
      <c r="B824">
        <v>822</v>
      </c>
      <c r="C824">
        <v>82</v>
      </c>
      <c r="D824">
        <v>10.224760055541992</v>
      </c>
      <c r="E824" t="s">
        <v>19</v>
      </c>
      <c r="F824" t="s">
        <v>18</v>
      </c>
      <c r="G824">
        <v>4.4000000000000004</v>
      </c>
    </row>
    <row r="825" spans="1:7" x14ac:dyDescent="0.25">
      <c r="A825" t="s">
        <v>5</v>
      </c>
      <c r="B825">
        <v>823</v>
      </c>
      <c r="C825">
        <v>100</v>
      </c>
      <c r="D825">
        <v>4.4800529479980469</v>
      </c>
      <c r="E825" t="s">
        <v>19</v>
      </c>
      <c r="F825" t="s">
        <v>18</v>
      </c>
      <c r="G825">
        <v>4.4000000000000004</v>
      </c>
    </row>
    <row r="826" spans="1:7" x14ac:dyDescent="0.25">
      <c r="A826" t="s">
        <v>5</v>
      </c>
      <c r="B826">
        <v>824</v>
      </c>
      <c r="C826">
        <v>90</v>
      </c>
      <c r="D826">
        <v>4.098275899887085</v>
      </c>
      <c r="E826" t="s">
        <v>10</v>
      </c>
      <c r="F826" t="s">
        <v>15</v>
      </c>
      <c r="G826">
        <v>2.1</v>
      </c>
    </row>
    <row r="827" spans="1:7" x14ac:dyDescent="0.25">
      <c r="A827" t="s">
        <v>5</v>
      </c>
      <c r="B827">
        <v>825</v>
      </c>
      <c r="C827">
        <v>60</v>
      </c>
      <c r="D827">
        <v>4.9845559597015381</v>
      </c>
      <c r="E827" t="s">
        <v>10</v>
      </c>
      <c r="F827" t="s">
        <v>17</v>
      </c>
      <c r="G827">
        <v>4.3</v>
      </c>
    </row>
    <row r="828" spans="1:7" x14ac:dyDescent="0.25">
      <c r="A828" t="s">
        <v>5</v>
      </c>
      <c r="B828">
        <v>826</v>
      </c>
      <c r="C828">
        <v>37</v>
      </c>
      <c r="D828">
        <v>4.8928956985473633</v>
      </c>
      <c r="E828" t="s">
        <v>10</v>
      </c>
      <c r="F828" t="s">
        <v>23</v>
      </c>
      <c r="G828">
        <v>6.8</v>
      </c>
    </row>
    <row r="829" spans="1:7" x14ac:dyDescent="0.25">
      <c r="A829" t="s">
        <v>5</v>
      </c>
      <c r="B829">
        <v>827</v>
      </c>
      <c r="C829">
        <v>100</v>
      </c>
      <c r="D829">
        <v>8.3098354339599609</v>
      </c>
      <c r="E829" t="s">
        <v>10</v>
      </c>
      <c r="F829" t="s">
        <v>23</v>
      </c>
      <c r="G829">
        <v>6.8</v>
      </c>
    </row>
    <row r="830" spans="1:7" x14ac:dyDescent="0.25">
      <c r="A830" t="s">
        <v>5</v>
      </c>
      <c r="B830">
        <v>828</v>
      </c>
      <c r="C830">
        <v>47</v>
      </c>
      <c r="D830">
        <v>2.6526105403900146</v>
      </c>
      <c r="E830" t="s">
        <v>19</v>
      </c>
      <c r="F830" t="s">
        <v>15</v>
      </c>
      <c r="G830">
        <v>4.3</v>
      </c>
    </row>
    <row r="831" spans="1:7" x14ac:dyDescent="0.25">
      <c r="A831" t="s">
        <v>5</v>
      </c>
      <c r="B831">
        <v>829</v>
      </c>
      <c r="C831">
        <v>20</v>
      </c>
      <c r="D831">
        <v>3.394977331161499</v>
      </c>
      <c r="E831" t="s">
        <v>19</v>
      </c>
      <c r="F831" t="s">
        <v>15</v>
      </c>
      <c r="G831">
        <v>4.3</v>
      </c>
    </row>
    <row r="832" spans="1:7" x14ac:dyDescent="0.25">
      <c r="A832" t="s">
        <v>5</v>
      </c>
      <c r="B832">
        <v>830</v>
      </c>
      <c r="C832">
        <v>47</v>
      </c>
      <c r="D832">
        <v>3.3118436336517334</v>
      </c>
      <c r="E832" t="s">
        <v>19</v>
      </c>
      <c r="F832" t="s">
        <v>15</v>
      </c>
      <c r="G832">
        <v>4.3</v>
      </c>
    </row>
    <row r="833" spans="1:7" x14ac:dyDescent="0.25">
      <c r="A833" t="s">
        <v>5</v>
      </c>
      <c r="B833">
        <v>831</v>
      </c>
      <c r="C833">
        <v>30</v>
      </c>
      <c r="D833">
        <v>3.4911882877349854</v>
      </c>
      <c r="E833" t="s">
        <v>19</v>
      </c>
      <c r="F833" t="s">
        <v>15</v>
      </c>
      <c r="G833">
        <v>4.3</v>
      </c>
    </row>
    <row r="834" spans="1:7" x14ac:dyDescent="0.25">
      <c r="A834" t="s">
        <v>5</v>
      </c>
      <c r="B834">
        <v>832</v>
      </c>
      <c r="C834">
        <v>82</v>
      </c>
      <c r="D834">
        <v>8.8927245140075684</v>
      </c>
      <c r="E834" t="s">
        <v>10</v>
      </c>
      <c r="F834" t="s">
        <v>27</v>
      </c>
      <c r="G834">
        <v>7.8</v>
      </c>
    </row>
    <row r="835" spans="1:7" x14ac:dyDescent="0.25">
      <c r="A835" t="s">
        <v>5</v>
      </c>
      <c r="B835">
        <v>833</v>
      </c>
      <c r="C835">
        <v>82</v>
      </c>
      <c r="D835">
        <v>6.7579843997955322</v>
      </c>
      <c r="E835" t="s">
        <v>10</v>
      </c>
      <c r="F835" t="s">
        <v>27</v>
      </c>
      <c r="G835">
        <v>7.8</v>
      </c>
    </row>
    <row r="836" spans="1:7" x14ac:dyDescent="0.25">
      <c r="A836" t="s">
        <v>5</v>
      </c>
      <c r="B836">
        <v>834</v>
      </c>
      <c r="C836">
        <v>57</v>
      </c>
      <c r="D836">
        <v>2.899493932723999</v>
      </c>
      <c r="E836" t="s">
        <v>10</v>
      </c>
      <c r="F836" t="s">
        <v>11</v>
      </c>
      <c r="G836">
        <v>2.1</v>
      </c>
    </row>
    <row r="837" spans="1:7" x14ac:dyDescent="0.25">
      <c r="A837" t="s">
        <v>5</v>
      </c>
      <c r="B837">
        <v>835</v>
      </c>
      <c r="C837">
        <v>89</v>
      </c>
      <c r="D837">
        <v>9.151341438293457</v>
      </c>
      <c r="E837" t="s">
        <v>10</v>
      </c>
      <c r="F837" t="s">
        <v>15</v>
      </c>
      <c r="G837">
        <v>7.1</v>
      </c>
    </row>
    <row r="838" spans="1:7" x14ac:dyDescent="0.25">
      <c r="A838" t="s">
        <v>5</v>
      </c>
      <c r="B838">
        <v>836</v>
      </c>
      <c r="C838">
        <v>47</v>
      </c>
      <c r="D838">
        <v>5.4611701965332031</v>
      </c>
      <c r="E838" t="s">
        <v>10</v>
      </c>
      <c r="F838" t="s">
        <v>15</v>
      </c>
      <c r="G838">
        <v>7.1</v>
      </c>
    </row>
    <row r="839" spans="1:7" x14ac:dyDescent="0.25">
      <c r="A839" t="s">
        <v>5</v>
      </c>
      <c r="B839">
        <v>837</v>
      </c>
      <c r="C839">
        <v>100</v>
      </c>
      <c r="D839">
        <v>2.6645214557647705</v>
      </c>
      <c r="E839" t="s">
        <v>10</v>
      </c>
      <c r="F839" t="s">
        <v>15</v>
      </c>
      <c r="G839">
        <v>7.1</v>
      </c>
    </row>
    <row r="840" spans="1:7" x14ac:dyDescent="0.25">
      <c r="A840" t="s">
        <v>5</v>
      </c>
      <c r="B840">
        <v>838</v>
      </c>
      <c r="C840">
        <v>27</v>
      </c>
      <c r="D840">
        <v>4.6626267433166504</v>
      </c>
      <c r="E840" t="s">
        <v>10</v>
      </c>
      <c r="F840" t="s">
        <v>20</v>
      </c>
      <c r="G840">
        <v>4.5999999999999996</v>
      </c>
    </row>
    <row r="841" spans="1:7" x14ac:dyDescent="0.25">
      <c r="A841" t="s">
        <v>5</v>
      </c>
      <c r="B841">
        <v>839</v>
      </c>
      <c r="C841">
        <v>47</v>
      </c>
      <c r="D841">
        <v>5.4306724071502686</v>
      </c>
      <c r="E841" t="s">
        <v>10</v>
      </c>
      <c r="F841" t="s">
        <v>29</v>
      </c>
      <c r="G841">
        <v>4.4000000000000004</v>
      </c>
    </row>
    <row r="842" spans="1:7" x14ac:dyDescent="0.25">
      <c r="A842" t="s">
        <v>5</v>
      </c>
      <c r="B842">
        <v>840</v>
      </c>
      <c r="C842">
        <v>47</v>
      </c>
      <c r="D842">
        <v>6.519711971282959</v>
      </c>
      <c r="E842" t="s">
        <v>10</v>
      </c>
      <c r="F842" t="s">
        <v>29</v>
      </c>
      <c r="G842">
        <v>4.4000000000000004</v>
      </c>
    </row>
    <row r="843" spans="1:7" x14ac:dyDescent="0.25">
      <c r="A843" t="s">
        <v>5</v>
      </c>
      <c r="B843">
        <v>841</v>
      </c>
      <c r="C843">
        <v>70</v>
      </c>
      <c r="D843">
        <v>4.1622028350830078</v>
      </c>
      <c r="E843" t="s">
        <v>10</v>
      </c>
      <c r="F843" t="s">
        <v>29</v>
      </c>
      <c r="G843">
        <v>4.4000000000000004</v>
      </c>
    </row>
    <row r="844" spans="1:7" x14ac:dyDescent="0.25">
      <c r="A844" t="s">
        <v>5</v>
      </c>
      <c r="B844">
        <v>842</v>
      </c>
      <c r="C844">
        <v>70</v>
      </c>
      <c r="D844">
        <v>3.6812303066253662</v>
      </c>
      <c r="E844" t="s">
        <v>10</v>
      </c>
      <c r="F844" t="s">
        <v>29</v>
      </c>
      <c r="G844">
        <v>4.4000000000000004</v>
      </c>
    </row>
    <row r="845" spans="1:7" x14ac:dyDescent="0.25">
      <c r="A845" t="s">
        <v>5</v>
      </c>
      <c r="B845">
        <v>843</v>
      </c>
      <c r="C845">
        <v>100</v>
      </c>
      <c r="D845">
        <v>7.5027790069580078</v>
      </c>
      <c r="E845" t="s">
        <v>10</v>
      </c>
      <c r="F845" t="s">
        <v>29</v>
      </c>
      <c r="G845">
        <v>4.4000000000000004</v>
      </c>
    </row>
    <row r="846" spans="1:7" x14ac:dyDescent="0.25">
      <c r="A846" t="s">
        <v>5</v>
      </c>
      <c r="B846">
        <v>844</v>
      </c>
      <c r="C846">
        <v>20</v>
      </c>
      <c r="D846">
        <v>2.7296392917633057</v>
      </c>
      <c r="E846" t="s">
        <v>10</v>
      </c>
      <c r="F846" t="s">
        <v>29</v>
      </c>
      <c r="G846">
        <v>4.4000000000000004</v>
      </c>
    </row>
    <row r="847" spans="1:7" x14ac:dyDescent="0.25">
      <c r="A847" t="s">
        <v>5</v>
      </c>
      <c r="B847">
        <v>845</v>
      </c>
      <c r="C847">
        <v>90</v>
      </c>
      <c r="D847">
        <v>9.0101909637451172</v>
      </c>
      <c r="E847" t="s">
        <v>10</v>
      </c>
      <c r="F847" t="s">
        <v>29</v>
      </c>
      <c r="G847">
        <v>4.4000000000000004</v>
      </c>
    </row>
    <row r="848" spans="1:7" x14ac:dyDescent="0.25">
      <c r="A848" t="s">
        <v>5</v>
      </c>
      <c r="B848">
        <v>846</v>
      </c>
      <c r="C848">
        <v>100</v>
      </c>
      <c r="D848">
        <v>4.2880566120147705</v>
      </c>
      <c r="E848" t="s">
        <v>10</v>
      </c>
      <c r="F848" t="s">
        <v>29</v>
      </c>
      <c r="G848">
        <v>4.4000000000000004</v>
      </c>
    </row>
    <row r="849" spans="1:7" x14ac:dyDescent="0.25">
      <c r="A849" t="s">
        <v>5</v>
      </c>
      <c r="B849">
        <v>847</v>
      </c>
      <c r="C849">
        <v>10</v>
      </c>
      <c r="D849">
        <v>2.6919031143188477</v>
      </c>
      <c r="E849" t="s">
        <v>19</v>
      </c>
      <c r="F849" t="s">
        <v>13</v>
      </c>
      <c r="G849">
        <v>5</v>
      </c>
    </row>
    <row r="850" spans="1:7" x14ac:dyDescent="0.25">
      <c r="A850" t="s">
        <v>5</v>
      </c>
      <c r="B850">
        <v>848</v>
      </c>
      <c r="C850">
        <v>100</v>
      </c>
      <c r="D850">
        <v>5.8050367832183838</v>
      </c>
      <c r="E850" t="s">
        <v>19</v>
      </c>
      <c r="F850" t="s">
        <v>13</v>
      </c>
      <c r="G850">
        <v>5</v>
      </c>
    </row>
    <row r="851" spans="1:7" x14ac:dyDescent="0.25">
      <c r="A851" t="s">
        <v>5</v>
      </c>
      <c r="B851">
        <v>849</v>
      </c>
      <c r="C851">
        <v>14</v>
      </c>
      <c r="D851">
        <v>2.7587018013000488</v>
      </c>
      <c r="E851" t="s">
        <v>19</v>
      </c>
      <c r="F851" t="s">
        <v>13</v>
      </c>
      <c r="G851">
        <v>5</v>
      </c>
    </row>
    <row r="852" spans="1:7" x14ac:dyDescent="0.25">
      <c r="A852" t="s">
        <v>5</v>
      </c>
      <c r="B852">
        <v>850</v>
      </c>
      <c r="C852">
        <v>70</v>
      </c>
      <c r="D852">
        <v>2.5008349418640137</v>
      </c>
      <c r="E852" t="s">
        <v>19</v>
      </c>
      <c r="F852" t="s">
        <v>13</v>
      </c>
      <c r="G852">
        <v>5</v>
      </c>
    </row>
    <row r="853" spans="1:7" x14ac:dyDescent="0.25">
      <c r="A853" t="s">
        <v>5</v>
      </c>
      <c r="B853">
        <v>851</v>
      </c>
      <c r="C853">
        <v>14</v>
      </c>
      <c r="D853">
        <v>2.5359468460083008</v>
      </c>
      <c r="E853" t="s">
        <v>19</v>
      </c>
      <c r="F853" t="s">
        <v>13</v>
      </c>
      <c r="G853">
        <v>5</v>
      </c>
    </row>
    <row r="854" spans="1:7" x14ac:dyDescent="0.25">
      <c r="A854" t="s">
        <v>5</v>
      </c>
      <c r="B854">
        <v>852</v>
      </c>
      <c r="C854">
        <v>20</v>
      </c>
      <c r="D854">
        <v>2.8957078456878662</v>
      </c>
      <c r="E854" t="s">
        <v>19</v>
      </c>
      <c r="F854" t="s">
        <v>13</v>
      </c>
      <c r="G854">
        <v>5</v>
      </c>
    </row>
    <row r="855" spans="1:7" x14ac:dyDescent="0.25">
      <c r="A855" t="s">
        <v>5</v>
      </c>
      <c r="B855">
        <v>853</v>
      </c>
      <c r="C855">
        <v>13</v>
      </c>
      <c r="D855">
        <v>2.4901070594787598</v>
      </c>
      <c r="E855" t="s">
        <v>19</v>
      </c>
      <c r="F855" t="s">
        <v>13</v>
      </c>
      <c r="G855">
        <v>5</v>
      </c>
    </row>
    <row r="856" spans="1:7" x14ac:dyDescent="0.25">
      <c r="A856" t="s">
        <v>5</v>
      </c>
      <c r="B856">
        <v>854</v>
      </c>
      <c r="C856">
        <v>80</v>
      </c>
      <c r="D856">
        <v>2.9958171844482422</v>
      </c>
      <c r="E856" t="s">
        <v>19</v>
      </c>
      <c r="F856" t="s">
        <v>13</v>
      </c>
      <c r="G856">
        <v>5</v>
      </c>
    </row>
    <row r="857" spans="1:7" x14ac:dyDescent="0.25">
      <c r="A857" t="s">
        <v>5</v>
      </c>
      <c r="B857">
        <v>855</v>
      </c>
      <c r="C857">
        <v>40</v>
      </c>
      <c r="D857">
        <v>3.2999074459075928</v>
      </c>
      <c r="E857" t="s">
        <v>19</v>
      </c>
      <c r="F857" t="s">
        <v>13</v>
      </c>
      <c r="G857">
        <v>5</v>
      </c>
    </row>
    <row r="858" spans="1:7" x14ac:dyDescent="0.25">
      <c r="A858" t="s">
        <v>5</v>
      </c>
      <c r="B858">
        <v>856</v>
      </c>
      <c r="C858">
        <v>16</v>
      </c>
      <c r="D858">
        <v>2.7199938297271729</v>
      </c>
      <c r="E858" t="s">
        <v>19</v>
      </c>
      <c r="F858" t="s">
        <v>13</v>
      </c>
      <c r="G858">
        <v>5</v>
      </c>
    </row>
    <row r="859" spans="1:7" x14ac:dyDescent="0.25">
      <c r="A859" t="s">
        <v>5</v>
      </c>
      <c r="B859">
        <v>857</v>
      </c>
      <c r="C859">
        <v>13</v>
      </c>
      <c r="D859">
        <v>2.7134101390838623</v>
      </c>
      <c r="E859" t="s">
        <v>19</v>
      </c>
      <c r="F859" t="s">
        <v>13</v>
      </c>
      <c r="G859">
        <v>5</v>
      </c>
    </row>
    <row r="860" spans="1:7" x14ac:dyDescent="0.25">
      <c r="A860" t="s">
        <v>5</v>
      </c>
      <c r="B860">
        <v>858</v>
      </c>
      <c r="C860">
        <v>14</v>
      </c>
      <c r="D860">
        <v>3.101356029510498</v>
      </c>
      <c r="E860" t="s">
        <v>19</v>
      </c>
      <c r="F860" t="s">
        <v>13</v>
      </c>
      <c r="G860">
        <v>5</v>
      </c>
    </row>
    <row r="861" spans="1:7" x14ac:dyDescent="0.25">
      <c r="A861" t="s">
        <v>5</v>
      </c>
      <c r="B861">
        <v>859</v>
      </c>
      <c r="C861">
        <v>14</v>
      </c>
      <c r="D861">
        <v>2.4895851612091064</v>
      </c>
      <c r="E861" t="s">
        <v>19</v>
      </c>
      <c r="F861" t="s">
        <v>13</v>
      </c>
      <c r="G861">
        <v>5</v>
      </c>
    </row>
    <row r="862" spans="1:7" x14ac:dyDescent="0.25">
      <c r="A862" t="s">
        <v>5</v>
      </c>
      <c r="B862">
        <v>860</v>
      </c>
      <c r="C862">
        <v>95</v>
      </c>
      <c r="D862">
        <v>5.3217642307281494</v>
      </c>
      <c r="E862" t="s">
        <v>19</v>
      </c>
      <c r="F862" t="s">
        <v>13</v>
      </c>
      <c r="G862">
        <v>5</v>
      </c>
    </row>
    <row r="863" spans="1:7" x14ac:dyDescent="0.25">
      <c r="A863" t="s">
        <v>5</v>
      </c>
      <c r="B863">
        <v>861</v>
      </c>
      <c r="C863">
        <v>100</v>
      </c>
      <c r="D863">
        <v>7.5270073413848877</v>
      </c>
      <c r="E863" t="s">
        <v>10</v>
      </c>
      <c r="F863" t="s">
        <v>21</v>
      </c>
      <c r="G863">
        <v>7.5</v>
      </c>
    </row>
    <row r="864" spans="1:7" x14ac:dyDescent="0.25">
      <c r="A864" t="s">
        <v>5</v>
      </c>
      <c r="B864">
        <v>862</v>
      </c>
      <c r="C864">
        <v>87</v>
      </c>
      <c r="D864">
        <v>6.1688075065612793</v>
      </c>
      <c r="E864" t="s">
        <v>10</v>
      </c>
      <c r="F864" t="s">
        <v>13</v>
      </c>
      <c r="G864">
        <v>4.3</v>
      </c>
    </row>
    <row r="865" spans="1:7" x14ac:dyDescent="0.25">
      <c r="A865" t="s">
        <v>5</v>
      </c>
      <c r="B865">
        <v>863</v>
      </c>
      <c r="C865">
        <v>100</v>
      </c>
      <c r="D865">
        <v>6.5597429275512695</v>
      </c>
      <c r="E865" t="s">
        <v>10</v>
      </c>
      <c r="F865" t="s">
        <v>13</v>
      </c>
      <c r="G865">
        <v>4.3</v>
      </c>
    </row>
    <row r="866" spans="1:7" x14ac:dyDescent="0.25">
      <c r="A866" t="s">
        <v>5</v>
      </c>
      <c r="B866">
        <v>864</v>
      </c>
      <c r="C866">
        <v>0</v>
      </c>
      <c r="D866">
        <v>10.993062734603882</v>
      </c>
      <c r="E866" t="s">
        <v>10</v>
      </c>
      <c r="F866" t="s">
        <v>13</v>
      </c>
      <c r="G866">
        <v>7.5</v>
      </c>
    </row>
    <row r="867" spans="1:7" x14ac:dyDescent="0.25">
      <c r="A867" t="s">
        <v>5</v>
      </c>
      <c r="B867">
        <v>865</v>
      </c>
      <c r="C867">
        <v>97</v>
      </c>
      <c r="D867">
        <v>8.2141993045806885</v>
      </c>
      <c r="E867" t="s">
        <v>10</v>
      </c>
      <c r="F867" t="s">
        <v>13</v>
      </c>
      <c r="G867">
        <v>5</v>
      </c>
    </row>
    <row r="868" spans="1:7" x14ac:dyDescent="0.25">
      <c r="A868" t="s">
        <v>5</v>
      </c>
      <c r="B868">
        <v>866</v>
      </c>
      <c r="C868">
        <v>23</v>
      </c>
      <c r="D868">
        <v>2.9899289608001709</v>
      </c>
      <c r="E868" t="s">
        <v>10</v>
      </c>
      <c r="F868" t="s">
        <v>23</v>
      </c>
      <c r="G868">
        <v>4.5999999999999996</v>
      </c>
    </row>
    <row r="869" spans="1:7" x14ac:dyDescent="0.25">
      <c r="A869" t="s">
        <v>5</v>
      </c>
      <c r="B869">
        <v>867</v>
      </c>
      <c r="C869">
        <v>57</v>
      </c>
      <c r="D869">
        <v>2.9655652046203613</v>
      </c>
      <c r="E869" t="s">
        <v>10</v>
      </c>
      <c r="F869" t="s">
        <v>23</v>
      </c>
      <c r="G869">
        <v>4.5999999999999996</v>
      </c>
    </row>
    <row r="870" spans="1:7" x14ac:dyDescent="0.25">
      <c r="A870" t="s">
        <v>5</v>
      </c>
      <c r="B870">
        <v>868</v>
      </c>
      <c r="C870">
        <v>80</v>
      </c>
      <c r="D870">
        <v>4.1750657558441162</v>
      </c>
      <c r="E870" t="s">
        <v>10</v>
      </c>
      <c r="F870" t="s">
        <v>22</v>
      </c>
      <c r="G870">
        <v>7.5</v>
      </c>
    </row>
    <row r="871" spans="1:7" x14ac:dyDescent="0.25">
      <c r="A871" t="s">
        <v>5</v>
      </c>
      <c r="B871">
        <v>869</v>
      </c>
      <c r="C871">
        <v>21</v>
      </c>
      <c r="D871">
        <v>3.5186731815338135</v>
      </c>
      <c r="E871" t="s">
        <v>10</v>
      </c>
      <c r="F871" t="s">
        <v>22</v>
      </c>
      <c r="G871">
        <v>7.5</v>
      </c>
    </row>
    <row r="872" spans="1:7" x14ac:dyDescent="0.25">
      <c r="A872" t="s">
        <v>5</v>
      </c>
      <c r="B872">
        <v>870</v>
      </c>
      <c r="C872">
        <v>100</v>
      </c>
      <c r="D872">
        <v>4.1331977844238281</v>
      </c>
      <c r="E872" t="s">
        <v>10</v>
      </c>
      <c r="F872" t="s">
        <v>22</v>
      </c>
      <c r="G872">
        <v>7.5</v>
      </c>
    </row>
    <row r="873" spans="1:7" x14ac:dyDescent="0.25">
      <c r="A873" t="s">
        <v>5</v>
      </c>
      <c r="B873">
        <v>871</v>
      </c>
      <c r="C873">
        <v>14</v>
      </c>
      <c r="D873">
        <v>3.0130741596221924</v>
      </c>
      <c r="E873" t="s">
        <v>10</v>
      </c>
      <c r="F873" t="s">
        <v>22</v>
      </c>
      <c r="G873">
        <v>7.5</v>
      </c>
    </row>
    <row r="874" spans="1:7" x14ac:dyDescent="0.25">
      <c r="A874" t="s">
        <v>5</v>
      </c>
      <c r="B874">
        <v>872</v>
      </c>
      <c r="C874">
        <v>27</v>
      </c>
      <c r="D874">
        <v>4.85768723487854</v>
      </c>
      <c r="E874" t="s">
        <v>10</v>
      </c>
      <c r="F874" t="s">
        <v>22</v>
      </c>
      <c r="G874">
        <v>7.5</v>
      </c>
    </row>
    <row r="875" spans="1:7" x14ac:dyDescent="0.25">
      <c r="A875" t="s">
        <v>5</v>
      </c>
      <c r="B875">
        <v>873</v>
      </c>
      <c r="C875">
        <v>24</v>
      </c>
      <c r="D875">
        <v>4.1291048526763916</v>
      </c>
      <c r="E875" t="s">
        <v>10</v>
      </c>
      <c r="F875" t="s">
        <v>22</v>
      </c>
      <c r="G875">
        <v>7.5</v>
      </c>
    </row>
    <row r="876" spans="1:7" x14ac:dyDescent="0.25">
      <c r="A876" t="s">
        <v>5</v>
      </c>
      <c r="B876">
        <v>874</v>
      </c>
      <c r="C876">
        <v>21</v>
      </c>
      <c r="D876">
        <v>3.2653329372406006</v>
      </c>
      <c r="E876" t="s">
        <v>10</v>
      </c>
      <c r="F876" t="s">
        <v>22</v>
      </c>
      <c r="G876">
        <v>7.5</v>
      </c>
    </row>
    <row r="877" spans="1:7" x14ac:dyDescent="0.25">
      <c r="A877" t="s">
        <v>5</v>
      </c>
      <c r="B877">
        <v>875</v>
      </c>
      <c r="C877">
        <v>60</v>
      </c>
      <c r="D877">
        <v>3.0636193752288818</v>
      </c>
      <c r="E877" t="s">
        <v>10</v>
      </c>
      <c r="F877" t="s">
        <v>22</v>
      </c>
      <c r="G877">
        <v>7.5</v>
      </c>
    </row>
    <row r="878" spans="1:7" x14ac:dyDescent="0.25">
      <c r="A878" t="s">
        <v>5</v>
      </c>
      <c r="B878">
        <v>876</v>
      </c>
      <c r="C878">
        <v>57</v>
      </c>
      <c r="D878">
        <v>3.4753813743591309</v>
      </c>
      <c r="E878" t="s">
        <v>10</v>
      </c>
      <c r="F878" t="s">
        <v>22</v>
      </c>
      <c r="G878">
        <v>7.5</v>
      </c>
    </row>
    <row r="879" spans="1:7" x14ac:dyDescent="0.25">
      <c r="A879" t="s">
        <v>5</v>
      </c>
      <c r="B879">
        <v>877</v>
      </c>
      <c r="C879">
        <v>30</v>
      </c>
      <c r="D879">
        <v>2.7141695022583008</v>
      </c>
      <c r="E879" t="s">
        <v>10</v>
      </c>
      <c r="F879" t="s">
        <v>22</v>
      </c>
      <c r="G879">
        <v>7.5</v>
      </c>
    </row>
    <row r="880" spans="1:7" x14ac:dyDescent="0.25">
      <c r="A880" t="s">
        <v>5</v>
      </c>
      <c r="B880">
        <v>878</v>
      </c>
      <c r="C880">
        <v>100</v>
      </c>
      <c r="D880">
        <v>2.9303102493286133</v>
      </c>
      <c r="E880" t="s">
        <v>10</v>
      </c>
      <c r="F880" t="s">
        <v>22</v>
      </c>
      <c r="G880">
        <v>7.5</v>
      </c>
    </row>
    <row r="881" spans="1:7" x14ac:dyDescent="0.25">
      <c r="A881" t="s">
        <v>5</v>
      </c>
      <c r="B881">
        <v>879</v>
      </c>
      <c r="C881">
        <v>30</v>
      </c>
      <c r="D881">
        <v>2.6472949981689453</v>
      </c>
      <c r="E881" t="s">
        <v>10</v>
      </c>
      <c r="F881" t="s">
        <v>22</v>
      </c>
      <c r="G881">
        <v>7.5</v>
      </c>
    </row>
    <row r="882" spans="1:7" x14ac:dyDescent="0.25">
      <c r="A882" t="s">
        <v>5</v>
      </c>
      <c r="B882">
        <v>880</v>
      </c>
      <c r="C882">
        <v>30</v>
      </c>
      <c r="D882">
        <v>2.6993727684020996</v>
      </c>
      <c r="E882" t="s">
        <v>10</v>
      </c>
      <c r="F882" t="s">
        <v>22</v>
      </c>
      <c r="G882">
        <v>7.5</v>
      </c>
    </row>
    <row r="883" spans="1:7" x14ac:dyDescent="0.25">
      <c r="A883" t="s">
        <v>5</v>
      </c>
      <c r="B883">
        <v>881</v>
      </c>
      <c r="C883">
        <v>40</v>
      </c>
      <c r="D883">
        <v>3.2833857536315918</v>
      </c>
      <c r="E883" t="s">
        <v>10</v>
      </c>
      <c r="F883" t="s">
        <v>23</v>
      </c>
      <c r="G883">
        <v>7.5</v>
      </c>
    </row>
    <row r="884" spans="1:7" x14ac:dyDescent="0.25">
      <c r="A884" t="s">
        <v>5</v>
      </c>
      <c r="B884">
        <v>882</v>
      </c>
      <c r="C884">
        <v>100</v>
      </c>
      <c r="D884">
        <v>4.1007461547851563</v>
      </c>
      <c r="E884" t="s">
        <v>10</v>
      </c>
      <c r="F884" t="s">
        <v>22</v>
      </c>
      <c r="G884">
        <v>7.5</v>
      </c>
    </row>
    <row r="885" spans="1:7" x14ac:dyDescent="0.25">
      <c r="A885" t="s">
        <v>5</v>
      </c>
      <c r="B885">
        <v>883</v>
      </c>
      <c r="C885">
        <v>30</v>
      </c>
      <c r="D885">
        <v>3.3377792835235596</v>
      </c>
      <c r="E885" t="s">
        <v>10</v>
      </c>
      <c r="F885" t="s">
        <v>23</v>
      </c>
      <c r="G885">
        <v>7.5</v>
      </c>
    </row>
    <row r="886" spans="1:7" x14ac:dyDescent="0.25">
      <c r="A886" t="s">
        <v>5</v>
      </c>
      <c r="B886">
        <v>884</v>
      </c>
      <c r="C886">
        <v>30</v>
      </c>
      <c r="D886">
        <v>3.2746169567108154</v>
      </c>
      <c r="E886" t="s">
        <v>10</v>
      </c>
      <c r="F886" t="s">
        <v>22</v>
      </c>
      <c r="G886">
        <v>7.5</v>
      </c>
    </row>
    <row r="887" spans="1:7" x14ac:dyDescent="0.25">
      <c r="A887" t="s">
        <v>5</v>
      </c>
      <c r="B887">
        <v>885</v>
      </c>
      <c r="C887">
        <v>27</v>
      </c>
      <c r="D887">
        <v>2.6544623374938965</v>
      </c>
      <c r="E887" t="s">
        <v>10</v>
      </c>
      <c r="F887" t="s">
        <v>15</v>
      </c>
      <c r="G887">
        <v>5</v>
      </c>
    </row>
    <row r="888" spans="1:7" x14ac:dyDescent="0.25">
      <c r="A888" t="s">
        <v>5</v>
      </c>
      <c r="B888">
        <v>886</v>
      </c>
      <c r="C888">
        <v>70</v>
      </c>
      <c r="D888">
        <v>4.4544045925140381</v>
      </c>
      <c r="E888" t="s">
        <v>10</v>
      </c>
      <c r="F888" t="s">
        <v>15</v>
      </c>
      <c r="G888">
        <v>5</v>
      </c>
    </row>
    <row r="889" spans="1:7" x14ac:dyDescent="0.25">
      <c r="A889" t="s">
        <v>5</v>
      </c>
      <c r="B889">
        <v>887</v>
      </c>
      <c r="C889">
        <v>37</v>
      </c>
      <c r="D889">
        <v>5.1571521759033203</v>
      </c>
      <c r="E889" t="s">
        <v>10</v>
      </c>
      <c r="F889" t="s">
        <v>15</v>
      </c>
      <c r="G889">
        <v>5</v>
      </c>
    </row>
    <row r="890" spans="1:7" x14ac:dyDescent="0.25">
      <c r="A890" t="s">
        <v>5</v>
      </c>
      <c r="B890">
        <v>888</v>
      </c>
      <c r="C890">
        <v>15</v>
      </c>
      <c r="D890">
        <v>2.7282838821411133</v>
      </c>
      <c r="E890" t="s">
        <v>10</v>
      </c>
      <c r="F890" t="s">
        <v>15</v>
      </c>
      <c r="G890">
        <v>5</v>
      </c>
    </row>
    <row r="891" spans="1:7" x14ac:dyDescent="0.25">
      <c r="A891" t="s">
        <v>5</v>
      </c>
      <c r="B891">
        <v>889</v>
      </c>
      <c r="C891">
        <v>30</v>
      </c>
      <c r="D891">
        <v>3.0892672538757324</v>
      </c>
      <c r="E891" t="s">
        <v>10</v>
      </c>
      <c r="F891" t="s">
        <v>15</v>
      </c>
      <c r="G891">
        <v>5</v>
      </c>
    </row>
    <row r="892" spans="1:7" x14ac:dyDescent="0.25">
      <c r="A892" t="s">
        <v>5</v>
      </c>
      <c r="B892">
        <v>890</v>
      </c>
      <c r="C892">
        <v>10</v>
      </c>
      <c r="D892">
        <v>3.1788508892059326</v>
      </c>
      <c r="E892" t="s">
        <v>10</v>
      </c>
      <c r="F892" t="s">
        <v>15</v>
      </c>
      <c r="G892">
        <v>5</v>
      </c>
    </row>
    <row r="893" spans="1:7" x14ac:dyDescent="0.25">
      <c r="A893" t="s">
        <v>5</v>
      </c>
      <c r="B893">
        <v>891</v>
      </c>
      <c r="C893">
        <v>10</v>
      </c>
      <c r="D893">
        <v>3.0387909412384033</v>
      </c>
      <c r="E893" t="s">
        <v>10</v>
      </c>
      <c r="F893" t="s">
        <v>15</v>
      </c>
      <c r="G893">
        <v>5</v>
      </c>
    </row>
    <row r="894" spans="1:7" x14ac:dyDescent="0.25">
      <c r="A894" t="s">
        <v>5</v>
      </c>
      <c r="B894">
        <v>892</v>
      </c>
      <c r="C894">
        <v>100</v>
      </c>
      <c r="D894">
        <v>4.7543349266052246</v>
      </c>
      <c r="E894" t="s">
        <v>10</v>
      </c>
      <c r="F894" t="s">
        <v>13</v>
      </c>
      <c r="G894">
        <v>4.3</v>
      </c>
    </row>
    <row r="895" spans="1:7" x14ac:dyDescent="0.25">
      <c r="A895" t="s">
        <v>5</v>
      </c>
      <c r="B895">
        <v>893</v>
      </c>
      <c r="C895">
        <v>100</v>
      </c>
      <c r="D895">
        <v>2.9812655448913574</v>
      </c>
      <c r="E895" t="s">
        <v>10</v>
      </c>
      <c r="F895" t="s">
        <v>13</v>
      </c>
      <c r="G895">
        <v>7.7</v>
      </c>
    </row>
    <row r="896" spans="1:7" x14ac:dyDescent="0.25">
      <c r="A896" t="s">
        <v>5</v>
      </c>
      <c r="B896">
        <v>894</v>
      </c>
      <c r="C896">
        <v>70</v>
      </c>
      <c r="D896">
        <v>3.3211677074432373</v>
      </c>
      <c r="E896" t="s">
        <v>10</v>
      </c>
      <c r="F896" t="s">
        <v>13</v>
      </c>
      <c r="G896">
        <v>4</v>
      </c>
    </row>
    <row r="897" spans="1:7" x14ac:dyDescent="0.25">
      <c r="A897" t="s">
        <v>5</v>
      </c>
      <c r="B897">
        <v>895</v>
      </c>
      <c r="C897">
        <v>30</v>
      </c>
      <c r="D897">
        <v>5.3845024108886719</v>
      </c>
      <c r="E897" t="s">
        <v>10</v>
      </c>
      <c r="F897" t="s">
        <v>13</v>
      </c>
      <c r="G897">
        <v>4</v>
      </c>
    </row>
    <row r="898" spans="1:7" x14ac:dyDescent="0.25">
      <c r="A898" t="s">
        <v>5</v>
      </c>
      <c r="B898">
        <v>896</v>
      </c>
      <c r="C898">
        <v>40</v>
      </c>
      <c r="D898">
        <v>13.787086009979248</v>
      </c>
      <c r="E898" t="s">
        <v>10</v>
      </c>
      <c r="F898" t="s">
        <v>13</v>
      </c>
      <c r="G898">
        <v>4</v>
      </c>
    </row>
    <row r="899" spans="1:7" x14ac:dyDescent="0.25">
      <c r="A899" t="s">
        <v>5</v>
      </c>
      <c r="B899">
        <v>897</v>
      </c>
      <c r="C899">
        <v>30</v>
      </c>
      <c r="D899">
        <v>3.3595235347747803</v>
      </c>
      <c r="E899" t="s">
        <v>10</v>
      </c>
      <c r="F899" t="s">
        <v>13</v>
      </c>
      <c r="G899">
        <v>4</v>
      </c>
    </row>
    <row r="900" spans="1:7" x14ac:dyDescent="0.25">
      <c r="A900" t="s">
        <v>5</v>
      </c>
      <c r="B900">
        <v>898</v>
      </c>
      <c r="C900">
        <v>70</v>
      </c>
      <c r="D900">
        <v>2.8628687858581543</v>
      </c>
      <c r="E900" t="s">
        <v>10</v>
      </c>
      <c r="F900" t="s">
        <v>13</v>
      </c>
      <c r="G900">
        <v>4</v>
      </c>
    </row>
    <row r="901" spans="1:7" x14ac:dyDescent="0.25">
      <c r="A901" t="s">
        <v>5</v>
      </c>
      <c r="B901">
        <v>899</v>
      </c>
      <c r="C901">
        <v>40</v>
      </c>
      <c r="D901">
        <v>2.84385085105896</v>
      </c>
      <c r="E901" t="s">
        <v>10</v>
      </c>
      <c r="F901" t="s">
        <v>13</v>
      </c>
      <c r="G901">
        <v>4</v>
      </c>
    </row>
    <row r="902" spans="1:7" x14ac:dyDescent="0.25">
      <c r="A902" t="s">
        <v>5</v>
      </c>
      <c r="B902">
        <v>900</v>
      </c>
      <c r="C902">
        <v>30</v>
      </c>
      <c r="D902">
        <v>4.5319175720214844</v>
      </c>
      <c r="E902" t="s">
        <v>10</v>
      </c>
      <c r="F902" t="s">
        <v>13</v>
      </c>
      <c r="G902">
        <v>4</v>
      </c>
    </row>
    <row r="903" spans="1:7" x14ac:dyDescent="0.25">
      <c r="A903" t="s">
        <v>5</v>
      </c>
      <c r="B903">
        <v>901</v>
      </c>
      <c r="C903">
        <v>100</v>
      </c>
      <c r="D903">
        <v>5.5691394805908203</v>
      </c>
      <c r="E903" t="s">
        <v>10</v>
      </c>
      <c r="F903" t="s">
        <v>13</v>
      </c>
      <c r="G903">
        <v>4</v>
      </c>
    </row>
    <row r="904" spans="1:7" x14ac:dyDescent="0.25">
      <c r="A904" t="s">
        <v>5</v>
      </c>
      <c r="B904">
        <v>902</v>
      </c>
      <c r="C904">
        <v>37</v>
      </c>
      <c r="D904">
        <v>3.8177075386047363</v>
      </c>
      <c r="E904" t="s">
        <v>10</v>
      </c>
      <c r="F904" t="s">
        <v>13</v>
      </c>
      <c r="G904">
        <v>4</v>
      </c>
    </row>
    <row r="905" spans="1:7" x14ac:dyDescent="0.25">
      <c r="A905" t="s">
        <v>5</v>
      </c>
      <c r="B905">
        <v>903</v>
      </c>
      <c r="C905">
        <v>70</v>
      </c>
      <c r="D905">
        <v>5.393883228302002</v>
      </c>
      <c r="E905" t="s">
        <v>10</v>
      </c>
      <c r="F905" t="s">
        <v>13</v>
      </c>
      <c r="G905">
        <v>4</v>
      </c>
    </row>
    <row r="906" spans="1:7" x14ac:dyDescent="0.25">
      <c r="A906" t="s">
        <v>5</v>
      </c>
      <c r="B906">
        <v>904</v>
      </c>
      <c r="C906">
        <v>80</v>
      </c>
      <c r="D906">
        <v>8.273568868637085</v>
      </c>
      <c r="E906" t="s">
        <v>10</v>
      </c>
      <c r="F906" t="s">
        <v>13</v>
      </c>
      <c r="G906">
        <v>4</v>
      </c>
    </row>
    <row r="907" spans="1:7" x14ac:dyDescent="0.25">
      <c r="A907" t="s">
        <v>5</v>
      </c>
      <c r="B907">
        <v>905</v>
      </c>
      <c r="C907">
        <v>40</v>
      </c>
      <c r="D907">
        <v>3.5023672580718994</v>
      </c>
      <c r="E907" t="s">
        <v>10</v>
      </c>
      <c r="F907" t="s">
        <v>13</v>
      </c>
      <c r="G907">
        <v>4</v>
      </c>
    </row>
    <row r="908" spans="1:7" x14ac:dyDescent="0.25">
      <c r="A908" t="s">
        <v>5</v>
      </c>
      <c r="B908">
        <v>906</v>
      </c>
      <c r="C908">
        <v>21</v>
      </c>
      <c r="D908">
        <v>7.5359706878662109</v>
      </c>
      <c r="E908" t="s">
        <v>10</v>
      </c>
      <c r="F908" t="s">
        <v>13</v>
      </c>
      <c r="G908">
        <v>4</v>
      </c>
    </row>
    <row r="909" spans="1:7" x14ac:dyDescent="0.25">
      <c r="A909" t="s">
        <v>5</v>
      </c>
      <c r="B909">
        <v>907</v>
      </c>
      <c r="C909">
        <v>25</v>
      </c>
      <c r="D909">
        <v>3.7046327590942383</v>
      </c>
      <c r="E909" t="s">
        <v>10</v>
      </c>
      <c r="F909" t="s">
        <v>13</v>
      </c>
      <c r="G909">
        <v>2.1</v>
      </c>
    </row>
    <row r="910" spans="1:7" x14ac:dyDescent="0.25">
      <c r="A910" t="s">
        <v>5</v>
      </c>
      <c r="B910">
        <v>908</v>
      </c>
      <c r="C910">
        <v>15</v>
      </c>
      <c r="D910">
        <v>2.9237089157104492</v>
      </c>
      <c r="E910" t="s">
        <v>10</v>
      </c>
      <c r="F910" t="s">
        <v>13</v>
      </c>
      <c r="G910">
        <v>2.1</v>
      </c>
    </row>
    <row r="911" spans="1:7" x14ac:dyDescent="0.25">
      <c r="A911" t="s">
        <v>5</v>
      </c>
      <c r="B911">
        <v>909</v>
      </c>
      <c r="C911">
        <v>27</v>
      </c>
      <c r="D911">
        <v>2.8066871166229248</v>
      </c>
      <c r="E911" t="s">
        <v>10</v>
      </c>
      <c r="F911" t="s">
        <v>21</v>
      </c>
      <c r="G911">
        <v>4.3</v>
      </c>
    </row>
    <row r="912" spans="1:7" x14ac:dyDescent="0.25">
      <c r="A912" t="s">
        <v>5</v>
      </c>
      <c r="B912">
        <v>910</v>
      </c>
      <c r="C912">
        <v>70</v>
      </c>
      <c r="D912">
        <v>3.1948697566986084</v>
      </c>
      <c r="E912" t="s">
        <v>10</v>
      </c>
      <c r="F912" t="s">
        <v>13</v>
      </c>
      <c r="G912">
        <v>5</v>
      </c>
    </row>
    <row r="913" spans="1:7" x14ac:dyDescent="0.25">
      <c r="A913" t="s">
        <v>5</v>
      </c>
      <c r="B913">
        <v>911</v>
      </c>
      <c r="C913">
        <v>30</v>
      </c>
      <c r="D913">
        <v>3.2723283767700195</v>
      </c>
      <c r="E913" t="s">
        <v>10</v>
      </c>
      <c r="F913" t="s">
        <v>13</v>
      </c>
      <c r="G913">
        <v>5</v>
      </c>
    </row>
    <row r="914" spans="1:7" x14ac:dyDescent="0.25">
      <c r="A914" t="s">
        <v>5</v>
      </c>
      <c r="B914">
        <v>912</v>
      </c>
      <c r="C914">
        <v>90</v>
      </c>
      <c r="D914">
        <v>3.9894115924835205</v>
      </c>
      <c r="E914" t="s">
        <v>10</v>
      </c>
      <c r="F914" t="s">
        <v>13</v>
      </c>
      <c r="G914">
        <v>5</v>
      </c>
    </row>
    <row r="915" spans="1:7" x14ac:dyDescent="0.25">
      <c r="A915" t="s">
        <v>5</v>
      </c>
      <c r="B915">
        <v>913</v>
      </c>
      <c r="C915">
        <v>60</v>
      </c>
      <c r="D915">
        <v>4.4785535335540771</v>
      </c>
      <c r="E915" t="s">
        <v>10</v>
      </c>
      <c r="F915" t="s">
        <v>13</v>
      </c>
      <c r="G915">
        <v>5</v>
      </c>
    </row>
    <row r="916" spans="1:7" x14ac:dyDescent="0.25">
      <c r="A916" t="s">
        <v>5</v>
      </c>
      <c r="B916">
        <v>914</v>
      </c>
      <c r="C916">
        <v>20</v>
      </c>
      <c r="D916">
        <v>4.7298097610473633</v>
      </c>
      <c r="E916" t="s">
        <v>10</v>
      </c>
      <c r="F916" t="s">
        <v>13</v>
      </c>
      <c r="G916">
        <v>5</v>
      </c>
    </row>
    <row r="917" spans="1:7" x14ac:dyDescent="0.25">
      <c r="A917" t="s">
        <v>5</v>
      </c>
      <c r="B917">
        <v>915</v>
      </c>
      <c r="C917">
        <v>27</v>
      </c>
      <c r="D917">
        <v>3.1541261672973633</v>
      </c>
      <c r="E917" t="s">
        <v>10</v>
      </c>
      <c r="F917" t="s">
        <v>13</v>
      </c>
      <c r="G917">
        <v>5</v>
      </c>
    </row>
    <row r="918" spans="1:7" x14ac:dyDescent="0.25">
      <c r="A918" t="s">
        <v>5</v>
      </c>
      <c r="B918">
        <v>916</v>
      </c>
      <c r="C918">
        <v>15</v>
      </c>
      <c r="D918">
        <v>2.975754976272583</v>
      </c>
      <c r="E918" t="s">
        <v>10</v>
      </c>
      <c r="F918" t="s">
        <v>13</v>
      </c>
      <c r="G918">
        <v>5</v>
      </c>
    </row>
    <row r="919" spans="1:7" x14ac:dyDescent="0.25">
      <c r="A919" t="s">
        <v>5</v>
      </c>
      <c r="B919">
        <v>917</v>
      </c>
      <c r="C919">
        <v>80</v>
      </c>
      <c r="D919">
        <v>3.2552423477172852</v>
      </c>
      <c r="E919" t="s">
        <v>10</v>
      </c>
      <c r="F919" t="s">
        <v>13</v>
      </c>
      <c r="G919">
        <v>5</v>
      </c>
    </row>
    <row r="920" spans="1:7" x14ac:dyDescent="0.25">
      <c r="A920" t="s">
        <v>5</v>
      </c>
      <c r="B920">
        <v>918</v>
      </c>
      <c r="C920">
        <v>30</v>
      </c>
      <c r="D920">
        <v>3.4996070861816406</v>
      </c>
      <c r="E920" t="s">
        <v>10</v>
      </c>
      <c r="F920" t="s">
        <v>13</v>
      </c>
      <c r="G920">
        <v>5</v>
      </c>
    </row>
    <row r="921" spans="1:7" x14ac:dyDescent="0.25">
      <c r="A921" t="s">
        <v>5</v>
      </c>
      <c r="B921">
        <v>919</v>
      </c>
      <c r="C921">
        <v>47</v>
      </c>
      <c r="D921">
        <v>3.4463903903961182</v>
      </c>
      <c r="E921" t="s">
        <v>10</v>
      </c>
      <c r="F921" t="s">
        <v>15</v>
      </c>
      <c r="G921">
        <v>5</v>
      </c>
    </row>
    <row r="922" spans="1:7" x14ac:dyDescent="0.25">
      <c r="A922" t="s">
        <v>5</v>
      </c>
      <c r="B922">
        <v>920</v>
      </c>
      <c r="C922">
        <v>47</v>
      </c>
      <c r="D922">
        <v>12.41100287437439</v>
      </c>
      <c r="E922" t="s">
        <v>10</v>
      </c>
      <c r="F922" t="s">
        <v>15</v>
      </c>
      <c r="G922">
        <v>5</v>
      </c>
    </row>
    <row r="923" spans="1:7" x14ac:dyDescent="0.25">
      <c r="A923" t="s">
        <v>5</v>
      </c>
      <c r="B923">
        <v>921</v>
      </c>
      <c r="C923">
        <v>100</v>
      </c>
      <c r="D923">
        <v>3.6888911724090576</v>
      </c>
      <c r="E923" t="s">
        <v>10</v>
      </c>
      <c r="F923" t="s">
        <v>21</v>
      </c>
      <c r="G923">
        <v>4.3</v>
      </c>
    </row>
    <row r="924" spans="1:7" x14ac:dyDescent="0.25">
      <c r="A924" t="s">
        <v>5</v>
      </c>
      <c r="B924">
        <v>922</v>
      </c>
      <c r="C924">
        <v>50</v>
      </c>
      <c r="D924">
        <v>10.032954454421997</v>
      </c>
      <c r="E924" t="s">
        <v>10</v>
      </c>
      <c r="F924" t="s">
        <v>21</v>
      </c>
      <c r="G924">
        <v>4.3</v>
      </c>
    </row>
    <row r="925" spans="1:7" x14ac:dyDescent="0.25">
      <c r="A925" t="s">
        <v>5</v>
      </c>
      <c r="B925">
        <v>923</v>
      </c>
      <c r="C925">
        <v>100</v>
      </c>
      <c r="D925">
        <v>5.2443325519561768</v>
      </c>
      <c r="E925" t="s">
        <v>10</v>
      </c>
      <c r="F925" t="s">
        <v>21</v>
      </c>
      <c r="G925">
        <v>4.3</v>
      </c>
    </row>
    <row r="926" spans="1:7" x14ac:dyDescent="0.25">
      <c r="A926" t="s">
        <v>5</v>
      </c>
      <c r="B926">
        <v>924</v>
      </c>
      <c r="C926">
        <v>13</v>
      </c>
      <c r="D926">
        <v>2.9386062622070313</v>
      </c>
      <c r="E926" t="s">
        <v>10</v>
      </c>
      <c r="F926" t="s">
        <v>21</v>
      </c>
      <c r="G926">
        <v>4.3</v>
      </c>
    </row>
    <row r="927" spans="1:7" x14ac:dyDescent="0.25">
      <c r="A927" t="s">
        <v>5</v>
      </c>
      <c r="B927">
        <v>925</v>
      </c>
      <c r="C927">
        <v>70</v>
      </c>
      <c r="D927">
        <v>8.7013564109802246</v>
      </c>
      <c r="E927" t="s">
        <v>10</v>
      </c>
      <c r="F927" t="s">
        <v>21</v>
      </c>
      <c r="G927">
        <v>4.3</v>
      </c>
    </row>
    <row r="928" spans="1:7" x14ac:dyDescent="0.25">
      <c r="A928" t="s">
        <v>5</v>
      </c>
      <c r="B928">
        <v>926</v>
      </c>
      <c r="C928">
        <v>100</v>
      </c>
      <c r="D928">
        <v>6.5316321849822998</v>
      </c>
      <c r="E928" t="s">
        <v>10</v>
      </c>
      <c r="F928" t="s">
        <v>21</v>
      </c>
      <c r="G928">
        <v>4.3</v>
      </c>
    </row>
    <row r="929" spans="1:7" x14ac:dyDescent="0.25">
      <c r="A929" t="s">
        <v>5</v>
      </c>
      <c r="B929">
        <v>927</v>
      </c>
      <c r="C929">
        <v>40</v>
      </c>
      <c r="D929">
        <v>4.7053637504577637</v>
      </c>
      <c r="E929" t="s">
        <v>10</v>
      </c>
      <c r="F929" t="s">
        <v>21</v>
      </c>
      <c r="G929">
        <v>4.3</v>
      </c>
    </row>
    <row r="930" spans="1:7" x14ac:dyDescent="0.25">
      <c r="A930" t="s">
        <v>5</v>
      </c>
      <c r="B930">
        <v>928</v>
      </c>
      <c r="C930">
        <v>40</v>
      </c>
      <c r="D930">
        <v>4.392542839050293</v>
      </c>
      <c r="E930" t="s">
        <v>10</v>
      </c>
      <c r="F930" t="s">
        <v>21</v>
      </c>
      <c r="G930">
        <v>4.3</v>
      </c>
    </row>
    <row r="931" spans="1:7" x14ac:dyDescent="0.25">
      <c r="A931" t="s">
        <v>5</v>
      </c>
      <c r="B931">
        <v>929</v>
      </c>
      <c r="C931">
        <v>17</v>
      </c>
      <c r="D931">
        <v>3.2539091110229492</v>
      </c>
      <c r="E931" t="s">
        <v>10</v>
      </c>
      <c r="F931" t="s">
        <v>21</v>
      </c>
      <c r="G931">
        <v>4.3</v>
      </c>
    </row>
    <row r="932" spans="1:7" x14ac:dyDescent="0.25">
      <c r="A932" t="s">
        <v>5</v>
      </c>
      <c r="B932">
        <v>930</v>
      </c>
      <c r="C932">
        <v>57</v>
      </c>
      <c r="D932">
        <v>3.0376479625701904</v>
      </c>
      <c r="E932" t="s">
        <v>10</v>
      </c>
      <c r="F932" t="s">
        <v>21</v>
      </c>
      <c r="G932">
        <v>4.3</v>
      </c>
    </row>
    <row r="933" spans="1:7" x14ac:dyDescent="0.25">
      <c r="A933" t="s">
        <v>5</v>
      </c>
      <c r="B933">
        <v>931</v>
      </c>
      <c r="C933">
        <v>17</v>
      </c>
      <c r="D933">
        <v>3.5586225986480713</v>
      </c>
      <c r="E933" t="s">
        <v>10</v>
      </c>
      <c r="F933" t="s">
        <v>21</v>
      </c>
      <c r="G933">
        <v>4.3</v>
      </c>
    </row>
    <row r="934" spans="1:7" x14ac:dyDescent="0.25">
      <c r="A934" t="s">
        <v>5</v>
      </c>
      <c r="B934">
        <v>932</v>
      </c>
      <c r="C934">
        <v>47</v>
      </c>
      <c r="D934">
        <v>3.9020960330963135</v>
      </c>
      <c r="E934" t="s">
        <v>10</v>
      </c>
      <c r="F934" t="s">
        <v>21</v>
      </c>
      <c r="G934">
        <v>4.3</v>
      </c>
    </row>
    <row r="935" spans="1:7" x14ac:dyDescent="0.25">
      <c r="A935" t="s">
        <v>5</v>
      </c>
      <c r="B935">
        <v>933</v>
      </c>
      <c r="C935">
        <v>80</v>
      </c>
      <c r="D935">
        <v>8.2988681793212891</v>
      </c>
      <c r="E935" t="s">
        <v>10</v>
      </c>
      <c r="F935" t="s">
        <v>21</v>
      </c>
      <c r="G935">
        <v>4.3</v>
      </c>
    </row>
    <row r="936" spans="1:7" x14ac:dyDescent="0.25">
      <c r="A936" t="s">
        <v>5</v>
      </c>
      <c r="B936">
        <v>934</v>
      </c>
      <c r="C936">
        <v>65</v>
      </c>
      <c r="D936">
        <v>11.208884477615356</v>
      </c>
      <c r="E936" t="s">
        <v>10</v>
      </c>
      <c r="F936" t="s">
        <v>21</v>
      </c>
      <c r="G936">
        <v>4.3</v>
      </c>
    </row>
    <row r="937" spans="1:7" x14ac:dyDescent="0.25">
      <c r="A937" t="s">
        <v>5</v>
      </c>
      <c r="B937">
        <v>935</v>
      </c>
      <c r="C937">
        <v>40</v>
      </c>
      <c r="D937">
        <v>3.7777395248413086</v>
      </c>
      <c r="E937" t="s">
        <v>10</v>
      </c>
      <c r="F937" t="s">
        <v>21</v>
      </c>
      <c r="G937">
        <v>4.3</v>
      </c>
    </row>
    <row r="938" spans="1:7" x14ac:dyDescent="0.25">
      <c r="A938" t="s">
        <v>5</v>
      </c>
      <c r="B938">
        <v>936</v>
      </c>
      <c r="C938">
        <v>37</v>
      </c>
      <c r="D938">
        <v>3.3458900451660156</v>
      </c>
      <c r="E938" t="s">
        <v>10</v>
      </c>
      <c r="F938" t="s">
        <v>21</v>
      </c>
      <c r="G938">
        <v>4.3</v>
      </c>
    </row>
    <row r="939" spans="1:7" x14ac:dyDescent="0.25">
      <c r="A939" t="s">
        <v>5</v>
      </c>
      <c r="B939">
        <v>937</v>
      </c>
      <c r="C939">
        <v>37</v>
      </c>
      <c r="D939">
        <v>4.5092411041259766</v>
      </c>
      <c r="E939" t="s">
        <v>10</v>
      </c>
      <c r="F939" t="s">
        <v>21</v>
      </c>
      <c r="G939">
        <v>4.3</v>
      </c>
    </row>
    <row r="940" spans="1:7" x14ac:dyDescent="0.25">
      <c r="A940" t="s">
        <v>5</v>
      </c>
      <c r="B940">
        <v>938</v>
      </c>
      <c r="C940">
        <v>30</v>
      </c>
      <c r="D940">
        <v>3.9356441497802734</v>
      </c>
      <c r="E940" t="s">
        <v>10</v>
      </c>
      <c r="F940" t="s">
        <v>21</v>
      </c>
      <c r="G940">
        <v>4.3</v>
      </c>
    </row>
    <row r="941" spans="1:7" x14ac:dyDescent="0.25">
      <c r="A941" t="s">
        <v>5</v>
      </c>
      <c r="B941">
        <v>939</v>
      </c>
      <c r="C941">
        <v>100</v>
      </c>
      <c r="D941">
        <v>3.0122027397155762</v>
      </c>
      <c r="E941" t="s">
        <v>10</v>
      </c>
      <c r="F941" t="s">
        <v>21</v>
      </c>
      <c r="G941">
        <v>4.3</v>
      </c>
    </row>
    <row r="942" spans="1:7" x14ac:dyDescent="0.25">
      <c r="A942" t="s">
        <v>5</v>
      </c>
      <c r="B942">
        <v>940</v>
      </c>
      <c r="C942">
        <v>100</v>
      </c>
      <c r="D942">
        <v>8.2762372493743896</v>
      </c>
      <c r="E942" t="s">
        <v>10</v>
      </c>
      <c r="F942" t="s">
        <v>21</v>
      </c>
      <c r="G942">
        <v>4.3</v>
      </c>
    </row>
    <row r="943" spans="1:7" x14ac:dyDescent="0.25">
      <c r="A943" t="s">
        <v>5</v>
      </c>
      <c r="B943">
        <v>941</v>
      </c>
      <c r="C943">
        <v>100</v>
      </c>
      <c r="D943">
        <v>11.624297142028809</v>
      </c>
      <c r="E943" t="s">
        <v>10</v>
      </c>
      <c r="F943" t="s">
        <v>21</v>
      </c>
      <c r="G943">
        <v>4.3</v>
      </c>
    </row>
    <row r="944" spans="1:7" x14ac:dyDescent="0.25">
      <c r="A944" t="s">
        <v>5</v>
      </c>
      <c r="B944">
        <v>942</v>
      </c>
      <c r="C944">
        <v>100</v>
      </c>
      <c r="D944">
        <v>3.2049074172973633</v>
      </c>
      <c r="E944" t="s">
        <v>10</v>
      </c>
      <c r="F944" t="s">
        <v>13</v>
      </c>
      <c r="G944">
        <v>2.1</v>
      </c>
    </row>
    <row r="945" spans="1:7" x14ac:dyDescent="0.25">
      <c r="A945" t="s">
        <v>5</v>
      </c>
      <c r="B945">
        <v>943</v>
      </c>
      <c r="C945">
        <v>100</v>
      </c>
      <c r="D945">
        <v>4.0439977645874023</v>
      </c>
      <c r="E945" t="s">
        <v>10</v>
      </c>
      <c r="F945" t="s">
        <v>20</v>
      </c>
      <c r="G945">
        <v>7.5</v>
      </c>
    </row>
    <row r="946" spans="1:7" x14ac:dyDescent="0.25">
      <c r="A946" t="s">
        <v>5</v>
      </c>
      <c r="B946">
        <v>944</v>
      </c>
      <c r="C946">
        <v>47</v>
      </c>
      <c r="D946">
        <v>6.5698025226593018</v>
      </c>
      <c r="E946" t="s">
        <v>10</v>
      </c>
      <c r="F946" t="s">
        <v>13</v>
      </c>
      <c r="G946">
        <v>4.3</v>
      </c>
    </row>
    <row r="947" spans="1:7" x14ac:dyDescent="0.25">
      <c r="A947" t="s">
        <v>5</v>
      </c>
      <c r="B947">
        <v>945</v>
      </c>
      <c r="C947">
        <v>80</v>
      </c>
      <c r="D947">
        <v>3.195228099822998</v>
      </c>
      <c r="E947" t="s">
        <v>10</v>
      </c>
      <c r="F947" t="s">
        <v>27</v>
      </c>
      <c r="G947">
        <v>5</v>
      </c>
    </row>
    <row r="948" spans="1:7" x14ac:dyDescent="0.25">
      <c r="A948" t="s">
        <v>5</v>
      </c>
      <c r="B948">
        <v>946</v>
      </c>
      <c r="C948">
        <v>100</v>
      </c>
      <c r="D948">
        <v>6.9709899425506592</v>
      </c>
      <c r="E948" t="s">
        <v>10</v>
      </c>
      <c r="F948" t="s">
        <v>27</v>
      </c>
      <c r="G948">
        <v>5</v>
      </c>
    </row>
    <row r="949" spans="1:7" x14ac:dyDescent="0.25">
      <c r="A949" t="s">
        <v>5</v>
      </c>
      <c r="B949">
        <v>947</v>
      </c>
      <c r="C949">
        <v>69</v>
      </c>
      <c r="D949">
        <v>9.6901392936706543</v>
      </c>
      <c r="E949" t="s">
        <v>10</v>
      </c>
      <c r="F949" t="s">
        <v>28</v>
      </c>
      <c r="G949">
        <v>4.5999999999999996</v>
      </c>
    </row>
    <row r="950" spans="1:7" x14ac:dyDescent="0.25">
      <c r="A950" t="s">
        <v>5</v>
      </c>
      <c r="B950">
        <v>948</v>
      </c>
      <c r="C950">
        <v>47</v>
      </c>
      <c r="D950">
        <v>4.3800406455993652</v>
      </c>
      <c r="E950" t="s">
        <v>10</v>
      </c>
      <c r="F950" t="s">
        <v>28</v>
      </c>
      <c r="G950">
        <v>4.5999999999999996</v>
      </c>
    </row>
    <row r="951" spans="1:7" x14ac:dyDescent="0.25">
      <c r="A951" t="s">
        <v>5</v>
      </c>
      <c r="B951">
        <v>949</v>
      </c>
      <c r="C951">
        <v>85</v>
      </c>
      <c r="D951">
        <v>10.735866546630859</v>
      </c>
      <c r="E951" t="s">
        <v>10</v>
      </c>
      <c r="F951" t="s">
        <v>28</v>
      </c>
      <c r="G951">
        <v>4.5999999999999996</v>
      </c>
    </row>
    <row r="952" spans="1:7" x14ac:dyDescent="0.25">
      <c r="A952" t="s">
        <v>5</v>
      </c>
      <c r="B952">
        <v>950</v>
      </c>
      <c r="C952">
        <v>100</v>
      </c>
      <c r="D952">
        <v>3.608104944229126</v>
      </c>
      <c r="E952" t="s">
        <v>10</v>
      </c>
      <c r="F952" t="s">
        <v>39</v>
      </c>
      <c r="G952">
        <v>6.8</v>
      </c>
    </row>
    <row r="953" spans="1:7" x14ac:dyDescent="0.25">
      <c r="A953" t="s">
        <v>5</v>
      </c>
      <c r="B953">
        <v>951</v>
      </c>
      <c r="C953">
        <v>82</v>
      </c>
      <c r="D953">
        <v>11.881494045257568</v>
      </c>
      <c r="E953" t="s">
        <v>10</v>
      </c>
      <c r="F953" t="s">
        <v>40</v>
      </c>
      <c r="G953">
        <v>7.5</v>
      </c>
    </row>
    <row r="954" spans="1:7" x14ac:dyDescent="0.25">
      <c r="A954" t="s">
        <v>5</v>
      </c>
      <c r="B954">
        <v>952</v>
      </c>
      <c r="C954">
        <v>80</v>
      </c>
      <c r="D954">
        <v>7.2273781299591064</v>
      </c>
      <c r="E954" t="s">
        <v>10</v>
      </c>
      <c r="F954" t="s">
        <v>13</v>
      </c>
      <c r="G954">
        <v>6.8</v>
      </c>
    </row>
    <row r="955" spans="1:7" x14ac:dyDescent="0.25">
      <c r="A955" t="s">
        <v>5</v>
      </c>
      <c r="B955">
        <v>953</v>
      </c>
      <c r="C955">
        <v>70</v>
      </c>
      <c r="D955">
        <v>4.458397388458252</v>
      </c>
      <c r="E955" t="s">
        <v>10</v>
      </c>
      <c r="F955" t="s">
        <v>13</v>
      </c>
      <c r="G955">
        <v>6.8</v>
      </c>
    </row>
    <row r="956" spans="1:7" x14ac:dyDescent="0.25">
      <c r="A956" t="s">
        <v>5</v>
      </c>
      <c r="B956">
        <v>954</v>
      </c>
      <c r="C956">
        <v>90</v>
      </c>
      <c r="D956">
        <v>5.0076932907104492</v>
      </c>
      <c r="E956" t="s">
        <v>10</v>
      </c>
      <c r="F956" t="s">
        <v>13</v>
      </c>
      <c r="G956">
        <v>6.8</v>
      </c>
    </row>
    <row r="957" spans="1:7" x14ac:dyDescent="0.25">
      <c r="A957" t="s">
        <v>5</v>
      </c>
      <c r="B957">
        <v>955</v>
      </c>
      <c r="C957">
        <v>20</v>
      </c>
      <c r="D957">
        <v>3.2455689907073975</v>
      </c>
      <c r="E957" t="s">
        <v>10</v>
      </c>
      <c r="F957" t="s">
        <v>13</v>
      </c>
      <c r="G957">
        <v>6.8</v>
      </c>
    </row>
    <row r="958" spans="1:7" x14ac:dyDescent="0.25">
      <c r="A958" t="s">
        <v>5</v>
      </c>
      <c r="B958">
        <v>956</v>
      </c>
      <c r="C958">
        <v>60</v>
      </c>
      <c r="D958">
        <v>5.48561692237854</v>
      </c>
      <c r="E958" t="s">
        <v>10</v>
      </c>
      <c r="F958" t="s">
        <v>13</v>
      </c>
      <c r="G958">
        <v>6.8</v>
      </c>
    </row>
    <row r="959" spans="1:7" x14ac:dyDescent="0.25">
      <c r="A959" t="s">
        <v>5</v>
      </c>
      <c r="B959">
        <v>957</v>
      </c>
      <c r="C959">
        <v>40</v>
      </c>
      <c r="D959">
        <v>8.6748898029327393</v>
      </c>
      <c r="E959" t="s">
        <v>10</v>
      </c>
      <c r="F959" t="s">
        <v>41</v>
      </c>
      <c r="G959">
        <v>5</v>
      </c>
    </row>
    <row r="960" spans="1:7" x14ac:dyDescent="0.25">
      <c r="A960" t="s">
        <v>5</v>
      </c>
      <c r="B960">
        <v>958</v>
      </c>
      <c r="C960">
        <v>16</v>
      </c>
      <c r="D960">
        <v>3.1962170600891113</v>
      </c>
      <c r="E960" t="s">
        <v>10</v>
      </c>
      <c r="F960" t="s">
        <v>40</v>
      </c>
      <c r="G960">
        <v>7.5</v>
      </c>
    </row>
    <row r="961" spans="1:7" x14ac:dyDescent="0.25">
      <c r="A961" t="s">
        <v>5</v>
      </c>
      <c r="B961">
        <v>959</v>
      </c>
      <c r="C961">
        <v>100</v>
      </c>
      <c r="D961">
        <v>4.7676622867584229</v>
      </c>
      <c r="E961" t="s">
        <v>10</v>
      </c>
      <c r="F961" t="s">
        <v>40</v>
      </c>
      <c r="G961">
        <v>7.5</v>
      </c>
    </row>
    <row r="962" spans="1:7" x14ac:dyDescent="0.25">
      <c r="A962" t="s">
        <v>5</v>
      </c>
      <c r="B962">
        <v>960</v>
      </c>
      <c r="C962">
        <v>100</v>
      </c>
      <c r="D962">
        <v>15.210220575332642</v>
      </c>
      <c r="E962" t="s">
        <v>10</v>
      </c>
      <c r="F962" t="s">
        <v>41</v>
      </c>
      <c r="G962">
        <v>4.3</v>
      </c>
    </row>
    <row r="963" spans="1:7" x14ac:dyDescent="0.25">
      <c r="A963" t="s">
        <v>5</v>
      </c>
      <c r="B963">
        <v>961</v>
      </c>
      <c r="C963">
        <v>100</v>
      </c>
      <c r="D963">
        <v>7.8722159862518311</v>
      </c>
      <c r="E963" t="s">
        <v>10</v>
      </c>
      <c r="F963" t="s">
        <v>13</v>
      </c>
      <c r="G963">
        <v>5.8</v>
      </c>
    </row>
    <row r="964" spans="1:7" x14ac:dyDescent="0.25">
      <c r="A964" t="s">
        <v>5</v>
      </c>
      <c r="B964">
        <v>962</v>
      </c>
      <c r="C964">
        <v>100</v>
      </c>
      <c r="D964">
        <v>7.3420743942260742</v>
      </c>
      <c r="E964" t="s">
        <v>10</v>
      </c>
      <c r="F964" t="s">
        <v>13</v>
      </c>
      <c r="G964">
        <v>5.8</v>
      </c>
    </row>
    <row r="965" spans="1:7" x14ac:dyDescent="0.25">
      <c r="A965" t="s">
        <v>5</v>
      </c>
      <c r="B965">
        <v>963</v>
      </c>
      <c r="C965">
        <v>100</v>
      </c>
      <c r="D965">
        <v>6.9305453300476074</v>
      </c>
      <c r="E965" t="s">
        <v>10</v>
      </c>
      <c r="F965" t="s">
        <v>42</v>
      </c>
      <c r="G965">
        <v>7.5</v>
      </c>
    </row>
    <row r="966" spans="1:7" x14ac:dyDescent="0.25">
      <c r="A966" t="s">
        <v>5</v>
      </c>
      <c r="B966">
        <v>964</v>
      </c>
      <c r="C966">
        <v>89</v>
      </c>
      <c r="D966">
        <v>16.286184787750244</v>
      </c>
      <c r="E966" t="s">
        <v>10</v>
      </c>
      <c r="F966" t="s">
        <v>41</v>
      </c>
      <c r="G966">
        <v>4.9000000000000004</v>
      </c>
    </row>
    <row r="967" spans="1:7" x14ac:dyDescent="0.25">
      <c r="A967" t="s">
        <v>5</v>
      </c>
      <c r="B967">
        <v>965</v>
      </c>
      <c r="C967">
        <v>17</v>
      </c>
      <c r="D967">
        <v>6.2493553161621094</v>
      </c>
      <c r="E967" t="s">
        <v>10</v>
      </c>
      <c r="F967" t="s">
        <v>41</v>
      </c>
      <c r="G967">
        <v>4</v>
      </c>
    </row>
    <row r="968" spans="1:7" x14ac:dyDescent="0.25">
      <c r="A968" t="s">
        <v>5</v>
      </c>
      <c r="B968">
        <v>966</v>
      </c>
      <c r="C968">
        <v>100</v>
      </c>
      <c r="D968">
        <v>4.1200046539306641</v>
      </c>
      <c r="E968" t="s">
        <v>10</v>
      </c>
      <c r="F968" t="s">
        <v>41</v>
      </c>
      <c r="G968">
        <v>4.7</v>
      </c>
    </row>
    <row r="969" spans="1:7" x14ac:dyDescent="0.25">
      <c r="A969" t="s">
        <v>5</v>
      </c>
      <c r="B969">
        <v>967</v>
      </c>
      <c r="C969">
        <v>60</v>
      </c>
      <c r="D969">
        <v>3.9351449012756348</v>
      </c>
      <c r="E969" t="s">
        <v>10</v>
      </c>
      <c r="F969" t="s">
        <v>43</v>
      </c>
      <c r="G969">
        <v>1.9</v>
      </c>
    </row>
    <row r="970" spans="1:7" x14ac:dyDescent="0.25">
      <c r="A970" t="s">
        <v>5</v>
      </c>
      <c r="B970">
        <v>968</v>
      </c>
      <c r="C970">
        <v>100</v>
      </c>
      <c r="D970">
        <v>10.585722208023071</v>
      </c>
      <c r="E970" t="s">
        <v>10</v>
      </c>
      <c r="F970" t="s">
        <v>43</v>
      </c>
      <c r="G970">
        <v>1.9</v>
      </c>
    </row>
    <row r="971" spans="1:7" x14ac:dyDescent="0.25">
      <c r="A971" t="s">
        <v>5</v>
      </c>
      <c r="B971">
        <v>969</v>
      </c>
      <c r="C971">
        <v>90</v>
      </c>
      <c r="D971">
        <v>5.2961077690124512</v>
      </c>
      <c r="E971" t="s">
        <v>10</v>
      </c>
      <c r="F971" t="s">
        <v>43</v>
      </c>
      <c r="G971">
        <v>1.9</v>
      </c>
    </row>
    <row r="972" spans="1:7" x14ac:dyDescent="0.25">
      <c r="A972" t="s">
        <v>5</v>
      </c>
      <c r="B972">
        <v>970</v>
      </c>
      <c r="C972">
        <v>100</v>
      </c>
      <c r="D972">
        <v>6.8400557041168213</v>
      </c>
      <c r="E972" t="s">
        <v>10</v>
      </c>
      <c r="F972" t="s">
        <v>43</v>
      </c>
      <c r="G972">
        <v>1.9</v>
      </c>
    </row>
    <row r="973" spans="1:7" x14ac:dyDescent="0.25">
      <c r="A973" t="s">
        <v>5</v>
      </c>
      <c r="B973">
        <v>971</v>
      </c>
      <c r="C973">
        <v>15</v>
      </c>
      <c r="D973">
        <v>4.5805294513702393</v>
      </c>
      <c r="E973" t="s">
        <v>10</v>
      </c>
      <c r="F973" t="s">
        <v>43</v>
      </c>
      <c r="G973">
        <v>1.9</v>
      </c>
    </row>
    <row r="974" spans="1:7" x14ac:dyDescent="0.25">
      <c r="A974" t="s">
        <v>5</v>
      </c>
      <c r="B974">
        <v>972</v>
      </c>
      <c r="C974">
        <v>14</v>
      </c>
      <c r="D974">
        <v>3.0017201900482178</v>
      </c>
      <c r="E974" t="s">
        <v>10</v>
      </c>
      <c r="F974" t="s">
        <v>44</v>
      </c>
      <c r="G974">
        <v>6.6</v>
      </c>
    </row>
    <row r="975" spans="1:7" x14ac:dyDescent="0.25">
      <c r="A975" t="s">
        <v>5</v>
      </c>
      <c r="B975">
        <v>973</v>
      </c>
      <c r="C975">
        <v>10</v>
      </c>
      <c r="D975">
        <v>3.070927619934082</v>
      </c>
      <c r="E975" t="s">
        <v>10</v>
      </c>
      <c r="F975" t="s">
        <v>44</v>
      </c>
      <c r="G975">
        <v>6.6</v>
      </c>
    </row>
    <row r="976" spans="1:7" x14ac:dyDescent="0.25">
      <c r="A976" t="s">
        <v>5</v>
      </c>
      <c r="B976">
        <v>974</v>
      </c>
      <c r="C976">
        <v>30</v>
      </c>
      <c r="D976">
        <v>2.6525330543518066</v>
      </c>
      <c r="E976" t="s">
        <v>10</v>
      </c>
      <c r="F976" t="s">
        <v>45</v>
      </c>
      <c r="G976">
        <v>5</v>
      </c>
    </row>
    <row r="977" spans="1:7" x14ac:dyDescent="0.25">
      <c r="A977" t="s">
        <v>5</v>
      </c>
      <c r="B977">
        <v>975</v>
      </c>
      <c r="C977">
        <v>70</v>
      </c>
      <c r="D977">
        <v>12.408303022384644</v>
      </c>
      <c r="E977" t="s">
        <v>10</v>
      </c>
      <c r="F977" t="s">
        <v>45</v>
      </c>
      <c r="G977">
        <v>5</v>
      </c>
    </row>
    <row r="978" spans="1:7" x14ac:dyDescent="0.25">
      <c r="A978" t="s">
        <v>5</v>
      </c>
      <c r="B978">
        <v>976</v>
      </c>
      <c r="C978">
        <v>100</v>
      </c>
      <c r="D978">
        <v>6.2693803310394287</v>
      </c>
      <c r="E978" t="s">
        <v>10</v>
      </c>
      <c r="F978" t="s">
        <v>41</v>
      </c>
      <c r="G978">
        <v>5.4</v>
      </c>
    </row>
    <row r="979" spans="1:7" x14ac:dyDescent="0.25">
      <c r="A979" t="s">
        <v>5</v>
      </c>
      <c r="B979">
        <v>977</v>
      </c>
      <c r="C979">
        <v>21</v>
      </c>
      <c r="D979">
        <v>4.7208514213562012</v>
      </c>
      <c r="E979" t="s">
        <v>10</v>
      </c>
      <c r="F979" t="s">
        <v>41</v>
      </c>
      <c r="G979">
        <v>5.4</v>
      </c>
    </row>
    <row r="980" spans="1:7" x14ac:dyDescent="0.25">
      <c r="A980" t="s">
        <v>5</v>
      </c>
      <c r="B980">
        <v>978</v>
      </c>
      <c r="C980">
        <v>5</v>
      </c>
      <c r="D980">
        <v>11.21796989440918</v>
      </c>
      <c r="E980" t="s">
        <v>10</v>
      </c>
      <c r="F980" t="s">
        <v>41</v>
      </c>
      <c r="G980">
        <v>5.4</v>
      </c>
    </row>
    <row r="981" spans="1:7" x14ac:dyDescent="0.25">
      <c r="A981" t="s">
        <v>5</v>
      </c>
      <c r="B981">
        <v>979</v>
      </c>
      <c r="C981">
        <v>37</v>
      </c>
      <c r="D981">
        <v>4.5844557285308838</v>
      </c>
      <c r="E981" t="s">
        <v>10</v>
      </c>
      <c r="F981" t="s">
        <v>41</v>
      </c>
      <c r="G981">
        <v>5.4</v>
      </c>
    </row>
    <row r="982" spans="1:7" x14ac:dyDescent="0.25">
      <c r="A982" t="s">
        <v>5</v>
      </c>
      <c r="B982">
        <v>980</v>
      </c>
      <c r="C982">
        <v>100</v>
      </c>
      <c r="D982">
        <v>4.6415495872497559</v>
      </c>
      <c r="E982" t="s">
        <v>10</v>
      </c>
      <c r="F982" t="s">
        <v>41</v>
      </c>
      <c r="G982">
        <v>5.4</v>
      </c>
    </row>
    <row r="983" spans="1:7" x14ac:dyDescent="0.25">
      <c r="A983" t="s">
        <v>5</v>
      </c>
      <c r="B983">
        <v>981</v>
      </c>
      <c r="C983">
        <v>100</v>
      </c>
      <c r="D983">
        <v>3.7275981903076172</v>
      </c>
      <c r="E983" t="s">
        <v>10</v>
      </c>
      <c r="F983" t="s">
        <v>41</v>
      </c>
      <c r="G983">
        <v>5.4</v>
      </c>
    </row>
    <row r="984" spans="1:7" x14ac:dyDescent="0.25">
      <c r="A984" t="s">
        <v>5</v>
      </c>
      <c r="B984">
        <v>982</v>
      </c>
      <c r="C984">
        <v>10</v>
      </c>
      <c r="D984">
        <v>5.6262874603271484</v>
      </c>
      <c r="E984" t="s">
        <v>10</v>
      </c>
      <c r="F984" t="s">
        <v>41</v>
      </c>
      <c r="G984">
        <v>5.4</v>
      </c>
    </row>
    <row r="985" spans="1:7" x14ac:dyDescent="0.25">
      <c r="A985" t="s">
        <v>5</v>
      </c>
      <c r="B985">
        <v>983</v>
      </c>
      <c r="C985">
        <v>21</v>
      </c>
      <c r="D985">
        <v>2.8416016101837158</v>
      </c>
      <c r="E985" t="s">
        <v>10</v>
      </c>
      <c r="F985" t="s">
        <v>41</v>
      </c>
      <c r="G985">
        <v>5.4</v>
      </c>
    </row>
    <row r="986" spans="1:7" x14ac:dyDescent="0.25">
      <c r="A986" t="s">
        <v>5</v>
      </c>
      <c r="B986">
        <v>984</v>
      </c>
      <c r="C986">
        <v>100</v>
      </c>
      <c r="D986">
        <v>5.2411353588104248</v>
      </c>
      <c r="E986" t="s">
        <v>10</v>
      </c>
      <c r="F986" t="s">
        <v>41</v>
      </c>
      <c r="G986">
        <v>5.4</v>
      </c>
    </row>
    <row r="987" spans="1:7" x14ac:dyDescent="0.25">
      <c r="A987" t="s">
        <v>5</v>
      </c>
      <c r="B987">
        <v>985</v>
      </c>
      <c r="C987">
        <v>37</v>
      </c>
      <c r="D987">
        <v>3.3366935253143311</v>
      </c>
      <c r="E987" t="s">
        <v>10</v>
      </c>
      <c r="F987" t="s">
        <v>41</v>
      </c>
      <c r="G987">
        <v>5.4</v>
      </c>
    </row>
    <row r="988" spans="1:7" x14ac:dyDescent="0.25">
      <c r="A988" t="s">
        <v>5</v>
      </c>
      <c r="B988">
        <v>986</v>
      </c>
      <c r="C988">
        <v>20</v>
      </c>
      <c r="D988">
        <v>2.8935816287994385</v>
      </c>
      <c r="E988" t="s">
        <v>10</v>
      </c>
      <c r="F988" t="s">
        <v>41</v>
      </c>
      <c r="G988">
        <v>5.4</v>
      </c>
    </row>
    <row r="989" spans="1:7" x14ac:dyDescent="0.25">
      <c r="A989" t="s">
        <v>5</v>
      </c>
      <c r="B989">
        <v>987</v>
      </c>
      <c r="C989">
        <v>100</v>
      </c>
      <c r="D989">
        <v>6.2134971618652344</v>
      </c>
      <c r="E989" t="s">
        <v>10</v>
      </c>
      <c r="F989" t="s">
        <v>41</v>
      </c>
      <c r="G989">
        <v>5.4</v>
      </c>
    </row>
    <row r="990" spans="1:7" x14ac:dyDescent="0.25">
      <c r="A990" t="s">
        <v>5</v>
      </c>
      <c r="B990">
        <v>988</v>
      </c>
      <c r="C990">
        <v>30</v>
      </c>
      <c r="D990">
        <v>4.8202617168426514</v>
      </c>
      <c r="E990" t="s">
        <v>10</v>
      </c>
      <c r="F990" t="s">
        <v>41</v>
      </c>
      <c r="G990">
        <v>5.4</v>
      </c>
    </row>
    <row r="991" spans="1:7" x14ac:dyDescent="0.25">
      <c r="A991" t="s">
        <v>5</v>
      </c>
      <c r="B991">
        <v>989</v>
      </c>
      <c r="C991">
        <v>16</v>
      </c>
      <c r="D991">
        <v>7.1452479362487793</v>
      </c>
      <c r="E991" t="s">
        <v>10</v>
      </c>
      <c r="F991" t="s">
        <v>41</v>
      </c>
      <c r="G991">
        <v>5.4</v>
      </c>
    </row>
    <row r="992" spans="1:7" x14ac:dyDescent="0.25">
      <c r="A992" t="s">
        <v>5</v>
      </c>
      <c r="B992">
        <v>990</v>
      </c>
      <c r="C992">
        <v>100</v>
      </c>
      <c r="D992">
        <v>7.7954461574554443</v>
      </c>
      <c r="E992" t="s">
        <v>10</v>
      </c>
      <c r="F992" t="s">
        <v>41</v>
      </c>
      <c r="G992">
        <v>5.4</v>
      </c>
    </row>
    <row r="993" spans="1:7" x14ac:dyDescent="0.25">
      <c r="A993" t="s">
        <v>5</v>
      </c>
      <c r="B993">
        <v>991</v>
      </c>
      <c r="C993">
        <v>14</v>
      </c>
      <c r="D993">
        <v>4.2001471519470215</v>
      </c>
      <c r="E993" t="s">
        <v>10</v>
      </c>
      <c r="F993" t="s">
        <v>41</v>
      </c>
      <c r="G993">
        <v>5.4</v>
      </c>
    </row>
    <row r="994" spans="1:7" x14ac:dyDescent="0.25">
      <c r="A994" t="s">
        <v>5</v>
      </c>
      <c r="B994">
        <v>992</v>
      </c>
      <c r="C994">
        <v>80</v>
      </c>
      <c r="D994">
        <v>5.4298117160797119</v>
      </c>
      <c r="E994" t="s">
        <v>10</v>
      </c>
      <c r="F994" t="s">
        <v>41</v>
      </c>
      <c r="G994">
        <v>5.4</v>
      </c>
    </row>
    <row r="995" spans="1:7" x14ac:dyDescent="0.25">
      <c r="A995" t="s">
        <v>5</v>
      </c>
      <c r="B995">
        <v>993</v>
      </c>
      <c r="C995">
        <v>100</v>
      </c>
      <c r="D995">
        <v>9.8001091480255127</v>
      </c>
      <c r="E995" t="s">
        <v>10</v>
      </c>
      <c r="F995" t="s">
        <v>41</v>
      </c>
      <c r="G995">
        <v>5.4</v>
      </c>
    </row>
    <row r="996" spans="1:7" x14ac:dyDescent="0.25">
      <c r="A996" t="s">
        <v>5</v>
      </c>
      <c r="B996">
        <v>994</v>
      </c>
      <c r="C996">
        <v>30</v>
      </c>
      <c r="D996">
        <v>3.4120755195617676</v>
      </c>
      <c r="E996" t="s">
        <v>10</v>
      </c>
      <c r="F996" t="s">
        <v>41</v>
      </c>
      <c r="G996">
        <v>5.4</v>
      </c>
    </row>
    <row r="997" spans="1:7" x14ac:dyDescent="0.25">
      <c r="A997" t="s">
        <v>5</v>
      </c>
      <c r="B997">
        <v>995</v>
      </c>
      <c r="C997">
        <v>70</v>
      </c>
      <c r="D997">
        <v>2.6375753879547119</v>
      </c>
      <c r="E997" t="s">
        <v>10</v>
      </c>
      <c r="F997" t="s">
        <v>41</v>
      </c>
      <c r="G997">
        <v>5.4</v>
      </c>
    </row>
    <row r="998" spans="1:7" x14ac:dyDescent="0.25">
      <c r="A998" t="s">
        <v>5</v>
      </c>
      <c r="B998">
        <v>996</v>
      </c>
      <c r="C998">
        <v>21</v>
      </c>
      <c r="D998">
        <v>2.9935593605041504</v>
      </c>
      <c r="E998" t="s">
        <v>10</v>
      </c>
      <c r="F998" t="s">
        <v>41</v>
      </c>
      <c r="G998">
        <v>5.4</v>
      </c>
    </row>
    <row r="999" spans="1:7" x14ac:dyDescent="0.25">
      <c r="A999" t="s">
        <v>5</v>
      </c>
      <c r="B999">
        <v>997</v>
      </c>
      <c r="C999">
        <v>20</v>
      </c>
      <c r="D999">
        <v>3.0586996078491211</v>
      </c>
      <c r="E999" t="s">
        <v>10</v>
      </c>
      <c r="F999" t="s">
        <v>41</v>
      </c>
      <c r="G999">
        <v>5.4</v>
      </c>
    </row>
    <row r="1000" spans="1:7" x14ac:dyDescent="0.25">
      <c r="A1000" t="s">
        <v>5</v>
      </c>
      <c r="B1000">
        <v>998</v>
      </c>
      <c r="C1000">
        <v>37</v>
      </c>
      <c r="D1000">
        <v>4.360264778137207</v>
      </c>
      <c r="E1000" t="s">
        <v>10</v>
      </c>
      <c r="F1000" t="s">
        <v>41</v>
      </c>
      <c r="G1000">
        <v>5.4</v>
      </c>
    </row>
    <row r="1001" spans="1:7" x14ac:dyDescent="0.25">
      <c r="A1001" t="s">
        <v>5</v>
      </c>
      <c r="B1001">
        <v>999</v>
      </c>
      <c r="C1001">
        <v>25</v>
      </c>
      <c r="D1001">
        <v>7.2837133407592773</v>
      </c>
      <c r="E1001" t="s">
        <v>10</v>
      </c>
      <c r="F1001" t="s">
        <v>41</v>
      </c>
      <c r="G1001">
        <v>5.4</v>
      </c>
    </row>
    <row r="1002" spans="1:7" x14ac:dyDescent="0.25">
      <c r="A1002" t="s">
        <v>5</v>
      </c>
      <c r="B1002">
        <v>1000</v>
      </c>
      <c r="C1002">
        <v>10</v>
      </c>
      <c r="D1002">
        <v>6.1618640422821045</v>
      </c>
      <c r="E1002" t="s">
        <v>10</v>
      </c>
      <c r="F1002" t="s">
        <v>41</v>
      </c>
      <c r="G1002">
        <v>5.4</v>
      </c>
    </row>
    <row r="1003" spans="1:7" x14ac:dyDescent="0.25">
      <c r="A1003" t="s">
        <v>5</v>
      </c>
      <c r="B1003">
        <v>1001</v>
      </c>
      <c r="C1003">
        <v>70</v>
      </c>
      <c r="D1003">
        <v>4.8940193653106689</v>
      </c>
      <c r="E1003" t="s">
        <v>10</v>
      </c>
      <c r="F1003" t="s">
        <v>41</v>
      </c>
      <c r="G1003">
        <v>5.4</v>
      </c>
    </row>
    <row r="1004" spans="1:7" x14ac:dyDescent="0.25">
      <c r="A1004" t="s">
        <v>5</v>
      </c>
      <c r="B1004">
        <v>1002</v>
      </c>
      <c r="C1004">
        <v>18</v>
      </c>
      <c r="D1004">
        <v>14.42985987663269</v>
      </c>
      <c r="E1004" t="s">
        <v>10</v>
      </c>
      <c r="F1004" t="s">
        <v>41</v>
      </c>
      <c r="G1004">
        <v>5.4</v>
      </c>
    </row>
    <row r="1005" spans="1:7" x14ac:dyDescent="0.25">
      <c r="A1005" t="s">
        <v>5</v>
      </c>
      <c r="B1005">
        <v>1003</v>
      </c>
      <c r="C1005">
        <v>86</v>
      </c>
      <c r="D1005">
        <v>10.957008838653564</v>
      </c>
      <c r="E1005" t="s">
        <v>10</v>
      </c>
      <c r="F1005" t="s">
        <v>41</v>
      </c>
      <c r="G1005">
        <v>5.4</v>
      </c>
    </row>
    <row r="1006" spans="1:7" x14ac:dyDescent="0.25">
      <c r="A1006" t="s">
        <v>5</v>
      </c>
      <c r="B1006">
        <v>1004</v>
      </c>
      <c r="C1006">
        <v>16</v>
      </c>
      <c r="D1006">
        <v>8.8474428653717041</v>
      </c>
      <c r="E1006" t="s">
        <v>10</v>
      </c>
      <c r="F1006" t="s">
        <v>41</v>
      </c>
      <c r="G1006">
        <v>5.4</v>
      </c>
    </row>
    <row r="1007" spans="1:7" x14ac:dyDescent="0.25">
      <c r="A1007" t="s">
        <v>5</v>
      </c>
      <c r="B1007">
        <v>1005</v>
      </c>
      <c r="C1007">
        <v>100</v>
      </c>
      <c r="D1007">
        <v>10.503350973129272</v>
      </c>
      <c r="E1007" t="s">
        <v>10</v>
      </c>
      <c r="F1007" t="s">
        <v>41</v>
      </c>
      <c r="G1007">
        <v>5.4</v>
      </c>
    </row>
    <row r="1008" spans="1:7" x14ac:dyDescent="0.25">
      <c r="A1008" t="s">
        <v>5</v>
      </c>
      <c r="B1008">
        <v>1006</v>
      </c>
      <c r="C1008">
        <v>100</v>
      </c>
      <c r="D1008">
        <v>10.689599752426147</v>
      </c>
      <c r="E1008" t="s">
        <v>10</v>
      </c>
      <c r="F1008" t="s">
        <v>41</v>
      </c>
      <c r="G1008">
        <v>5.4</v>
      </c>
    </row>
    <row r="1009" spans="1:7" x14ac:dyDescent="0.25">
      <c r="A1009" t="s">
        <v>5</v>
      </c>
      <c r="B1009">
        <v>1007</v>
      </c>
      <c r="C1009">
        <v>30</v>
      </c>
      <c r="D1009">
        <v>3.6684458255767822</v>
      </c>
      <c r="E1009" t="s">
        <v>10</v>
      </c>
      <c r="F1009" t="s">
        <v>41</v>
      </c>
      <c r="G1009">
        <v>5.4</v>
      </c>
    </row>
    <row r="1010" spans="1:7" x14ac:dyDescent="0.25">
      <c r="A1010" t="s">
        <v>5</v>
      </c>
      <c r="B1010">
        <v>1008</v>
      </c>
      <c r="C1010">
        <v>70</v>
      </c>
      <c r="D1010">
        <v>7.9630098342895508</v>
      </c>
      <c r="E1010" t="s">
        <v>10</v>
      </c>
      <c r="F1010" t="s">
        <v>41</v>
      </c>
      <c r="G1010">
        <v>5.4</v>
      </c>
    </row>
    <row r="1011" spans="1:7" x14ac:dyDescent="0.25">
      <c r="A1011" t="s">
        <v>5</v>
      </c>
      <c r="B1011">
        <v>1009</v>
      </c>
      <c r="C1011">
        <v>27</v>
      </c>
      <c r="D1011">
        <v>13.81609058380127</v>
      </c>
      <c r="E1011" t="s">
        <v>10</v>
      </c>
      <c r="F1011" t="s">
        <v>41</v>
      </c>
      <c r="G1011">
        <v>5.4</v>
      </c>
    </row>
    <row r="1012" spans="1:7" x14ac:dyDescent="0.25">
      <c r="A1012" t="s">
        <v>5</v>
      </c>
      <c r="B1012">
        <v>1010</v>
      </c>
      <c r="C1012">
        <v>70</v>
      </c>
      <c r="D1012">
        <v>13.521185159683228</v>
      </c>
      <c r="E1012" t="s">
        <v>10</v>
      </c>
      <c r="F1012" t="s">
        <v>41</v>
      </c>
      <c r="G1012">
        <v>5.4</v>
      </c>
    </row>
    <row r="1013" spans="1:7" x14ac:dyDescent="0.25">
      <c r="A1013" t="s">
        <v>5</v>
      </c>
      <c r="B1013">
        <v>1011</v>
      </c>
      <c r="C1013">
        <v>90</v>
      </c>
      <c r="D1013">
        <v>8.1875236034393311</v>
      </c>
      <c r="E1013" t="s">
        <v>10</v>
      </c>
      <c r="F1013" t="s">
        <v>41</v>
      </c>
      <c r="G1013">
        <v>5.4</v>
      </c>
    </row>
    <row r="1014" spans="1:7" x14ac:dyDescent="0.25">
      <c r="A1014" t="s">
        <v>5</v>
      </c>
      <c r="B1014">
        <v>1012</v>
      </c>
      <c r="C1014">
        <v>100</v>
      </c>
      <c r="D1014">
        <v>7.0534899234771729</v>
      </c>
      <c r="E1014" t="s">
        <v>10</v>
      </c>
      <c r="F1014" t="s">
        <v>13</v>
      </c>
      <c r="G1014">
        <v>5.8</v>
      </c>
    </row>
    <row r="1015" spans="1:7" x14ac:dyDescent="0.25">
      <c r="A1015" t="s">
        <v>5</v>
      </c>
      <c r="B1015">
        <v>1013</v>
      </c>
      <c r="C1015">
        <v>85</v>
      </c>
      <c r="D1015">
        <v>8.8315389156341553</v>
      </c>
      <c r="E1015" t="s">
        <v>10</v>
      </c>
      <c r="F1015" t="s">
        <v>13</v>
      </c>
      <c r="G1015">
        <v>5.8</v>
      </c>
    </row>
    <row r="1016" spans="1:7" x14ac:dyDescent="0.25">
      <c r="A1016" t="s">
        <v>5</v>
      </c>
      <c r="B1016">
        <v>1014</v>
      </c>
      <c r="C1016">
        <v>10</v>
      </c>
      <c r="D1016">
        <v>6.9952676296234131</v>
      </c>
      <c r="E1016" t="s">
        <v>10</v>
      </c>
      <c r="F1016" t="s">
        <v>13</v>
      </c>
      <c r="G1016">
        <v>1.9</v>
      </c>
    </row>
    <row r="1017" spans="1:7" x14ac:dyDescent="0.25">
      <c r="A1017" t="s">
        <v>5</v>
      </c>
      <c r="B1017">
        <v>1015</v>
      </c>
      <c r="C1017">
        <v>100</v>
      </c>
      <c r="D1017">
        <v>10.58455753326416</v>
      </c>
      <c r="E1017" t="s">
        <v>10</v>
      </c>
      <c r="F1017" t="s">
        <v>13</v>
      </c>
      <c r="G1017">
        <v>1.9</v>
      </c>
    </row>
    <row r="1018" spans="1:7" x14ac:dyDescent="0.25">
      <c r="A1018" t="s">
        <v>5</v>
      </c>
      <c r="B1018">
        <v>1016</v>
      </c>
      <c r="C1018">
        <v>100</v>
      </c>
      <c r="D1018">
        <v>7.9365234375</v>
      </c>
      <c r="E1018" t="s">
        <v>10</v>
      </c>
      <c r="F1018" t="s">
        <v>13</v>
      </c>
      <c r="G1018">
        <v>1.9</v>
      </c>
    </row>
    <row r="1019" spans="1:7" x14ac:dyDescent="0.25">
      <c r="A1019" t="s">
        <v>5</v>
      </c>
      <c r="B1019">
        <v>1017</v>
      </c>
      <c r="C1019">
        <v>36</v>
      </c>
      <c r="D1019">
        <v>4.8201847076416016</v>
      </c>
      <c r="E1019" t="s">
        <v>10</v>
      </c>
      <c r="F1019" t="s">
        <v>41</v>
      </c>
      <c r="G1019">
        <v>6.2</v>
      </c>
    </row>
    <row r="1020" spans="1:7" x14ac:dyDescent="0.25">
      <c r="A1020" t="s">
        <v>5</v>
      </c>
      <c r="B1020">
        <v>1018</v>
      </c>
      <c r="C1020">
        <v>15</v>
      </c>
      <c r="D1020">
        <v>3.8030107021331787</v>
      </c>
      <c r="E1020" t="s">
        <v>10</v>
      </c>
      <c r="F1020" t="s">
        <v>44</v>
      </c>
      <c r="G1020">
        <v>5.6</v>
      </c>
    </row>
    <row r="1021" spans="1:7" x14ac:dyDescent="0.25">
      <c r="A1021" t="s">
        <v>5</v>
      </c>
      <c r="B1021">
        <v>1019</v>
      </c>
      <c r="C1021">
        <v>100</v>
      </c>
      <c r="D1021">
        <v>8.7525980472564697</v>
      </c>
      <c r="E1021" t="s">
        <v>10</v>
      </c>
      <c r="F1021" t="s">
        <v>43</v>
      </c>
      <c r="G1021">
        <v>2.1</v>
      </c>
    </row>
    <row r="1022" spans="1:7" x14ac:dyDescent="0.25">
      <c r="A1022" t="s">
        <v>5</v>
      </c>
      <c r="B1022">
        <v>1020</v>
      </c>
      <c r="C1022">
        <v>17</v>
      </c>
      <c r="D1022">
        <v>4.3981776237487793</v>
      </c>
      <c r="E1022" t="s">
        <v>10</v>
      </c>
      <c r="F1022" t="s">
        <v>41</v>
      </c>
      <c r="G1022">
        <v>7.8</v>
      </c>
    </row>
    <row r="1023" spans="1:7" x14ac:dyDescent="0.25">
      <c r="A1023" t="s">
        <v>5</v>
      </c>
      <c r="B1023">
        <v>1021</v>
      </c>
      <c r="C1023">
        <v>100</v>
      </c>
      <c r="D1023">
        <v>5.4621231555938721</v>
      </c>
      <c r="E1023" t="s">
        <v>10</v>
      </c>
      <c r="F1023" t="s">
        <v>41</v>
      </c>
      <c r="G1023">
        <v>7.8</v>
      </c>
    </row>
    <row r="1024" spans="1:7" x14ac:dyDescent="0.25">
      <c r="A1024" t="s">
        <v>5</v>
      </c>
      <c r="B1024">
        <v>1022</v>
      </c>
      <c r="C1024">
        <v>47</v>
      </c>
      <c r="D1024">
        <v>4.133699893951416</v>
      </c>
      <c r="E1024" t="s">
        <v>10</v>
      </c>
      <c r="F1024" t="s">
        <v>41</v>
      </c>
      <c r="G1024">
        <v>7.8</v>
      </c>
    </row>
    <row r="1025" spans="1:7" x14ac:dyDescent="0.25">
      <c r="A1025" t="s">
        <v>5</v>
      </c>
      <c r="B1025">
        <v>1023</v>
      </c>
      <c r="C1025">
        <v>10</v>
      </c>
      <c r="D1025">
        <v>12.831177473068237</v>
      </c>
      <c r="E1025" t="s">
        <v>10</v>
      </c>
      <c r="F1025" t="s">
        <v>46</v>
      </c>
      <c r="G1025">
        <v>7.6</v>
      </c>
    </row>
    <row r="1026" spans="1:7" x14ac:dyDescent="0.25">
      <c r="A1026" t="s">
        <v>5</v>
      </c>
      <c r="B1026">
        <v>1024</v>
      </c>
      <c r="C1026">
        <v>47</v>
      </c>
      <c r="D1026">
        <v>9.1275651454925537</v>
      </c>
      <c r="E1026" t="s">
        <v>10</v>
      </c>
      <c r="F1026" t="s">
        <v>41</v>
      </c>
      <c r="G1026">
        <v>4.9000000000000004</v>
      </c>
    </row>
    <row r="1027" spans="1:7" x14ac:dyDescent="0.25">
      <c r="A1027" t="s">
        <v>5</v>
      </c>
      <c r="B1027">
        <v>1025</v>
      </c>
      <c r="C1027">
        <v>17</v>
      </c>
      <c r="D1027">
        <v>6.4694733619689941</v>
      </c>
      <c r="E1027" t="s">
        <v>10</v>
      </c>
      <c r="F1027" t="s">
        <v>46</v>
      </c>
      <c r="G1027">
        <v>4.7</v>
      </c>
    </row>
    <row r="1028" spans="1:7" x14ac:dyDescent="0.25">
      <c r="A1028" t="s">
        <v>5</v>
      </c>
      <c r="B1028">
        <v>1026</v>
      </c>
      <c r="C1028">
        <v>100</v>
      </c>
      <c r="D1028">
        <v>6.7159535884857178</v>
      </c>
      <c r="E1028" t="s">
        <v>10</v>
      </c>
      <c r="F1028" t="s">
        <v>41</v>
      </c>
      <c r="G1028">
        <v>7.8</v>
      </c>
    </row>
    <row r="1029" spans="1:7" x14ac:dyDescent="0.25">
      <c r="A1029" t="s">
        <v>5</v>
      </c>
      <c r="B1029">
        <v>1027</v>
      </c>
      <c r="C1029">
        <v>21</v>
      </c>
      <c r="D1029">
        <v>11.008074045181274</v>
      </c>
      <c r="E1029" t="s">
        <v>10</v>
      </c>
      <c r="F1029" t="s">
        <v>41</v>
      </c>
      <c r="G1029">
        <v>7.8</v>
      </c>
    </row>
    <row r="1030" spans="1:7" x14ac:dyDescent="0.25">
      <c r="A1030" t="s">
        <v>5</v>
      </c>
      <c r="B1030">
        <v>1028</v>
      </c>
      <c r="C1030">
        <v>70</v>
      </c>
      <c r="D1030">
        <v>4.5173029899597168</v>
      </c>
      <c r="E1030" t="s">
        <v>10</v>
      </c>
      <c r="F1030" t="s">
        <v>47</v>
      </c>
      <c r="G1030">
        <v>5</v>
      </c>
    </row>
    <row r="1031" spans="1:7" x14ac:dyDescent="0.25">
      <c r="A1031" t="s">
        <v>5</v>
      </c>
      <c r="B1031">
        <v>1029</v>
      </c>
      <c r="C1031">
        <v>57</v>
      </c>
      <c r="D1031">
        <v>15.830122232437134</v>
      </c>
      <c r="E1031" t="s">
        <v>10</v>
      </c>
      <c r="F1031" t="s">
        <v>13</v>
      </c>
      <c r="G1031">
        <v>2.1</v>
      </c>
    </row>
    <row r="1032" spans="1:7" x14ac:dyDescent="0.25">
      <c r="A1032" t="s">
        <v>5</v>
      </c>
      <c r="B1032">
        <v>1030</v>
      </c>
      <c r="C1032">
        <v>80</v>
      </c>
      <c r="D1032">
        <v>7.2217938899993896</v>
      </c>
      <c r="E1032" t="s">
        <v>10</v>
      </c>
      <c r="F1032" t="s">
        <v>41</v>
      </c>
      <c r="G1032">
        <v>4.9000000000000004</v>
      </c>
    </row>
    <row r="1033" spans="1:7" x14ac:dyDescent="0.25">
      <c r="A1033" t="s">
        <v>5</v>
      </c>
      <c r="B1033">
        <v>1031</v>
      </c>
      <c r="C1033">
        <v>21</v>
      </c>
      <c r="D1033">
        <v>4.1320047378540039</v>
      </c>
      <c r="E1033" t="s">
        <v>10</v>
      </c>
      <c r="F1033" t="s">
        <v>41</v>
      </c>
      <c r="G1033">
        <v>4.9000000000000004</v>
      </c>
    </row>
    <row r="1034" spans="1:7" x14ac:dyDescent="0.25">
      <c r="A1034" t="s">
        <v>5</v>
      </c>
      <c r="B1034">
        <v>1032</v>
      </c>
      <c r="C1034">
        <v>42</v>
      </c>
      <c r="D1034">
        <v>19.151985883712769</v>
      </c>
      <c r="E1034" t="s">
        <v>10</v>
      </c>
      <c r="F1034" t="s">
        <v>46</v>
      </c>
      <c r="G1034">
        <v>4.9000000000000004</v>
      </c>
    </row>
    <row r="1035" spans="1:7" x14ac:dyDescent="0.25">
      <c r="A1035" t="s">
        <v>5</v>
      </c>
      <c r="B1035">
        <v>1033</v>
      </c>
      <c r="C1035">
        <v>70</v>
      </c>
      <c r="D1035">
        <v>5.7908041477203369</v>
      </c>
      <c r="E1035" t="s">
        <v>10</v>
      </c>
      <c r="F1035" t="s">
        <v>46</v>
      </c>
      <c r="G1035">
        <v>4.9000000000000004</v>
      </c>
    </row>
    <row r="1036" spans="1:7" x14ac:dyDescent="0.25">
      <c r="A1036" t="s">
        <v>5</v>
      </c>
      <c r="B1036">
        <v>1034</v>
      </c>
      <c r="C1036">
        <v>72</v>
      </c>
      <c r="D1036">
        <v>7.3498108386993408</v>
      </c>
      <c r="E1036" t="s">
        <v>10</v>
      </c>
      <c r="F1036" t="s">
        <v>41</v>
      </c>
      <c r="G1036">
        <v>4.5999999999999996</v>
      </c>
    </row>
    <row r="1037" spans="1:7" x14ac:dyDescent="0.25">
      <c r="A1037" t="s">
        <v>5</v>
      </c>
      <c r="B1037">
        <v>1035</v>
      </c>
      <c r="C1037">
        <v>100</v>
      </c>
      <c r="D1037">
        <v>8.1305944919586182</v>
      </c>
      <c r="E1037" t="s">
        <v>10</v>
      </c>
      <c r="F1037" t="s">
        <v>48</v>
      </c>
      <c r="G1037">
        <v>7.2</v>
      </c>
    </row>
    <row r="1038" spans="1:7" x14ac:dyDescent="0.25">
      <c r="A1038" t="s">
        <v>5</v>
      </c>
      <c r="B1038">
        <v>1036</v>
      </c>
      <c r="C1038">
        <v>100</v>
      </c>
      <c r="D1038">
        <v>10.431215763092041</v>
      </c>
      <c r="E1038" t="s">
        <v>10</v>
      </c>
      <c r="F1038" t="s">
        <v>48</v>
      </c>
      <c r="G1038">
        <v>7.2</v>
      </c>
    </row>
    <row r="1039" spans="1:7" x14ac:dyDescent="0.25">
      <c r="A1039" t="s">
        <v>5</v>
      </c>
      <c r="B1039">
        <v>1037</v>
      </c>
      <c r="C1039">
        <v>50</v>
      </c>
      <c r="D1039">
        <v>6.4280850887298584</v>
      </c>
      <c r="E1039" t="s">
        <v>10</v>
      </c>
      <c r="F1039" t="s">
        <v>13</v>
      </c>
      <c r="G1039">
        <v>1.2</v>
      </c>
    </row>
    <row r="1040" spans="1:7" x14ac:dyDescent="0.25">
      <c r="A1040" t="s">
        <v>5</v>
      </c>
      <c r="B1040">
        <v>1038</v>
      </c>
      <c r="C1040">
        <v>92</v>
      </c>
      <c r="D1040">
        <v>6.4776303768157959</v>
      </c>
      <c r="E1040" t="s">
        <v>10</v>
      </c>
      <c r="F1040" t="s">
        <v>49</v>
      </c>
      <c r="G1040">
        <v>7.2</v>
      </c>
    </row>
    <row r="1041" spans="1:7" x14ac:dyDescent="0.25">
      <c r="A1041" t="s">
        <v>5</v>
      </c>
      <c r="B1041">
        <v>1039</v>
      </c>
      <c r="C1041">
        <v>27</v>
      </c>
      <c r="D1041">
        <v>3.6123924255371094</v>
      </c>
      <c r="E1041" t="s">
        <v>10</v>
      </c>
      <c r="F1041" t="s">
        <v>50</v>
      </c>
      <c r="G1041">
        <v>4</v>
      </c>
    </row>
    <row r="1042" spans="1:7" x14ac:dyDescent="0.25">
      <c r="A1042" t="s">
        <v>5</v>
      </c>
      <c r="B1042">
        <v>1040</v>
      </c>
      <c r="C1042">
        <v>20</v>
      </c>
      <c r="D1042">
        <v>3.4309589862823486</v>
      </c>
      <c r="E1042" t="s">
        <v>10</v>
      </c>
      <c r="F1042" t="s">
        <v>50</v>
      </c>
      <c r="G1042">
        <v>4</v>
      </c>
    </row>
    <row r="1043" spans="1:7" x14ac:dyDescent="0.25">
      <c r="A1043" t="s">
        <v>5</v>
      </c>
      <c r="B1043">
        <v>1041</v>
      </c>
      <c r="C1043">
        <v>70</v>
      </c>
      <c r="D1043">
        <v>5.7225906848907471</v>
      </c>
      <c r="E1043" t="s">
        <v>10</v>
      </c>
      <c r="F1043" t="s">
        <v>50</v>
      </c>
      <c r="G1043">
        <v>4</v>
      </c>
    </row>
    <row r="1044" spans="1:7" x14ac:dyDescent="0.25">
      <c r="A1044" t="s">
        <v>5</v>
      </c>
      <c r="B1044">
        <v>1042</v>
      </c>
      <c r="C1044">
        <v>60</v>
      </c>
      <c r="D1044">
        <v>3.1552002429962158</v>
      </c>
      <c r="E1044" t="s">
        <v>10</v>
      </c>
      <c r="F1044" t="s">
        <v>50</v>
      </c>
      <c r="G1044">
        <v>4</v>
      </c>
    </row>
    <row r="1045" spans="1:7" x14ac:dyDescent="0.25">
      <c r="A1045" t="s">
        <v>5</v>
      </c>
      <c r="B1045">
        <v>1043</v>
      </c>
      <c r="C1045">
        <v>37</v>
      </c>
      <c r="D1045">
        <v>4.4209654331207275</v>
      </c>
      <c r="E1045" t="s">
        <v>10</v>
      </c>
      <c r="F1045" t="s">
        <v>50</v>
      </c>
      <c r="G1045">
        <v>4</v>
      </c>
    </row>
    <row r="1046" spans="1:7" x14ac:dyDescent="0.25">
      <c r="A1046" t="s">
        <v>5</v>
      </c>
      <c r="B1046">
        <v>1044</v>
      </c>
      <c r="C1046">
        <v>90</v>
      </c>
      <c r="D1046">
        <v>5.216217041015625</v>
      </c>
      <c r="E1046" t="s">
        <v>10</v>
      </c>
      <c r="F1046" t="s">
        <v>50</v>
      </c>
      <c r="G1046">
        <v>4</v>
      </c>
    </row>
    <row r="1047" spans="1:7" x14ac:dyDescent="0.25">
      <c r="A1047" t="s">
        <v>5</v>
      </c>
      <c r="B1047">
        <v>1045</v>
      </c>
      <c r="C1047">
        <v>47</v>
      </c>
      <c r="D1047">
        <v>4.11629319190979</v>
      </c>
      <c r="E1047" t="s">
        <v>10</v>
      </c>
      <c r="F1047" t="s">
        <v>50</v>
      </c>
      <c r="G1047">
        <v>4</v>
      </c>
    </row>
    <row r="1048" spans="1:7" x14ac:dyDescent="0.25">
      <c r="A1048" t="s">
        <v>5</v>
      </c>
      <c r="B1048">
        <v>1046</v>
      </c>
      <c r="C1048">
        <v>100</v>
      </c>
      <c r="D1048">
        <v>7.0358166694641113</v>
      </c>
      <c r="E1048" t="s">
        <v>10</v>
      </c>
      <c r="F1048" t="s">
        <v>50</v>
      </c>
      <c r="G1048">
        <v>4</v>
      </c>
    </row>
    <row r="1049" spans="1:7" x14ac:dyDescent="0.25">
      <c r="A1049" t="s">
        <v>5</v>
      </c>
      <c r="B1049">
        <v>1047</v>
      </c>
      <c r="C1049">
        <v>20</v>
      </c>
      <c r="D1049">
        <v>3.531369686126709</v>
      </c>
      <c r="E1049" t="s">
        <v>10</v>
      </c>
      <c r="F1049" t="s">
        <v>50</v>
      </c>
      <c r="G1049">
        <v>4</v>
      </c>
    </row>
    <row r="1050" spans="1:7" x14ac:dyDescent="0.25">
      <c r="A1050" t="s">
        <v>5</v>
      </c>
      <c r="B1050">
        <v>1048</v>
      </c>
      <c r="C1050">
        <v>40</v>
      </c>
      <c r="D1050">
        <v>4.4121036529541016</v>
      </c>
      <c r="E1050" t="s">
        <v>10</v>
      </c>
      <c r="F1050" t="s">
        <v>50</v>
      </c>
      <c r="G1050">
        <v>4</v>
      </c>
    </row>
    <row r="1051" spans="1:7" x14ac:dyDescent="0.25">
      <c r="A1051" t="s">
        <v>5</v>
      </c>
      <c r="B1051">
        <v>1049</v>
      </c>
      <c r="C1051">
        <v>100</v>
      </c>
      <c r="D1051">
        <v>5.6286382675170898</v>
      </c>
      <c r="E1051" t="s">
        <v>10</v>
      </c>
      <c r="F1051" t="s">
        <v>50</v>
      </c>
      <c r="G1051">
        <v>4</v>
      </c>
    </row>
    <row r="1052" spans="1:7" x14ac:dyDescent="0.25">
      <c r="A1052" t="s">
        <v>5</v>
      </c>
      <c r="B1052">
        <v>1050</v>
      </c>
      <c r="C1052">
        <v>20</v>
      </c>
      <c r="D1052">
        <v>2.79544997215271</v>
      </c>
      <c r="E1052" t="s">
        <v>10</v>
      </c>
      <c r="F1052" t="s">
        <v>46</v>
      </c>
      <c r="G1052">
        <v>5</v>
      </c>
    </row>
    <row r="1053" spans="1:7" x14ac:dyDescent="0.25">
      <c r="A1053" t="s">
        <v>5</v>
      </c>
      <c r="B1053">
        <v>1051</v>
      </c>
      <c r="C1053">
        <v>100</v>
      </c>
      <c r="D1053">
        <v>4.3696069717407227</v>
      </c>
      <c r="E1053" t="s">
        <v>10</v>
      </c>
      <c r="F1053" t="s">
        <v>46</v>
      </c>
      <c r="G1053">
        <v>5</v>
      </c>
    </row>
    <row r="1054" spans="1:7" x14ac:dyDescent="0.25">
      <c r="A1054" t="s">
        <v>5</v>
      </c>
      <c r="B1054">
        <v>1052</v>
      </c>
      <c r="C1054">
        <v>98</v>
      </c>
      <c r="D1054">
        <v>8.921501636505127</v>
      </c>
      <c r="E1054" t="s">
        <v>10</v>
      </c>
      <c r="F1054" t="s">
        <v>45</v>
      </c>
      <c r="G1054">
        <v>7.2</v>
      </c>
    </row>
    <row r="1055" spans="1:7" x14ac:dyDescent="0.25">
      <c r="A1055" t="s">
        <v>5</v>
      </c>
      <c r="B1055">
        <v>1053</v>
      </c>
      <c r="C1055">
        <v>14</v>
      </c>
      <c r="D1055">
        <v>3.5636765956878662</v>
      </c>
      <c r="E1055" t="s">
        <v>10</v>
      </c>
      <c r="F1055" t="s">
        <v>41</v>
      </c>
      <c r="G1055">
        <v>4.9000000000000004</v>
      </c>
    </row>
    <row r="1056" spans="1:7" x14ac:dyDescent="0.25">
      <c r="A1056" t="s">
        <v>5</v>
      </c>
      <c r="B1056">
        <v>1054</v>
      </c>
      <c r="C1056">
        <v>40</v>
      </c>
      <c r="D1056">
        <v>15.134571552276611</v>
      </c>
      <c r="E1056" t="s">
        <v>10</v>
      </c>
      <c r="F1056" t="s">
        <v>41</v>
      </c>
      <c r="G1056">
        <v>4.9000000000000004</v>
      </c>
    </row>
    <row r="1057" spans="1:7" x14ac:dyDescent="0.25">
      <c r="A1057" t="s">
        <v>5</v>
      </c>
      <c r="B1057">
        <v>1055</v>
      </c>
      <c r="C1057">
        <v>23</v>
      </c>
      <c r="D1057">
        <v>5.8193564414978027</v>
      </c>
      <c r="E1057" t="s">
        <v>10</v>
      </c>
      <c r="F1057" t="s">
        <v>41</v>
      </c>
      <c r="G1057">
        <v>7.1</v>
      </c>
    </row>
    <row r="1058" spans="1:7" x14ac:dyDescent="0.25">
      <c r="A1058" t="s">
        <v>5</v>
      </c>
      <c r="B1058">
        <v>1056</v>
      </c>
      <c r="C1058">
        <v>42</v>
      </c>
      <c r="D1058">
        <v>16.128925800323486</v>
      </c>
      <c r="E1058" t="s">
        <v>10</v>
      </c>
      <c r="F1058" t="s">
        <v>41</v>
      </c>
      <c r="G1058">
        <v>4.9000000000000004</v>
      </c>
    </row>
    <row r="1059" spans="1:7" x14ac:dyDescent="0.25">
      <c r="A1059" t="s">
        <v>5</v>
      </c>
      <c r="B1059">
        <v>1057</v>
      </c>
      <c r="C1059">
        <v>47</v>
      </c>
      <c r="D1059">
        <v>5.0625407695770264</v>
      </c>
      <c r="E1059" t="s">
        <v>10</v>
      </c>
      <c r="F1059" t="s">
        <v>41</v>
      </c>
      <c r="G1059">
        <v>4.9000000000000004</v>
      </c>
    </row>
    <row r="1060" spans="1:7" x14ac:dyDescent="0.25">
      <c r="A1060" t="s">
        <v>5</v>
      </c>
      <c r="B1060">
        <v>1058</v>
      </c>
      <c r="C1060">
        <v>14</v>
      </c>
      <c r="D1060">
        <v>3.2468497753143311</v>
      </c>
      <c r="E1060" t="s">
        <v>10</v>
      </c>
      <c r="F1060" t="s">
        <v>41</v>
      </c>
      <c r="G1060">
        <v>5</v>
      </c>
    </row>
    <row r="1061" spans="1:7" x14ac:dyDescent="0.25">
      <c r="A1061" t="s">
        <v>5</v>
      </c>
      <c r="B1061">
        <v>1059</v>
      </c>
      <c r="C1061">
        <v>27</v>
      </c>
      <c r="D1061">
        <v>16.471847772598267</v>
      </c>
      <c r="E1061" t="s">
        <v>10</v>
      </c>
      <c r="F1061" t="s">
        <v>46</v>
      </c>
      <c r="G1061">
        <v>4.3</v>
      </c>
    </row>
    <row r="1062" spans="1:7" x14ac:dyDescent="0.25">
      <c r="A1062" t="s">
        <v>5</v>
      </c>
      <c r="B1062">
        <v>1060</v>
      </c>
      <c r="C1062">
        <v>20</v>
      </c>
      <c r="D1062">
        <v>3.8522517681121826</v>
      </c>
      <c r="E1062" t="s">
        <v>10</v>
      </c>
      <c r="F1062" t="s">
        <v>46</v>
      </c>
      <c r="G1062">
        <v>4.3</v>
      </c>
    </row>
    <row r="1063" spans="1:7" x14ac:dyDescent="0.25">
      <c r="A1063" t="s">
        <v>5</v>
      </c>
      <c r="B1063">
        <v>1061</v>
      </c>
      <c r="C1063">
        <v>80</v>
      </c>
      <c r="D1063">
        <v>4.8625836372375488</v>
      </c>
      <c r="E1063" t="s">
        <v>10</v>
      </c>
      <c r="F1063" t="s">
        <v>46</v>
      </c>
      <c r="G1063">
        <v>4.3</v>
      </c>
    </row>
    <row r="1064" spans="1:7" x14ac:dyDescent="0.25">
      <c r="A1064" t="s">
        <v>5</v>
      </c>
      <c r="B1064">
        <v>1062</v>
      </c>
      <c r="C1064">
        <v>21</v>
      </c>
      <c r="D1064">
        <v>4.1952750682830811</v>
      </c>
      <c r="E1064" t="s">
        <v>10</v>
      </c>
      <c r="F1064" t="s">
        <v>41</v>
      </c>
      <c r="G1064">
        <v>5.2</v>
      </c>
    </row>
    <row r="1065" spans="1:7" x14ac:dyDescent="0.25">
      <c r="A1065" t="s">
        <v>5</v>
      </c>
      <c r="B1065">
        <v>1063</v>
      </c>
      <c r="C1065">
        <v>27</v>
      </c>
      <c r="D1065">
        <v>4.1034035682678223</v>
      </c>
      <c r="E1065" t="s">
        <v>10</v>
      </c>
      <c r="F1065" t="s">
        <v>41</v>
      </c>
      <c r="G1065">
        <v>5.2</v>
      </c>
    </row>
    <row r="1066" spans="1:7" x14ac:dyDescent="0.25">
      <c r="A1066" t="s">
        <v>5</v>
      </c>
      <c r="B1066">
        <v>1064</v>
      </c>
      <c r="C1066">
        <v>27</v>
      </c>
      <c r="D1066">
        <v>5.0061743259429932</v>
      </c>
      <c r="E1066" t="s">
        <v>10</v>
      </c>
      <c r="F1066" t="s">
        <v>41</v>
      </c>
      <c r="G1066">
        <v>5.2</v>
      </c>
    </row>
    <row r="1067" spans="1:7" x14ac:dyDescent="0.25">
      <c r="A1067" t="s">
        <v>5</v>
      </c>
      <c r="B1067">
        <v>1065</v>
      </c>
      <c r="C1067">
        <v>30</v>
      </c>
      <c r="D1067">
        <v>4.7004175186157227</v>
      </c>
      <c r="E1067" t="s">
        <v>10</v>
      </c>
      <c r="F1067" t="s">
        <v>41</v>
      </c>
      <c r="G1067">
        <v>5.2</v>
      </c>
    </row>
    <row r="1068" spans="1:7" x14ac:dyDescent="0.25">
      <c r="A1068" t="s">
        <v>5</v>
      </c>
      <c r="B1068">
        <v>1066</v>
      </c>
      <c r="C1068">
        <v>25</v>
      </c>
      <c r="D1068">
        <v>4.8716979026794434</v>
      </c>
      <c r="E1068" t="s">
        <v>10</v>
      </c>
      <c r="F1068" t="s">
        <v>41</v>
      </c>
      <c r="G1068">
        <v>5.2</v>
      </c>
    </row>
    <row r="1069" spans="1:7" x14ac:dyDescent="0.25">
      <c r="A1069" t="s">
        <v>5</v>
      </c>
      <c r="B1069">
        <v>1067</v>
      </c>
      <c r="C1069">
        <v>47</v>
      </c>
      <c r="D1069">
        <v>3.7948806285858154</v>
      </c>
      <c r="E1069" t="s">
        <v>10</v>
      </c>
      <c r="F1069" t="s">
        <v>41</v>
      </c>
      <c r="G1069">
        <v>5.2</v>
      </c>
    </row>
    <row r="1070" spans="1:7" x14ac:dyDescent="0.25">
      <c r="A1070" t="s">
        <v>5</v>
      </c>
      <c r="B1070">
        <v>1068</v>
      </c>
      <c r="C1070">
        <v>60</v>
      </c>
      <c r="D1070">
        <v>6.8981754779815674</v>
      </c>
      <c r="E1070" t="s">
        <v>10</v>
      </c>
      <c r="F1070" t="s">
        <v>41</v>
      </c>
      <c r="G1070">
        <v>5.2</v>
      </c>
    </row>
    <row r="1071" spans="1:7" x14ac:dyDescent="0.25">
      <c r="A1071" t="s">
        <v>5</v>
      </c>
      <c r="B1071">
        <v>1069</v>
      </c>
      <c r="C1071">
        <v>47</v>
      </c>
      <c r="D1071">
        <v>4.3121476173400879</v>
      </c>
      <c r="E1071" t="s">
        <v>10</v>
      </c>
      <c r="F1071" t="s">
        <v>41</v>
      </c>
      <c r="G1071">
        <v>5.2</v>
      </c>
    </row>
    <row r="1072" spans="1:7" x14ac:dyDescent="0.25">
      <c r="A1072" t="s">
        <v>5</v>
      </c>
      <c r="B1072">
        <v>1070</v>
      </c>
      <c r="C1072">
        <v>37</v>
      </c>
      <c r="D1072">
        <v>3.7914578914642334</v>
      </c>
      <c r="E1072" t="s">
        <v>10</v>
      </c>
      <c r="F1072" t="s">
        <v>41</v>
      </c>
      <c r="G1072">
        <v>5.2</v>
      </c>
    </row>
    <row r="1073" spans="1:7" x14ac:dyDescent="0.25">
      <c r="A1073" t="s">
        <v>5</v>
      </c>
      <c r="B1073">
        <v>1071</v>
      </c>
      <c r="C1073">
        <v>40</v>
      </c>
      <c r="D1073">
        <v>3.8042113780975342</v>
      </c>
      <c r="E1073" t="s">
        <v>10</v>
      </c>
      <c r="F1073" t="s">
        <v>41</v>
      </c>
      <c r="G1073">
        <v>5.2</v>
      </c>
    </row>
    <row r="1074" spans="1:7" x14ac:dyDescent="0.25">
      <c r="A1074" t="s">
        <v>5</v>
      </c>
      <c r="B1074">
        <v>1072</v>
      </c>
      <c r="C1074">
        <v>100</v>
      </c>
      <c r="D1074">
        <v>3.9213898181915283</v>
      </c>
      <c r="E1074" t="s">
        <v>10</v>
      </c>
      <c r="F1074" t="s">
        <v>41</v>
      </c>
      <c r="G1074">
        <v>5.2</v>
      </c>
    </row>
    <row r="1075" spans="1:7" x14ac:dyDescent="0.25">
      <c r="A1075" t="s">
        <v>5</v>
      </c>
      <c r="B1075">
        <v>1073</v>
      </c>
      <c r="C1075">
        <v>21</v>
      </c>
      <c r="D1075">
        <v>3.7532327175140381</v>
      </c>
      <c r="E1075" t="s">
        <v>10</v>
      </c>
      <c r="F1075" t="s">
        <v>41</v>
      </c>
      <c r="G1075">
        <v>5.2</v>
      </c>
    </row>
    <row r="1076" spans="1:7" x14ac:dyDescent="0.25">
      <c r="A1076" t="s">
        <v>5</v>
      </c>
      <c r="B1076">
        <v>1074</v>
      </c>
      <c r="C1076">
        <v>20</v>
      </c>
      <c r="D1076">
        <v>4.7427091598510742</v>
      </c>
      <c r="E1076" t="s">
        <v>10</v>
      </c>
      <c r="F1076" t="s">
        <v>46</v>
      </c>
      <c r="G1076">
        <v>5</v>
      </c>
    </row>
    <row r="1077" spans="1:7" x14ac:dyDescent="0.25">
      <c r="A1077" t="s">
        <v>5</v>
      </c>
      <c r="B1077">
        <v>1075</v>
      </c>
      <c r="C1077">
        <v>20</v>
      </c>
      <c r="D1077">
        <v>3.2530009746551514</v>
      </c>
      <c r="E1077" t="s">
        <v>10</v>
      </c>
      <c r="F1077" t="s">
        <v>46</v>
      </c>
      <c r="G1077">
        <v>5</v>
      </c>
    </row>
    <row r="1078" spans="1:7" x14ac:dyDescent="0.25">
      <c r="A1078" t="s">
        <v>5</v>
      </c>
      <c r="B1078">
        <v>1076</v>
      </c>
      <c r="C1078">
        <v>16</v>
      </c>
      <c r="D1078">
        <v>4.1526250839233398</v>
      </c>
      <c r="E1078" t="s">
        <v>10</v>
      </c>
      <c r="F1078" t="s">
        <v>46</v>
      </c>
      <c r="G1078">
        <v>5</v>
      </c>
    </row>
    <row r="1079" spans="1:7" x14ac:dyDescent="0.25">
      <c r="A1079" t="s">
        <v>5</v>
      </c>
      <c r="B1079">
        <v>1077</v>
      </c>
      <c r="C1079">
        <v>100</v>
      </c>
      <c r="D1079">
        <v>3.6103675365447998</v>
      </c>
      <c r="E1079" t="s">
        <v>10</v>
      </c>
      <c r="F1079" t="s">
        <v>46</v>
      </c>
      <c r="G1079">
        <v>5</v>
      </c>
    </row>
    <row r="1080" spans="1:7" x14ac:dyDescent="0.25">
      <c r="A1080" t="s">
        <v>5</v>
      </c>
      <c r="B1080">
        <v>1078</v>
      </c>
      <c r="C1080">
        <v>30</v>
      </c>
      <c r="D1080">
        <v>6.010732889175415</v>
      </c>
      <c r="E1080" t="s">
        <v>10</v>
      </c>
      <c r="F1080" t="s">
        <v>46</v>
      </c>
      <c r="G1080">
        <v>5</v>
      </c>
    </row>
    <row r="1081" spans="1:7" x14ac:dyDescent="0.25">
      <c r="A1081" t="s">
        <v>5</v>
      </c>
      <c r="B1081">
        <v>1079</v>
      </c>
      <c r="C1081">
        <v>47</v>
      </c>
      <c r="D1081">
        <v>5.6347646713256836</v>
      </c>
      <c r="E1081" t="s">
        <v>10</v>
      </c>
      <c r="F1081" t="s">
        <v>41</v>
      </c>
      <c r="G1081">
        <v>10</v>
      </c>
    </row>
    <row r="1082" spans="1:7" x14ac:dyDescent="0.25">
      <c r="A1082" t="s">
        <v>5</v>
      </c>
      <c r="B1082">
        <v>1080</v>
      </c>
      <c r="C1082">
        <v>70</v>
      </c>
      <c r="D1082">
        <v>6.0368289947509766</v>
      </c>
      <c r="E1082" t="s">
        <v>10</v>
      </c>
      <c r="F1082" t="s">
        <v>41</v>
      </c>
      <c r="G1082">
        <v>7.2</v>
      </c>
    </row>
    <row r="1083" spans="1:7" x14ac:dyDescent="0.25">
      <c r="A1083" t="s">
        <v>5</v>
      </c>
      <c r="B1083">
        <v>1081</v>
      </c>
      <c r="C1083">
        <v>27</v>
      </c>
      <c r="D1083">
        <v>11.705386400222778</v>
      </c>
      <c r="E1083" t="s">
        <v>10</v>
      </c>
      <c r="F1083" t="s">
        <v>41</v>
      </c>
      <c r="G1083">
        <v>4.9000000000000004</v>
      </c>
    </row>
    <row r="1084" spans="1:7" x14ac:dyDescent="0.25">
      <c r="A1084" t="s">
        <v>5</v>
      </c>
      <c r="B1084">
        <v>1082</v>
      </c>
      <c r="C1084">
        <v>80</v>
      </c>
      <c r="D1084">
        <v>3.7445378303527832</v>
      </c>
      <c r="E1084" t="s">
        <v>10</v>
      </c>
      <c r="F1084" t="s">
        <v>41</v>
      </c>
      <c r="G1084">
        <v>4</v>
      </c>
    </row>
    <row r="1085" spans="1:7" x14ac:dyDescent="0.25">
      <c r="A1085" t="s">
        <v>5</v>
      </c>
      <c r="B1085">
        <v>1083</v>
      </c>
      <c r="C1085">
        <v>47</v>
      </c>
      <c r="D1085">
        <v>3.3979597091674805</v>
      </c>
      <c r="E1085" t="s">
        <v>10</v>
      </c>
      <c r="F1085" t="s">
        <v>43</v>
      </c>
      <c r="G1085">
        <v>4.9000000000000004</v>
      </c>
    </row>
    <row r="1086" spans="1:7" x14ac:dyDescent="0.25">
      <c r="A1086" t="s">
        <v>5</v>
      </c>
      <c r="B1086">
        <v>1084</v>
      </c>
      <c r="C1086">
        <v>21</v>
      </c>
      <c r="D1086">
        <v>3.2288248538970947</v>
      </c>
      <c r="E1086" t="s">
        <v>10</v>
      </c>
      <c r="F1086" t="s">
        <v>41</v>
      </c>
      <c r="G1086">
        <v>4.9000000000000004</v>
      </c>
    </row>
    <row r="1087" spans="1:7" x14ac:dyDescent="0.25">
      <c r="A1087" t="s">
        <v>5</v>
      </c>
      <c r="B1087">
        <v>1085</v>
      </c>
      <c r="C1087">
        <v>47</v>
      </c>
      <c r="D1087">
        <v>4.7912993431091309</v>
      </c>
      <c r="E1087" t="s">
        <v>10</v>
      </c>
      <c r="F1087" t="s">
        <v>42</v>
      </c>
      <c r="G1087">
        <v>5.0999999999999996</v>
      </c>
    </row>
    <row r="1088" spans="1:7" x14ac:dyDescent="0.25">
      <c r="A1088" t="s">
        <v>5</v>
      </c>
      <c r="B1088">
        <v>1086</v>
      </c>
      <c r="C1088">
        <v>70</v>
      </c>
      <c r="D1088">
        <v>5.192488431930542</v>
      </c>
      <c r="E1088" t="s">
        <v>10</v>
      </c>
      <c r="F1088" t="s">
        <v>42</v>
      </c>
      <c r="G1088">
        <v>5.0999999999999996</v>
      </c>
    </row>
    <row r="1089" spans="1:7" x14ac:dyDescent="0.25">
      <c r="A1089" t="s">
        <v>5</v>
      </c>
      <c r="B1089">
        <v>1087</v>
      </c>
      <c r="C1089">
        <v>80</v>
      </c>
      <c r="D1089">
        <v>8.9852492809295654</v>
      </c>
      <c r="E1089" t="s">
        <v>10</v>
      </c>
      <c r="F1089" t="s">
        <v>41</v>
      </c>
      <c r="G1089">
        <v>7.8</v>
      </c>
    </row>
    <row r="1090" spans="1:7" x14ac:dyDescent="0.25">
      <c r="A1090" t="s">
        <v>5</v>
      </c>
      <c r="B1090">
        <v>1088</v>
      </c>
      <c r="C1090">
        <v>80</v>
      </c>
      <c r="D1090">
        <v>4.6008195877075195</v>
      </c>
      <c r="E1090" t="s">
        <v>10</v>
      </c>
      <c r="F1090" t="s">
        <v>41</v>
      </c>
      <c r="G1090">
        <v>4.9000000000000004</v>
      </c>
    </row>
    <row r="1091" spans="1:7" x14ac:dyDescent="0.25">
      <c r="A1091" t="s">
        <v>5</v>
      </c>
      <c r="B1091">
        <v>1089</v>
      </c>
      <c r="C1091">
        <v>100</v>
      </c>
      <c r="D1091">
        <v>2.7922024726867676</v>
      </c>
      <c r="E1091" t="s">
        <v>10</v>
      </c>
      <c r="F1091" t="s">
        <v>41</v>
      </c>
      <c r="G1091">
        <v>4.9000000000000004</v>
      </c>
    </row>
    <row r="1092" spans="1:7" x14ac:dyDescent="0.25">
      <c r="A1092" t="s">
        <v>5</v>
      </c>
      <c r="B1092">
        <v>1090</v>
      </c>
      <c r="C1092">
        <v>100</v>
      </c>
      <c r="D1092">
        <v>5.5879645347595215</v>
      </c>
      <c r="E1092" t="s">
        <v>10</v>
      </c>
      <c r="F1092" t="s">
        <v>41</v>
      </c>
      <c r="G1092">
        <v>4.7</v>
      </c>
    </row>
    <row r="1093" spans="1:7" x14ac:dyDescent="0.25">
      <c r="A1093" t="s">
        <v>5</v>
      </c>
      <c r="B1093">
        <v>1091</v>
      </c>
      <c r="C1093">
        <v>90</v>
      </c>
      <c r="D1093">
        <v>5.6213419437408447</v>
      </c>
      <c r="E1093" t="s">
        <v>10</v>
      </c>
      <c r="F1093" t="s">
        <v>51</v>
      </c>
      <c r="G1093">
        <v>7.2</v>
      </c>
    </row>
    <row r="1094" spans="1:7" x14ac:dyDescent="0.25">
      <c r="A1094" t="s">
        <v>5</v>
      </c>
      <c r="B1094">
        <v>1092</v>
      </c>
      <c r="C1094">
        <v>100</v>
      </c>
      <c r="D1094">
        <v>4.602672815322876</v>
      </c>
      <c r="E1094" t="s">
        <v>10</v>
      </c>
      <c r="F1094" t="s">
        <v>46</v>
      </c>
      <c r="G1094">
        <v>4.9000000000000004</v>
      </c>
    </row>
    <row r="1095" spans="1:7" x14ac:dyDescent="0.25">
      <c r="A1095" t="s">
        <v>5</v>
      </c>
      <c r="B1095">
        <v>1093</v>
      </c>
      <c r="C1095">
        <v>80</v>
      </c>
      <c r="D1095">
        <v>6.3508284091949463</v>
      </c>
      <c r="E1095" t="s">
        <v>10</v>
      </c>
      <c r="F1095" t="s">
        <v>43</v>
      </c>
      <c r="G1095">
        <v>4.3</v>
      </c>
    </row>
    <row r="1096" spans="1:7" x14ac:dyDescent="0.25">
      <c r="A1096" t="s">
        <v>5</v>
      </c>
      <c r="B1096">
        <v>1094</v>
      </c>
      <c r="C1096">
        <v>25</v>
      </c>
      <c r="D1096">
        <v>2.7114112377166748</v>
      </c>
      <c r="E1096" t="s">
        <v>10</v>
      </c>
      <c r="F1096" t="s">
        <v>43</v>
      </c>
      <c r="G1096">
        <v>4.3</v>
      </c>
    </row>
    <row r="1097" spans="1:7" x14ac:dyDescent="0.25">
      <c r="A1097" t="s">
        <v>5</v>
      </c>
      <c r="B1097">
        <v>1095</v>
      </c>
      <c r="C1097">
        <v>50</v>
      </c>
      <c r="D1097">
        <v>2.8096146583557129</v>
      </c>
      <c r="E1097" t="s">
        <v>10</v>
      </c>
      <c r="F1097" t="s">
        <v>43</v>
      </c>
      <c r="G1097">
        <v>4.3</v>
      </c>
    </row>
    <row r="1098" spans="1:7" x14ac:dyDescent="0.25">
      <c r="A1098" t="s">
        <v>5</v>
      </c>
      <c r="B1098">
        <v>1096</v>
      </c>
      <c r="C1098">
        <v>27</v>
      </c>
      <c r="D1098">
        <v>4.9566211700439453</v>
      </c>
      <c r="E1098" t="s">
        <v>10</v>
      </c>
      <c r="F1098" t="s">
        <v>43</v>
      </c>
      <c r="G1098">
        <v>4.3</v>
      </c>
    </row>
    <row r="1099" spans="1:7" x14ac:dyDescent="0.25">
      <c r="A1099" t="s">
        <v>5</v>
      </c>
      <c r="B1099">
        <v>1097</v>
      </c>
      <c r="C1099">
        <v>49</v>
      </c>
      <c r="D1099">
        <v>4.0804495811462402</v>
      </c>
      <c r="E1099" t="s">
        <v>10</v>
      </c>
      <c r="F1099" t="s">
        <v>43</v>
      </c>
      <c r="G1099">
        <v>4.3</v>
      </c>
    </row>
    <row r="1100" spans="1:7" x14ac:dyDescent="0.25">
      <c r="A1100" t="s">
        <v>5</v>
      </c>
      <c r="B1100">
        <v>1098</v>
      </c>
      <c r="C1100">
        <v>100</v>
      </c>
      <c r="D1100">
        <v>6.0494771003723145</v>
      </c>
      <c r="E1100" t="s">
        <v>10</v>
      </c>
      <c r="F1100" t="s">
        <v>43</v>
      </c>
      <c r="G1100">
        <v>4.3</v>
      </c>
    </row>
    <row r="1101" spans="1:7" x14ac:dyDescent="0.25">
      <c r="A1101" t="s">
        <v>5</v>
      </c>
      <c r="B1101">
        <v>1099</v>
      </c>
      <c r="C1101">
        <v>37</v>
      </c>
      <c r="D1101">
        <v>6.296107292175293</v>
      </c>
      <c r="E1101" t="s">
        <v>10</v>
      </c>
      <c r="F1101" t="s">
        <v>43</v>
      </c>
      <c r="G1101">
        <v>4.3</v>
      </c>
    </row>
    <row r="1102" spans="1:7" x14ac:dyDescent="0.25">
      <c r="A1102" t="s">
        <v>5</v>
      </c>
      <c r="B1102">
        <v>1100</v>
      </c>
      <c r="C1102">
        <v>100</v>
      </c>
      <c r="D1102">
        <v>4.1787011623382568</v>
      </c>
      <c r="E1102" t="s">
        <v>10</v>
      </c>
      <c r="F1102" t="s">
        <v>52</v>
      </c>
      <c r="G1102">
        <v>7.5</v>
      </c>
    </row>
    <row r="1103" spans="1:7" x14ac:dyDescent="0.25">
      <c r="A1103" t="s">
        <v>5</v>
      </c>
      <c r="B1103">
        <v>1101</v>
      </c>
      <c r="C1103">
        <v>30</v>
      </c>
      <c r="D1103">
        <v>4.4180235862731934</v>
      </c>
      <c r="E1103" t="s">
        <v>10</v>
      </c>
      <c r="F1103" t="s">
        <v>52</v>
      </c>
      <c r="G1103">
        <v>7.5</v>
      </c>
    </row>
    <row r="1104" spans="1:7" x14ac:dyDescent="0.25">
      <c r="A1104" t="s">
        <v>5</v>
      </c>
      <c r="B1104">
        <v>1102</v>
      </c>
      <c r="C1104">
        <v>15</v>
      </c>
      <c r="D1104">
        <v>3.3066592216491699</v>
      </c>
      <c r="E1104" t="s">
        <v>10</v>
      </c>
      <c r="F1104" t="s">
        <v>52</v>
      </c>
      <c r="G1104">
        <v>7.5</v>
      </c>
    </row>
    <row r="1105" spans="1:7" x14ac:dyDescent="0.25">
      <c r="A1105" t="s">
        <v>5</v>
      </c>
      <c r="B1105">
        <v>1103</v>
      </c>
      <c r="C1105">
        <v>100</v>
      </c>
      <c r="D1105">
        <v>7.3391895294189453</v>
      </c>
      <c r="E1105" t="s">
        <v>10</v>
      </c>
      <c r="F1105" t="s">
        <v>50</v>
      </c>
      <c r="G1105">
        <v>7.2</v>
      </c>
    </row>
    <row r="1106" spans="1:7" x14ac:dyDescent="0.25">
      <c r="A1106" t="s">
        <v>5</v>
      </c>
      <c r="B1106">
        <v>1104</v>
      </c>
      <c r="C1106">
        <v>27</v>
      </c>
      <c r="D1106">
        <v>4.3081941604614258</v>
      </c>
      <c r="E1106" t="s">
        <v>10</v>
      </c>
      <c r="F1106" t="s">
        <v>50</v>
      </c>
      <c r="G1106">
        <v>7.2</v>
      </c>
    </row>
    <row r="1107" spans="1:7" x14ac:dyDescent="0.25">
      <c r="A1107" t="s">
        <v>5</v>
      </c>
      <c r="B1107">
        <v>1105</v>
      </c>
      <c r="C1107">
        <v>90</v>
      </c>
      <c r="D1107">
        <v>6.7428219318389893</v>
      </c>
      <c r="E1107" t="s">
        <v>10</v>
      </c>
      <c r="F1107" t="s">
        <v>44</v>
      </c>
      <c r="G1107">
        <v>6.4</v>
      </c>
    </row>
    <row r="1108" spans="1:7" x14ac:dyDescent="0.25">
      <c r="A1108" t="s">
        <v>5</v>
      </c>
      <c r="B1108">
        <v>1106</v>
      </c>
      <c r="C1108">
        <v>27</v>
      </c>
      <c r="D1108">
        <v>4.2118308544158936</v>
      </c>
      <c r="E1108" t="s">
        <v>10</v>
      </c>
      <c r="F1108" t="s">
        <v>44</v>
      </c>
      <c r="G1108">
        <v>6.4</v>
      </c>
    </row>
    <row r="1109" spans="1:7" x14ac:dyDescent="0.25">
      <c r="A1109" t="s">
        <v>5</v>
      </c>
      <c r="B1109">
        <v>1107</v>
      </c>
      <c r="C1109">
        <v>14</v>
      </c>
      <c r="D1109">
        <v>4.768218994140625</v>
      </c>
      <c r="E1109" t="s">
        <v>10</v>
      </c>
      <c r="F1109" t="s">
        <v>53</v>
      </c>
      <c r="G1109">
        <v>7.8</v>
      </c>
    </row>
    <row r="1110" spans="1:7" x14ac:dyDescent="0.25">
      <c r="A1110" t="s">
        <v>5</v>
      </c>
      <c r="B1110">
        <v>1108</v>
      </c>
      <c r="C1110">
        <v>37</v>
      </c>
      <c r="D1110">
        <v>3.90818190574646</v>
      </c>
      <c r="E1110" t="s">
        <v>10</v>
      </c>
      <c r="F1110" t="s">
        <v>53</v>
      </c>
      <c r="G1110">
        <v>7.8</v>
      </c>
    </row>
    <row r="1111" spans="1:7" x14ac:dyDescent="0.25">
      <c r="A1111" t="s">
        <v>5</v>
      </c>
      <c r="B1111">
        <v>1109</v>
      </c>
      <c r="C1111">
        <v>100</v>
      </c>
      <c r="D1111">
        <v>6.4348182678222656</v>
      </c>
      <c r="E1111" t="s">
        <v>10</v>
      </c>
      <c r="F1111" t="s">
        <v>53</v>
      </c>
      <c r="G1111">
        <v>7.8</v>
      </c>
    </row>
    <row r="1112" spans="1:7" x14ac:dyDescent="0.25">
      <c r="A1112" t="s">
        <v>5</v>
      </c>
      <c r="B1112">
        <v>1110</v>
      </c>
      <c r="C1112">
        <v>77</v>
      </c>
      <c r="D1112">
        <v>4.4467687606811523</v>
      </c>
      <c r="E1112" t="s">
        <v>10</v>
      </c>
      <c r="F1112" t="s">
        <v>54</v>
      </c>
      <c r="G1112">
        <v>4.9000000000000004</v>
      </c>
    </row>
    <row r="1113" spans="1:7" x14ac:dyDescent="0.25">
      <c r="A1113" t="s">
        <v>5</v>
      </c>
      <c r="B1113">
        <v>1111</v>
      </c>
      <c r="C1113">
        <v>37</v>
      </c>
      <c r="D1113">
        <v>3.5739161968231201</v>
      </c>
      <c r="E1113" t="s">
        <v>10</v>
      </c>
      <c r="F1113" t="s">
        <v>54</v>
      </c>
      <c r="G1113">
        <v>4.9000000000000004</v>
      </c>
    </row>
    <row r="1114" spans="1:7" x14ac:dyDescent="0.25">
      <c r="A1114" t="s">
        <v>5</v>
      </c>
      <c r="B1114">
        <v>1112</v>
      </c>
      <c r="C1114">
        <v>30</v>
      </c>
      <c r="D1114">
        <v>2.7814235687255859</v>
      </c>
      <c r="E1114" t="s">
        <v>10</v>
      </c>
      <c r="F1114" t="s">
        <v>54</v>
      </c>
      <c r="G1114">
        <v>4.9000000000000004</v>
      </c>
    </row>
    <row r="1115" spans="1:7" x14ac:dyDescent="0.25">
      <c r="A1115" t="s">
        <v>5</v>
      </c>
      <c r="B1115">
        <v>1113</v>
      </c>
      <c r="C1115">
        <v>70</v>
      </c>
      <c r="D1115">
        <v>5.3251025676727295</v>
      </c>
      <c r="E1115" t="s">
        <v>10</v>
      </c>
      <c r="F1115" t="s">
        <v>54</v>
      </c>
      <c r="G1115">
        <v>4.9000000000000004</v>
      </c>
    </row>
    <row r="1116" spans="1:7" x14ac:dyDescent="0.25">
      <c r="A1116" t="s">
        <v>5</v>
      </c>
      <c r="B1116">
        <v>1114</v>
      </c>
      <c r="C1116">
        <v>100</v>
      </c>
      <c r="D1116">
        <v>3.1546273231506348</v>
      </c>
      <c r="E1116" t="s">
        <v>10</v>
      </c>
      <c r="F1116" t="s">
        <v>54</v>
      </c>
      <c r="G1116">
        <v>4.9000000000000004</v>
      </c>
    </row>
    <row r="1117" spans="1:7" x14ac:dyDescent="0.25">
      <c r="A1117" t="s">
        <v>5</v>
      </c>
      <c r="B1117">
        <v>1115</v>
      </c>
      <c r="C1117">
        <v>70</v>
      </c>
      <c r="D1117">
        <v>6.05253005027771</v>
      </c>
      <c r="E1117" t="s">
        <v>10</v>
      </c>
      <c r="F1117" t="s">
        <v>46</v>
      </c>
      <c r="G1117">
        <v>4.9000000000000004</v>
      </c>
    </row>
    <row r="1118" spans="1:7" x14ac:dyDescent="0.25">
      <c r="A1118" t="s">
        <v>5</v>
      </c>
      <c r="B1118">
        <v>1116</v>
      </c>
      <c r="C1118">
        <v>100</v>
      </c>
      <c r="D1118">
        <v>9.3273601531982422</v>
      </c>
      <c r="E1118" t="s">
        <v>10</v>
      </c>
      <c r="F1118" t="s">
        <v>41</v>
      </c>
      <c r="G1118">
        <v>4.9000000000000004</v>
      </c>
    </row>
    <row r="1119" spans="1:7" x14ac:dyDescent="0.25">
      <c r="A1119" t="s">
        <v>5</v>
      </c>
      <c r="B1119">
        <v>1117</v>
      </c>
      <c r="C1119">
        <v>55</v>
      </c>
      <c r="D1119">
        <v>7.0210649967193604</v>
      </c>
      <c r="E1119" t="s">
        <v>10</v>
      </c>
      <c r="F1119" t="s">
        <v>41</v>
      </c>
      <c r="G1119">
        <v>7.1</v>
      </c>
    </row>
    <row r="1120" spans="1:7" x14ac:dyDescent="0.25">
      <c r="A1120" t="s">
        <v>5</v>
      </c>
      <c r="B1120">
        <v>1118</v>
      </c>
      <c r="C1120">
        <v>30</v>
      </c>
      <c r="D1120">
        <v>3.3455626964569092</v>
      </c>
      <c r="E1120" t="s">
        <v>10</v>
      </c>
      <c r="F1120" t="s">
        <v>41</v>
      </c>
      <c r="G1120">
        <v>4.9000000000000004</v>
      </c>
    </row>
    <row r="1121" spans="1:7" x14ac:dyDescent="0.25">
      <c r="A1121" t="s">
        <v>5</v>
      </c>
      <c r="B1121">
        <v>1119</v>
      </c>
      <c r="C1121">
        <v>70</v>
      </c>
      <c r="D1121">
        <v>4.0036478042602539</v>
      </c>
      <c r="E1121" t="s">
        <v>10</v>
      </c>
      <c r="F1121" t="s">
        <v>41</v>
      </c>
      <c r="G1121">
        <v>4.9000000000000004</v>
      </c>
    </row>
    <row r="1122" spans="1:7" x14ac:dyDescent="0.25">
      <c r="A1122" t="s">
        <v>5</v>
      </c>
      <c r="B1122">
        <v>1120</v>
      </c>
      <c r="C1122">
        <v>37</v>
      </c>
      <c r="D1122">
        <v>5.0546660423278809</v>
      </c>
      <c r="E1122" t="s">
        <v>10</v>
      </c>
      <c r="F1122" t="s">
        <v>41</v>
      </c>
      <c r="G1122">
        <v>4.9000000000000004</v>
      </c>
    </row>
    <row r="1123" spans="1:7" x14ac:dyDescent="0.25">
      <c r="A1123" t="s">
        <v>5</v>
      </c>
      <c r="B1123">
        <v>1121</v>
      </c>
      <c r="C1123">
        <v>80</v>
      </c>
      <c r="D1123">
        <v>4.3811664581298828</v>
      </c>
      <c r="E1123" t="s">
        <v>10</v>
      </c>
      <c r="F1123" t="s">
        <v>41</v>
      </c>
      <c r="G1123">
        <v>4.9000000000000004</v>
      </c>
    </row>
    <row r="1124" spans="1:7" x14ac:dyDescent="0.25">
      <c r="A1124" t="s">
        <v>5</v>
      </c>
      <c r="B1124">
        <v>1122</v>
      </c>
      <c r="C1124">
        <v>30</v>
      </c>
      <c r="D1124">
        <v>3.297929048538208</v>
      </c>
      <c r="E1124" t="s">
        <v>10</v>
      </c>
      <c r="F1124" t="s">
        <v>41</v>
      </c>
      <c r="G1124">
        <v>4.9000000000000004</v>
      </c>
    </row>
    <row r="1125" spans="1:7" x14ac:dyDescent="0.25">
      <c r="A1125" t="s">
        <v>5</v>
      </c>
      <c r="B1125">
        <v>1123</v>
      </c>
      <c r="C1125">
        <v>37</v>
      </c>
      <c r="D1125">
        <v>2.8923900127410889</v>
      </c>
      <c r="E1125" t="s">
        <v>10</v>
      </c>
      <c r="F1125" t="s">
        <v>41</v>
      </c>
      <c r="G1125">
        <v>4.9000000000000004</v>
      </c>
    </row>
    <row r="1126" spans="1:7" x14ac:dyDescent="0.25">
      <c r="A1126" t="s">
        <v>5</v>
      </c>
      <c r="B1126">
        <v>1124</v>
      </c>
      <c r="C1126">
        <v>100</v>
      </c>
      <c r="D1126">
        <v>5.3905513286590576</v>
      </c>
      <c r="E1126" t="s">
        <v>10</v>
      </c>
      <c r="F1126" t="s">
        <v>41</v>
      </c>
      <c r="G1126">
        <v>4.9000000000000004</v>
      </c>
    </row>
    <row r="1127" spans="1:7" x14ac:dyDescent="0.25">
      <c r="A1127" t="s">
        <v>5</v>
      </c>
      <c r="B1127">
        <v>1125</v>
      </c>
      <c r="C1127">
        <v>95</v>
      </c>
      <c r="D1127">
        <v>4.1379194259643555</v>
      </c>
      <c r="E1127" t="s">
        <v>10</v>
      </c>
      <c r="F1127" t="s">
        <v>41</v>
      </c>
      <c r="G1127">
        <v>4.9000000000000004</v>
      </c>
    </row>
    <row r="1128" spans="1:7" x14ac:dyDescent="0.25">
      <c r="A1128" t="s">
        <v>5</v>
      </c>
      <c r="B1128">
        <v>1126</v>
      </c>
      <c r="C1128">
        <v>25</v>
      </c>
      <c r="D1128">
        <v>5.2596180438995361</v>
      </c>
      <c r="E1128" t="s">
        <v>10</v>
      </c>
      <c r="F1128" t="s">
        <v>41</v>
      </c>
      <c r="G1128">
        <v>4.9000000000000004</v>
      </c>
    </row>
    <row r="1129" spans="1:7" x14ac:dyDescent="0.25">
      <c r="A1129" t="s">
        <v>5</v>
      </c>
      <c r="B1129">
        <v>1127</v>
      </c>
      <c r="C1129">
        <v>100</v>
      </c>
      <c r="D1129">
        <v>5.4635710716247559</v>
      </c>
      <c r="E1129" t="s">
        <v>10</v>
      </c>
      <c r="F1129" t="s">
        <v>41</v>
      </c>
      <c r="G1129">
        <v>4.9000000000000004</v>
      </c>
    </row>
    <row r="1130" spans="1:7" x14ac:dyDescent="0.25">
      <c r="A1130" t="s">
        <v>5</v>
      </c>
      <c r="B1130">
        <v>1128</v>
      </c>
      <c r="C1130">
        <v>70</v>
      </c>
      <c r="D1130">
        <v>5.3135850429534912</v>
      </c>
      <c r="E1130" t="s">
        <v>10</v>
      </c>
      <c r="F1130" t="s">
        <v>41</v>
      </c>
      <c r="G1130">
        <v>4.9000000000000004</v>
      </c>
    </row>
    <row r="1131" spans="1:7" x14ac:dyDescent="0.25">
      <c r="A1131" t="s">
        <v>5</v>
      </c>
      <c r="B1131">
        <v>1129</v>
      </c>
      <c r="C1131">
        <v>37</v>
      </c>
      <c r="D1131">
        <v>3.6763887405395508</v>
      </c>
      <c r="E1131" t="s">
        <v>10</v>
      </c>
      <c r="F1131" t="s">
        <v>41</v>
      </c>
      <c r="G1131">
        <v>4.9000000000000004</v>
      </c>
    </row>
    <row r="1132" spans="1:7" x14ac:dyDescent="0.25">
      <c r="A1132" t="s">
        <v>5</v>
      </c>
      <c r="B1132">
        <v>1130</v>
      </c>
      <c r="C1132">
        <v>20</v>
      </c>
      <c r="D1132">
        <v>3.2707276344299316</v>
      </c>
      <c r="E1132" t="s">
        <v>10</v>
      </c>
      <c r="F1132" t="s">
        <v>41</v>
      </c>
      <c r="G1132">
        <v>4.9000000000000004</v>
      </c>
    </row>
    <row r="1133" spans="1:7" x14ac:dyDescent="0.25">
      <c r="A1133" t="s">
        <v>5</v>
      </c>
      <c r="B1133">
        <v>1131</v>
      </c>
      <c r="C1133">
        <v>70</v>
      </c>
      <c r="D1133">
        <v>4.6669378280639648</v>
      </c>
      <c r="E1133" t="s">
        <v>10</v>
      </c>
      <c r="F1133" t="s">
        <v>41</v>
      </c>
      <c r="G1133">
        <v>4.9000000000000004</v>
      </c>
    </row>
    <row r="1134" spans="1:7" x14ac:dyDescent="0.25">
      <c r="A1134" t="s">
        <v>5</v>
      </c>
      <c r="B1134">
        <v>1132</v>
      </c>
      <c r="C1134">
        <v>70</v>
      </c>
      <c r="D1134">
        <v>3.6977083683013916</v>
      </c>
      <c r="E1134" t="s">
        <v>10</v>
      </c>
      <c r="F1134" t="s">
        <v>41</v>
      </c>
      <c r="G1134">
        <v>4.9000000000000004</v>
      </c>
    </row>
    <row r="1135" spans="1:7" x14ac:dyDescent="0.25">
      <c r="A1135" t="s">
        <v>5</v>
      </c>
      <c r="B1135">
        <v>1133</v>
      </c>
      <c r="C1135">
        <v>37</v>
      </c>
      <c r="D1135">
        <v>3.0744178295135498</v>
      </c>
      <c r="E1135" t="s">
        <v>10</v>
      </c>
      <c r="F1135" t="s">
        <v>41</v>
      </c>
      <c r="G1135">
        <v>4.9000000000000004</v>
      </c>
    </row>
    <row r="1136" spans="1:7" x14ac:dyDescent="0.25">
      <c r="A1136" t="s">
        <v>5</v>
      </c>
      <c r="B1136">
        <v>1134</v>
      </c>
      <c r="C1136">
        <v>70</v>
      </c>
      <c r="D1136">
        <v>3.6294841766357422</v>
      </c>
      <c r="E1136" t="s">
        <v>10</v>
      </c>
      <c r="F1136" t="s">
        <v>41</v>
      </c>
      <c r="G1136">
        <v>4.9000000000000004</v>
      </c>
    </row>
    <row r="1137" spans="1:7" x14ac:dyDescent="0.25">
      <c r="A1137" t="s">
        <v>5</v>
      </c>
      <c r="B1137">
        <v>1135</v>
      </c>
      <c r="C1137">
        <v>30</v>
      </c>
      <c r="D1137">
        <v>4.3435440063476563</v>
      </c>
      <c r="E1137" t="s">
        <v>10</v>
      </c>
      <c r="F1137" t="s">
        <v>41</v>
      </c>
      <c r="G1137">
        <v>4.9000000000000004</v>
      </c>
    </row>
    <row r="1138" spans="1:7" x14ac:dyDescent="0.25">
      <c r="A1138" t="s">
        <v>5</v>
      </c>
      <c r="B1138">
        <v>1136</v>
      </c>
      <c r="C1138">
        <v>100</v>
      </c>
      <c r="D1138">
        <v>5.8777596950531006</v>
      </c>
      <c r="E1138" t="s">
        <v>10</v>
      </c>
      <c r="F1138" t="s">
        <v>41</v>
      </c>
      <c r="G1138">
        <v>4.9000000000000004</v>
      </c>
    </row>
    <row r="1139" spans="1:7" x14ac:dyDescent="0.25">
      <c r="A1139" t="s">
        <v>5</v>
      </c>
      <c r="B1139">
        <v>1137</v>
      </c>
      <c r="C1139">
        <v>14</v>
      </c>
      <c r="D1139">
        <v>4.8735880851745605</v>
      </c>
      <c r="E1139" t="s">
        <v>10</v>
      </c>
      <c r="F1139" t="s">
        <v>41</v>
      </c>
      <c r="G1139">
        <v>4.9000000000000004</v>
      </c>
    </row>
    <row r="1140" spans="1:7" x14ac:dyDescent="0.25">
      <c r="A1140" t="s">
        <v>5</v>
      </c>
      <c r="B1140">
        <v>1138</v>
      </c>
      <c r="C1140">
        <v>18</v>
      </c>
      <c r="D1140">
        <v>4.7060225009918213</v>
      </c>
      <c r="E1140" t="s">
        <v>10</v>
      </c>
      <c r="F1140" t="s">
        <v>41</v>
      </c>
      <c r="G1140">
        <v>4.9000000000000004</v>
      </c>
    </row>
    <row r="1141" spans="1:7" x14ac:dyDescent="0.25">
      <c r="A1141" t="s">
        <v>5</v>
      </c>
      <c r="B1141">
        <v>1139</v>
      </c>
      <c r="C1141">
        <v>30</v>
      </c>
      <c r="D1141">
        <v>3.0199975967407227</v>
      </c>
      <c r="E1141" t="s">
        <v>10</v>
      </c>
      <c r="F1141" t="s">
        <v>41</v>
      </c>
      <c r="G1141">
        <v>4.9000000000000004</v>
      </c>
    </row>
    <row r="1142" spans="1:7" x14ac:dyDescent="0.25">
      <c r="A1142" t="s">
        <v>5</v>
      </c>
      <c r="B1142">
        <v>1140</v>
      </c>
      <c r="C1142">
        <v>70</v>
      </c>
      <c r="D1142">
        <v>5.1878929138183594</v>
      </c>
      <c r="E1142" t="s">
        <v>10</v>
      </c>
      <c r="F1142" t="s">
        <v>41</v>
      </c>
      <c r="G1142">
        <v>4.9000000000000004</v>
      </c>
    </row>
    <row r="1143" spans="1:7" x14ac:dyDescent="0.25">
      <c r="A1143" t="s">
        <v>5</v>
      </c>
      <c r="B1143">
        <v>1141</v>
      </c>
      <c r="C1143">
        <v>20</v>
      </c>
      <c r="D1143">
        <v>2.8397705554962158</v>
      </c>
      <c r="E1143" t="s">
        <v>10</v>
      </c>
      <c r="F1143" t="s">
        <v>41</v>
      </c>
      <c r="G1143">
        <v>4.9000000000000004</v>
      </c>
    </row>
    <row r="1144" spans="1:7" x14ac:dyDescent="0.25">
      <c r="A1144" t="s">
        <v>5</v>
      </c>
      <c r="B1144">
        <v>1142</v>
      </c>
      <c r="C1144">
        <v>70</v>
      </c>
      <c r="D1144">
        <v>3.823552131652832</v>
      </c>
      <c r="E1144" t="s">
        <v>10</v>
      </c>
      <c r="F1144" t="s">
        <v>41</v>
      </c>
      <c r="G1144">
        <v>4.9000000000000004</v>
      </c>
    </row>
    <row r="1145" spans="1:7" x14ac:dyDescent="0.25">
      <c r="A1145" t="s">
        <v>5</v>
      </c>
      <c r="B1145">
        <v>1143</v>
      </c>
      <c r="C1145">
        <v>30</v>
      </c>
      <c r="D1145">
        <v>2.9984610080718994</v>
      </c>
      <c r="E1145" t="s">
        <v>10</v>
      </c>
      <c r="F1145" t="s">
        <v>41</v>
      </c>
      <c r="G1145">
        <v>4.9000000000000004</v>
      </c>
    </row>
    <row r="1146" spans="1:7" x14ac:dyDescent="0.25">
      <c r="A1146" t="s">
        <v>5</v>
      </c>
      <c r="B1146">
        <v>1144</v>
      </c>
      <c r="C1146">
        <v>37</v>
      </c>
      <c r="D1146">
        <v>4.384692907333374</v>
      </c>
      <c r="E1146" t="s">
        <v>10</v>
      </c>
      <c r="F1146" t="s">
        <v>41</v>
      </c>
      <c r="G1146">
        <v>4.9000000000000004</v>
      </c>
    </row>
    <row r="1147" spans="1:7" x14ac:dyDescent="0.25">
      <c r="A1147" t="s">
        <v>5</v>
      </c>
      <c r="B1147">
        <v>1145</v>
      </c>
      <c r="C1147">
        <v>70</v>
      </c>
      <c r="D1147">
        <v>4.9311208724975586</v>
      </c>
      <c r="E1147" t="s">
        <v>10</v>
      </c>
      <c r="F1147" t="s">
        <v>41</v>
      </c>
      <c r="G1147">
        <v>4.9000000000000004</v>
      </c>
    </row>
    <row r="1148" spans="1:7" x14ac:dyDescent="0.25">
      <c r="A1148" t="s">
        <v>5</v>
      </c>
      <c r="B1148">
        <v>1146</v>
      </c>
      <c r="C1148">
        <v>16</v>
      </c>
      <c r="D1148">
        <v>2.6267452239990234</v>
      </c>
      <c r="E1148" t="s">
        <v>10</v>
      </c>
      <c r="F1148" t="s">
        <v>41</v>
      </c>
      <c r="G1148">
        <v>4.9000000000000004</v>
      </c>
    </row>
    <row r="1149" spans="1:7" x14ac:dyDescent="0.25">
      <c r="A1149" t="s">
        <v>5</v>
      </c>
      <c r="B1149">
        <v>1147</v>
      </c>
      <c r="C1149">
        <v>20</v>
      </c>
      <c r="D1149">
        <v>2.650644063949585</v>
      </c>
      <c r="E1149" t="s">
        <v>10</v>
      </c>
      <c r="F1149" t="s">
        <v>41</v>
      </c>
      <c r="G1149">
        <v>4.9000000000000004</v>
      </c>
    </row>
    <row r="1150" spans="1:7" x14ac:dyDescent="0.25">
      <c r="A1150" t="s">
        <v>5</v>
      </c>
      <c r="B1150">
        <v>1148</v>
      </c>
      <c r="C1150">
        <v>21</v>
      </c>
      <c r="D1150">
        <v>3.257767915725708</v>
      </c>
      <c r="E1150" t="s">
        <v>10</v>
      </c>
      <c r="F1150" t="s">
        <v>41</v>
      </c>
      <c r="G1150">
        <v>4.9000000000000004</v>
      </c>
    </row>
    <row r="1151" spans="1:7" x14ac:dyDescent="0.25">
      <c r="A1151" t="s">
        <v>5</v>
      </c>
      <c r="B1151">
        <v>1149</v>
      </c>
      <c r="C1151">
        <v>50</v>
      </c>
      <c r="D1151">
        <v>3.1375088691711426</v>
      </c>
      <c r="E1151" t="s">
        <v>10</v>
      </c>
      <c r="F1151" t="s">
        <v>41</v>
      </c>
      <c r="G1151">
        <v>4.9000000000000004</v>
      </c>
    </row>
    <row r="1152" spans="1:7" x14ac:dyDescent="0.25">
      <c r="A1152" t="s">
        <v>5</v>
      </c>
      <c r="B1152">
        <v>1150</v>
      </c>
      <c r="C1152">
        <v>70</v>
      </c>
      <c r="D1152">
        <v>3.4448037147521973</v>
      </c>
      <c r="E1152" t="s">
        <v>10</v>
      </c>
      <c r="F1152" t="s">
        <v>41</v>
      </c>
      <c r="G1152">
        <v>4.9000000000000004</v>
      </c>
    </row>
    <row r="1153" spans="1:7" x14ac:dyDescent="0.25">
      <c r="A1153" t="s">
        <v>5</v>
      </c>
      <c r="B1153">
        <v>1151</v>
      </c>
      <c r="C1153">
        <v>15</v>
      </c>
      <c r="D1153">
        <v>3.6020140647888184</v>
      </c>
      <c r="E1153" t="s">
        <v>10</v>
      </c>
      <c r="F1153" t="s">
        <v>41</v>
      </c>
      <c r="G1153">
        <v>4.9000000000000004</v>
      </c>
    </row>
    <row r="1154" spans="1:7" x14ac:dyDescent="0.25">
      <c r="A1154" t="s">
        <v>5</v>
      </c>
      <c r="B1154">
        <v>1152</v>
      </c>
      <c r="C1154">
        <v>24</v>
      </c>
      <c r="D1154">
        <v>5.4615273475646973</v>
      </c>
      <c r="E1154" t="s">
        <v>10</v>
      </c>
      <c r="F1154" t="s">
        <v>41</v>
      </c>
      <c r="G1154">
        <v>4.5999999999999996</v>
      </c>
    </row>
    <row r="1155" spans="1:7" x14ac:dyDescent="0.25">
      <c r="A1155" t="s">
        <v>5</v>
      </c>
      <c r="B1155">
        <v>1153</v>
      </c>
      <c r="C1155">
        <v>15</v>
      </c>
      <c r="D1155">
        <v>2.9715273380279541</v>
      </c>
      <c r="E1155" t="s">
        <v>10</v>
      </c>
      <c r="F1155" t="s">
        <v>41</v>
      </c>
      <c r="G1155">
        <v>4.5999999999999996</v>
      </c>
    </row>
    <row r="1156" spans="1:7" x14ac:dyDescent="0.25">
      <c r="A1156" t="s">
        <v>5</v>
      </c>
      <c r="B1156">
        <v>1154</v>
      </c>
      <c r="C1156">
        <v>20</v>
      </c>
      <c r="D1156">
        <v>3.4022257328033447</v>
      </c>
      <c r="E1156" t="s">
        <v>10</v>
      </c>
      <c r="F1156" t="s">
        <v>41</v>
      </c>
      <c r="G1156">
        <v>4.5999999999999996</v>
      </c>
    </row>
    <row r="1157" spans="1:7" x14ac:dyDescent="0.25">
      <c r="A1157" t="s">
        <v>5</v>
      </c>
      <c r="B1157">
        <v>1155</v>
      </c>
      <c r="C1157">
        <v>100</v>
      </c>
      <c r="D1157">
        <v>4.5595042705535889</v>
      </c>
      <c r="E1157" t="s">
        <v>10</v>
      </c>
      <c r="F1157" t="s">
        <v>41</v>
      </c>
      <c r="G1157">
        <v>4.5999999999999996</v>
      </c>
    </row>
    <row r="1158" spans="1:7" x14ac:dyDescent="0.25">
      <c r="A1158" t="s">
        <v>5</v>
      </c>
      <c r="B1158">
        <v>1156</v>
      </c>
      <c r="C1158">
        <v>16</v>
      </c>
      <c r="D1158">
        <v>3.3750119209289551</v>
      </c>
      <c r="E1158" t="s">
        <v>10</v>
      </c>
      <c r="F1158" t="s">
        <v>41</v>
      </c>
      <c r="G1158">
        <v>4.5999999999999996</v>
      </c>
    </row>
    <row r="1159" spans="1:7" x14ac:dyDescent="0.25">
      <c r="A1159" t="s">
        <v>5</v>
      </c>
      <c r="B1159">
        <v>1157</v>
      </c>
      <c r="C1159">
        <v>16</v>
      </c>
      <c r="D1159">
        <v>4.0469570159912109</v>
      </c>
      <c r="E1159" t="s">
        <v>10</v>
      </c>
      <c r="F1159" t="s">
        <v>41</v>
      </c>
      <c r="G1159">
        <v>4.5999999999999996</v>
      </c>
    </row>
    <row r="1160" spans="1:7" x14ac:dyDescent="0.25">
      <c r="A1160" t="s">
        <v>5</v>
      </c>
      <c r="B1160">
        <v>1158</v>
      </c>
      <c r="C1160">
        <v>15</v>
      </c>
      <c r="D1160">
        <v>2.8117189407348633</v>
      </c>
      <c r="E1160" t="s">
        <v>10</v>
      </c>
      <c r="F1160" t="s">
        <v>45</v>
      </c>
      <c r="G1160">
        <v>4.5999999999999996</v>
      </c>
    </row>
    <row r="1161" spans="1:7" x14ac:dyDescent="0.25">
      <c r="A1161" t="s">
        <v>5</v>
      </c>
      <c r="B1161">
        <v>1159</v>
      </c>
      <c r="C1161">
        <v>13</v>
      </c>
      <c r="D1161">
        <v>2.84238600730896</v>
      </c>
      <c r="E1161" t="s">
        <v>10</v>
      </c>
      <c r="F1161" t="s">
        <v>45</v>
      </c>
      <c r="G1161">
        <v>4.5999999999999996</v>
      </c>
    </row>
    <row r="1162" spans="1:7" x14ac:dyDescent="0.25">
      <c r="A1162" t="s">
        <v>5</v>
      </c>
      <c r="B1162">
        <v>1160</v>
      </c>
      <c r="C1162">
        <v>100</v>
      </c>
      <c r="D1162">
        <v>3.7519285678863525</v>
      </c>
      <c r="E1162" t="s">
        <v>10</v>
      </c>
      <c r="F1162" t="s">
        <v>45</v>
      </c>
      <c r="G1162">
        <v>4.5999999999999996</v>
      </c>
    </row>
    <row r="1163" spans="1:7" x14ac:dyDescent="0.25">
      <c r="A1163" t="s">
        <v>5</v>
      </c>
      <c r="B1163">
        <v>1161</v>
      </c>
      <c r="C1163">
        <v>100</v>
      </c>
      <c r="D1163">
        <v>5.4855315685272217</v>
      </c>
      <c r="E1163" t="s">
        <v>10</v>
      </c>
      <c r="F1163" t="s">
        <v>41</v>
      </c>
      <c r="G1163">
        <v>4.9000000000000004</v>
      </c>
    </row>
    <row r="1164" spans="1:7" x14ac:dyDescent="0.25">
      <c r="A1164" t="s">
        <v>5</v>
      </c>
      <c r="B1164">
        <v>1162</v>
      </c>
      <c r="C1164">
        <v>82</v>
      </c>
      <c r="D1164">
        <v>11.168908834457397</v>
      </c>
      <c r="E1164" t="s">
        <v>10</v>
      </c>
      <c r="F1164" t="s">
        <v>41</v>
      </c>
      <c r="G1164">
        <v>4.9000000000000004</v>
      </c>
    </row>
    <row r="1165" spans="1:7" x14ac:dyDescent="0.25">
      <c r="A1165" t="s">
        <v>5</v>
      </c>
      <c r="B1165">
        <v>1163</v>
      </c>
      <c r="C1165">
        <v>100</v>
      </c>
      <c r="D1165">
        <v>5.5569448471069336</v>
      </c>
      <c r="E1165" t="s">
        <v>10</v>
      </c>
      <c r="F1165" t="s">
        <v>41</v>
      </c>
      <c r="G1165">
        <v>4.9000000000000004</v>
      </c>
    </row>
    <row r="1166" spans="1:7" x14ac:dyDescent="0.25">
      <c r="A1166" t="s">
        <v>5</v>
      </c>
      <c r="B1166">
        <v>1164</v>
      </c>
      <c r="C1166">
        <v>70</v>
      </c>
      <c r="D1166">
        <v>3.2870795726776123</v>
      </c>
      <c r="E1166" t="s">
        <v>10</v>
      </c>
      <c r="F1166" t="s">
        <v>41</v>
      </c>
      <c r="G1166">
        <v>4.9000000000000004</v>
      </c>
    </row>
    <row r="1167" spans="1:7" x14ac:dyDescent="0.25">
      <c r="A1167" t="s">
        <v>5</v>
      </c>
      <c r="B1167">
        <v>1165</v>
      </c>
      <c r="C1167">
        <v>37</v>
      </c>
      <c r="D1167">
        <v>2.2996866703033447</v>
      </c>
      <c r="E1167" t="s">
        <v>10</v>
      </c>
      <c r="F1167" t="s">
        <v>41</v>
      </c>
      <c r="G1167">
        <v>4.9000000000000004</v>
      </c>
    </row>
    <row r="1168" spans="1:7" x14ac:dyDescent="0.25">
      <c r="A1168" t="s">
        <v>5</v>
      </c>
      <c r="B1168">
        <v>1166</v>
      </c>
      <c r="C1168">
        <v>100</v>
      </c>
      <c r="D1168">
        <v>3.3928239345550537</v>
      </c>
      <c r="E1168" t="s">
        <v>10</v>
      </c>
      <c r="F1168" t="s">
        <v>41</v>
      </c>
      <c r="G1168">
        <v>4.9000000000000004</v>
      </c>
    </row>
    <row r="1169" spans="1:7" x14ac:dyDescent="0.25">
      <c r="A1169" t="s">
        <v>5</v>
      </c>
      <c r="B1169">
        <v>1167</v>
      </c>
      <c r="C1169">
        <v>100</v>
      </c>
      <c r="D1169">
        <v>3.0929868221282959</v>
      </c>
      <c r="E1169" t="s">
        <v>10</v>
      </c>
      <c r="F1169" t="s">
        <v>41</v>
      </c>
      <c r="G1169">
        <v>4.9000000000000004</v>
      </c>
    </row>
    <row r="1170" spans="1:7" x14ac:dyDescent="0.25">
      <c r="A1170" t="s">
        <v>5</v>
      </c>
      <c r="B1170">
        <v>1168</v>
      </c>
      <c r="C1170">
        <v>70</v>
      </c>
      <c r="D1170">
        <v>5.1734461784362793</v>
      </c>
      <c r="E1170" t="s">
        <v>10</v>
      </c>
      <c r="F1170" t="s">
        <v>41</v>
      </c>
      <c r="G1170">
        <v>4.9000000000000004</v>
      </c>
    </row>
    <row r="1171" spans="1:7" x14ac:dyDescent="0.25">
      <c r="A1171" t="s">
        <v>5</v>
      </c>
      <c r="B1171">
        <v>1169</v>
      </c>
      <c r="C1171">
        <v>83</v>
      </c>
      <c r="D1171">
        <v>12.721022605895996</v>
      </c>
      <c r="E1171" t="s">
        <v>10</v>
      </c>
      <c r="F1171" t="s">
        <v>41</v>
      </c>
      <c r="G1171">
        <v>4.9000000000000004</v>
      </c>
    </row>
    <row r="1172" spans="1:7" x14ac:dyDescent="0.25">
      <c r="A1172" t="s">
        <v>5</v>
      </c>
      <c r="B1172">
        <v>1170</v>
      </c>
      <c r="C1172">
        <v>100</v>
      </c>
      <c r="D1172">
        <v>4.8219363689422607</v>
      </c>
      <c r="E1172" t="s">
        <v>10</v>
      </c>
      <c r="F1172" t="s">
        <v>41</v>
      </c>
      <c r="G1172">
        <v>4.9000000000000004</v>
      </c>
    </row>
    <row r="1173" spans="1:7" x14ac:dyDescent="0.25">
      <c r="A1173" t="s">
        <v>5</v>
      </c>
      <c r="B1173">
        <v>1171</v>
      </c>
      <c r="C1173">
        <v>47</v>
      </c>
      <c r="D1173">
        <v>4.1609869003295898</v>
      </c>
      <c r="E1173" t="s">
        <v>10</v>
      </c>
      <c r="F1173" t="s">
        <v>41</v>
      </c>
      <c r="G1173">
        <v>4.9000000000000004</v>
      </c>
    </row>
    <row r="1174" spans="1:7" x14ac:dyDescent="0.25">
      <c r="A1174" t="s">
        <v>5</v>
      </c>
      <c r="B1174">
        <v>1172</v>
      </c>
      <c r="C1174">
        <v>14</v>
      </c>
      <c r="D1174">
        <v>3.4904224872589111</v>
      </c>
      <c r="E1174" t="s">
        <v>10</v>
      </c>
      <c r="F1174" t="s">
        <v>41</v>
      </c>
      <c r="G1174">
        <v>4.9000000000000004</v>
      </c>
    </row>
    <row r="1175" spans="1:7" x14ac:dyDescent="0.25">
      <c r="A1175" t="s">
        <v>5</v>
      </c>
      <c r="B1175">
        <v>1173</v>
      </c>
      <c r="C1175">
        <v>40</v>
      </c>
      <c r="D1175">
        <v>2.663400411605835</v>
      </c>
      <c r="E1175" t="s">
        <v>10</v>
      </c>
      <c r="F1175" t="s">
        <v>41</v>
      </c>
      <c r="G1175">
        <v>4.9000000000000004</v>
      </c>
    </row>
    <row r="1176" spans="1:7" x14ac:dyDescent="0.25">
      <c r="A1176" t="s">
        <v>5</v>
      </c>
      <c r="B1176">
        <v>1174</v>
      </c>
      <c r="C1176">
        <v>16</v>
      </c>
      <c r="D1176">
        <v>2.7476449012756348</v>
      </c>
      <c r="E1176" t="s">
        <v>10</v>
      </c>
      <c r="F1176" t="s">
        <v>41</v>
      </c>
      <c r="G1176">
        <v>4.9000000000000004</v>
      </c>
    </row>
    <row r="1177" spans="1:7" x14ac:dyDescent="0.25">
      <c r="A1177" t="s">
        <v>5</v>
      </c>
      <c r="B1177">
        <v>1175</v>
      </c>
      <c r="C1177">
        <v>30</v>
      </c>
      <c r="D1177">
        <v>2.8164293766021729</v>
      </c>
      <c r="E1177" t="s">
        <v>10</v>
      </c>
      <c r="F1177" t="s">
        <v>41</v>
      </c>
      <c r="G1177">
        <v>4.9000000000000004</v>
      </c>
    </row>
    <row r="1178" spans="1:7" x14ac:dyDescent="0.25">
      <c r="A1178" t="s">
        <v>5</v>
      </c>
      <c r="B1178">
        <v>1176</v>
      </c>
      <c r="C1178">
        <v>90</v>
      </c>
      <c r="D1178">
        <v>5.7688684463500977</v>
      </c>
      <c r="E1178" t="s">
        <v>10</v>
      </c>
      <c r="F1178" t="s">
        <v>46</v>
      </c>
      <c r="G1178">
        <v>4.9000000000000004</v>
      </c>
    </row>
    <row r="1179" spans="1:7" x14ac:dyDescent="0.25">
      <c r="A1179" t="s">
        <v>5</v>
      </c>
      <c r="B1179">
        <v>1177</v>
      </c>
      <c r="C1179">
        <v>80</v>
      </c>
      <c r="D1179">
        <v>11.999544143676758</v>
      </c>
      <c r="E1179" t="s">
        <v>10</v>
      </c>
      <c r="F1179" t="s">
        <v>46</v>
      </c>
      <c r="G1179">
        <v>4.9000000000000004</v>
      </c>
    </row>
    <row r="1180" spans="1:7" x14ac:dyDescent="0.25">
      <c r="A1180" t="s">
        <v>5</v>
      </c>
      <c r="B1180">
        <v>1178</v>
      </c>
      <c r="C1180">
        <v>57</v>
      </c>
      <c r="D1180">
        <v>2.9702825546264648</v>
      </c>
      <c r="E1180" t="s">
        <v>10</v>
      </c>
      <c r="F1180" t="s">
        <v>41</v>
      </c>
      <c r="G1180">
        <v>4.9000000000000004</v>
      </c>
    </row>
    <row r="1181" spans="1:7" x14ac:dyDescent="0.25">
      <c r="A1181" t="s">
        <v>5</v>
      </c>
      <c r="B1181">
        <v>1179</v>
      </c>
      <c r="C1181">
        <v>100</v>
      </c>
      <c r="D1181">
        <v>4.7950375080108643</v>
      </c>
      <c r="E1181" t="s">
        <v>10</v>
      </c>
      <c r="F1181" t="s">
        <v>41</v>
      </c>
      <c r="G1181">
        <v>4.9000000000000004</v>
      </c>
    </row>
    <row r="1182" spans="1:7" x14ac:dyDescent="0.25">
      <c r="A1182" t="s">
        <v>5</v>
      </c>
      <c r="B1182">
        <v>1180</v>
      </c>
      <c r="C1182">
        <v>30</v>
      </c>
      <c r="D1182">
        <v>3.3673121929168701</v>
      </c>
      <c r="E1182" t="s">
        <v>10</v>
      </c>
      <c r="F1182" t="s">
        <v>41</v>
      </c>
      <c r="G1182">
        <v>4.9000000000000004</v>
      </c>
    </row>
    <row r="1183" spans="1:7" x14ac:dyDescent="0.25">
      <c r="A1183" t="s">
        <v>5</v>
      </c>
      <c r="B1183">
        <v>1181</v>
      </c>
      <c r="C1183">
        <v>100</v>
      </c>
      <c r="D1183">
        <v>17.108342170715332</v>
      </c>
      <c r="E1183" t="s">
        <v>10</v>
      </c>
      <c r="F1183" t="s">
        <v>41</v>
      </c>
      <c r="G1183">
        <v>5.4</v>
      </c>
    </row>
    <row r="1184" spans="1:7" x14ac:dyDescent="0.25">
      <c r="A1184" t="s">
        <v>5</v>
      </c>
      <c r="B1184">
        <v>1182</v>
      </c>
      <c r="C1184">
        <v>50</v>
      </c>
      <c r="D1184">
        <v>7.9346721172332764</v>
      </c>
      <c r="E1184" t="s">
        <v>10</v>
      </c>
      <c r="F1184" t="s">
        <v>46</v>
      </c>
      <c r="G1184">
        <v>5.4</v>
      </c>
    </row>
    <row r="1185" spans="1:7" x14ac:dyDescent="0.25">
      <c r="A1185" t="s">
        <v>5</v>
      </c>
      <c r="B1185">
        <v>1183</v>
      </c>
      <c r="C1185">
        <v>70</v>
      </c>
      <c r="D1185">
        <v>4.3722512722015381</v>
      </c>
      <c r="E1185" t="s">
        <v>10</v>
      </c>
      <c r="F1185" t="s">
        <v>46</v>
      </c>
      <c r="G1185">
        <v>4.9000000000000004</v>
      </c>
    </row>
    <row r="1186" spans="1:7" x14ac:dyDescent="0.25">
      <c r="A1186" t="s">
        <v>5</v>
      </c>
      <c r="B1186">
        <v>1184</v>
      </c>
      <c r="C1186">
        <v>100</v>
      </c>
      <c r="D1186">
        <v>3.3022215366363525</v>
      </c>
      <c r="E1186" t="s">
        <v>10</v>
      </c>
      <c r="F1186" t="s">
        <v>41</v>
      </c>
      <c r="G1186">
        <v>4.9000000000000004</v>
      </c>
    </row>
    <row r="1187" spans="1:7" x14ac:dyDescent="0.25">
      <c r="A1187" t="s">
        <v>5</v>
      </c>
      <c r="B1187">
        <v>1185</v>
      </c>
      <c r="C1187">
        <v>100</v>
      </c>
      <c r="D1187">
        <v>3.2531945705413818</v>
      </c>
      <c r="E1187" t="s">
        <v>10</v>
      </c>
      <c r="F1187" t="s">
        <v>41</v>
      </c>
      <c r="G1187">
        <v>4.9000000000000004</v>
      </c>
    </row>
    <row r="1188" spans="1:7" x14ac:dyDescent="0.25">
      <c r="A1188" t="s">
        <v>5</v>
      </c>
      <c r="B1188">
        <v>1186</v>
      </c>
      <c r="C1188">
        <v>21</v>
      </c>
      <c r="D1188">
        <v>3.5263469219207764</v>
      </c>
      <c r="E1188" t="s">
        <v>10</v>
      </c>
      <c r="F1188" t="s">
        <v>41</v>
      </c>
      <c r="G1188">
        <v>4.9000000000000004</v>
      </c>
    </row>
    <row r="1189" spans="1:7" x14ac:dyDescent="0.25">
      <c r="A1189" t="s">
        <v>5</v>
      </c>
      <c r="B1189">
        <v>1187</v>
      </c>
      <c r="C1189">
        <v>10</v>
      </c>
      <c r="D1189">
        <v>3.7011096477508545</v>
      </c>
      <c r="E1189" t="s">
        <v>10</v>
      </c>
      <c r="F1189" t="s">
        <v>41</v>
      </c>
      <c r="G1189">
        <v>4.9000000000000004</v>
      </c>
    </row>
    <row r="1190" spans="1:7" x14ac:dyDescent="0.25">
      <c r="A1190" t="s">
        <v>5</v>
      </c>
      <c r="B1190">
        <v>1188</v>
      </c>
      <c r="C1190">
        <v>42</v>
      </c>
      <c r="D1190">
        <v>7.2210116386413574</v>
      </c>
      <c r="E1190" t="s">
        <v>10</v>
      </c>
      <c r="F1190" t="s">
        <v>41</v>
      </c>
      <c r="G1190">
        <v>4.9000000000000004</v>
      </c>
    </row>
    <row r="1191" spans="1:7" x14ac:dyDescent="0.25">
      <c r="A1191" t="s">
        <v>5</v>
      </c>
      <c r="B1191">
        <v>1189</v>
      </c>
      <c r="C1191">
        <v>70</v>
      </c>
      <c r="D1191">
        <v>3.0763430595397949</v>
      </c>
      <c r="E1191" t="s">
        <v>10</v>
      </c>
      <c r="F1191" t="s">
        <v>41</v>
      </c>
      <c r="G1191">
        <v>4.9000000000000004</v>
      </c>
    </row>
    <row r="1192" spans="1:7" x14ac:dyDescent="0.25">
      <c r="A1192" t="s">
        <v>5</v>
      </c>
      <c r="B1192">
        <v>1190</v>
      </c>
      <c r="C1192">
        <v>100</v>
      </c>
      <c r="D1192">
        <v>3.4003088474273682</v>
      </c>
      <c r="E1192" t="s">
        <v>10</v>
      </c>
      <c r="F1192" t="s">
        <v>41</v>
      </c>
      <c r="G1192">
        <v>4.9000000000000004</v>
      </c>
    </row>
    <row r="1193" spans="1:7" x14ac:dyDescent="0.25">
      <c r="A1193" t="s">
        <v>5</v>
      </c>
      <c r="B1193">
        <v>1191</v>
      </c>
      <c r="C1193">
        <v>50</v>
      </c>
      <c r="D1193">
        <v>3.3452882766723633</v>
      </c>
      <c r="E1193" t="s">
        <v>10</v>
      </c>
      <c r="F1193" t="s">
        <v>41</v>
      </c>
      <c r="G1193">
        <v>4.9000000000000004</v>
      </c>
    </row>
    <row r="1194" spans="1:7" x14ac:dyDescent="0.25">
      <c r="A1194" t="s">
        <v>5</v>
      </c>
      <c r="B1194">
        <v>1192</v>
      </c>
      <c r="C1194">
        <v>27</v>
      </c>
      <c r="D1194">
        <v>3.3106718063354492</v>
      </c>
      <c r="E1194" t="s">
        <v>10</v>
      </c>
      <c r="F1194" t="s">
        <v>41</v>
      </c>
      <c r="G1194">
        <v>4.9000000000000004</v>
      </c>
    </row>
    <row r="1195" spans="1:7" x14ac:dyDescent="0.25">
      <c r="A1195" t="s">
        <v>5</v>
      </c>
      <c r="B1195">
        <v>1193</v>
      </c>
      <c r="C1195">
        <v>63</v>
      </c>
      <c r="D1195">
        <v>13.319993019104004</v>
      </c>
      <c r="E1195" t="s">
        <v>10</v>
      </c>
      <c r="F1195" t="s">
        <v>41</v>
      </c>
      <c r="G1195">
        <v>4.9000000000000004</v>
      </c>
    </row>
    <row r="1196" spans="1:7" x14ac:dyDescent="0.25">
      <c r="A1196" t="s">
        <v>5</v>
      </c>
      <c r="B1196">
        <v>1194</v>
      </c>
      <c r="C1196">
        <v>100</v>
      </c>
      <c r="D1196">
        <v>7.2586915493011475</v>
      </c>
      <c r="E1196" t="s">
        <v>10</v>
      </c>
      <c r="F1196" t="s">
        <v>41</v>
      </c>
      <c r="G1196">
        <v>4.9000000000000004</v>
      </c>
    </row>
    <row r="1197" spans="1:7" x14ac:dyDescent="0.25">
      <c r="A1197" t="s">
        <v>5</v>
      </c>
      <c r="B1197">
        <v>1195</v>
      </c>
      <c r="C1197">
        <v>47</v>
      </c>
      <c r="D1197">
        <v>11.555158615112305</v>
      </c>
      <c r="E1197" t="s">
        <v>10</v>
      </c>
      <c r="F1197" t="s">
        <v>55</v>
      </c>
      <c r="G1197">
        <v>10</v>
      </c>
    </row>
    <row r="1198" spans="1:7" x14ac:dyDescent="0.25">
      <c r="A1198" t="s">
        <v>5</v>
      </c>
      <c r="B1198">
        <v>1196</v>
      </c>
      <c r="C1198">
        <v>30</v>
      </c>
      <c r="D1198">
        <v>2.8129026889801025</v>
      </c>
      <c r="E1198" t="s">
        <v>10</v>
      </c>
      <c r="F1198" t="s">
        <v>41</v>
      </c>
      <c r="G1198">
        <v>6.8</v>
      </c>
    </row>
    <row r="1199" spans="1:7" x14ac:dyDescent="0.25">
      <c r="A1199" t="s">
        <v>5</v>
      </c>
      <c r="B1199">
        <v>1197</v>
      </c>
      <c r="C1199">
        <v>27</v>
      </c>
      <c r="D1199">
        <v>2.9865109920501709</v>
      </c>
      <c r="E1199" t="s">
        <v>10</v>
      </c>
      <c r="F1199" t="s">
        <v>41</v>
      </c>
      <c r="G1199">
        <v>6.8</v>
      </c>
    </row>
    <row r="1200" spans="1:7" x14ac:dyDescent="0.25">
      <c r="A1200" t="s">
        <v>5</v>
      </c>
      <c r="B1200">
        <v>1198</v>
      </c>
      <c r="C1200">
        <v>0</v>
      </c>
      <c r="D1200">
        <v>3.3190531730651855</v>
      </c>
      <c r="E1200" t="s">
        <v>10</v>
      </c>
      <c r="F1200" t="s">
        <v>41</v>
      </c>
      <c r="G1200">
        <v>6.8</v>
      </c>
    </row>
    <row r="1201" spans="1:7" x14ac:dyDescent="0.25">
      <c r="A1201" t="s">
        <v>5</v>
      </c>
      <c r="B1201">
        <v>1199</v>
      </c>
      <c r="C1201">
        <v>57</v>
      </c>
      <c r="D1201">
        <v>3.6109218597412109</v>
      </c>
      <c r="E1201" t="s">
        <v>10</v>
      </c>
      <c r="F1201" t="s">
        <v>41</v>
      </c>
      <c r="G1201">
        <v>6.8</v>
      </c>
    </row>
    <row r="1202" spans="1:7" x14ac:dyDescent="0.25">
      <c r="A1202" t="s">
        <v>5</v>
      </c>
      <c r="B1202">
        <v>1200</v>
      </c>
      <c r="C1202">
        <v>70</v>
      </c>
      <c r="D1202">
        <v>3.3726370334625244</v>
      </c>
      <c r="E1202" t="s">
        <v>10</v>
      </c>
      <c r="F1202" t="s">
        <v>41</v>
      </c>
      <c r="G1202">
        <v>6.8</v>
      </c>
    </row>
    <row r="1203" spans="1:7" x14ac:dyDescent="0.25">
      <c r="A1203" t="s">
        <v>5</v>
      </c>
      <c r="B1203">
        <v>1201</v>
      </c>
      <c r="C1203">
        <v>20</v>
      </c>
      <c r="D1203">
        <v>3.7388985157012939</v>
      </c>
      <c r="E1203" t="s">
        <v>10</v>
      </c>
      <c r="F1203" t="s">
        <v>41</v>
      </c>
      <c r="G1203">
        <v>6.8</v>
      </c>
    </row>
    <row r="1204" spans="1:7" x14ac:dyDescent="0.25">
      <c r="A1204" t="s">
        <v>5</v>
      </c>
      <c r="B1204">
        <v>1202</v>
      </c>
      <c r="C1204">
        <v>10</v>
      </c>
      <c r="D1204">
        <v>3.3619029521942139</v>
      </c>
      <c r="E1204" t="s">
        <v>10</v>
      </c>
      <c r="F1204" t="s">
        <v>41</v>
      </c>
      <c r="G1204">
        <v>6.8</v>
      </c>
    </row>
    <row r="1205" spans="1:7" x14ac:dyDescent="0.25">
      <c r="A1205" t="s">
        <v>5</v>
      </c>
      <c r="B1205">
        <v>1203</v>
      </c>
      <c r="C1205">
        <v>10</v>
      </c>
      <c r="D1205">
        <v>3.2386586666107178</v>
      </c>
      <c r="E1205" t="s">
        <v>10</v>
      </c>
      <c r="F1205" t="s">
        <v>41</v>
      </c>
      <c r="G1205">
        <v>6.8</v>
      </c>
    </row>
    <row r="1206" spans="1:7" x14ac:dyDescent="0.25">
      <c r="A1206" t="s">
        <v>5</v>
      </c>
      <c r="B1206">
        <v>1204</v>
      </c>
      <c r="C1206">
        <v>17</v>
      </c>
      <c r="D1206">
        <v>5.0524802207946777</v>
      </c>
      <c r="E1206" t="s">
        <v>10</v>
      </c>
      <c r="F1206" t="s">
        <v>41</v>
      </c>
      <c r="G1206">
        <v>6.8</v>
      </c>
    </row>
    <row r="1207" spans="1:7" x14ac:dyDescent="0.25">
      <c r="A1207" t="s">
        <v>5</v>
      </c>
      <c r="B1207">
        <v>1205</v>
      </c>
      <c r="C1207">
        <v>80</v>
      </c>
      <c r="D1207">
        <v>3.7842302322387695</v>
      </c>
      <c r="E1207" t="s">
        <v>10</v>
      </c>
      <c r="F1207" t="s">
        <v>41</v>
      </c>
      <c r="G1207">
        <v>6.8</v>
      </c>
    </row>
    <row r="1208" spans="1:7" x14ac:dyDescent="0.25">
      <c r="A1208" t="s">
        <v>5</v>
      </c>
      <c r="B1208">
        <v>1206</v>
      </c>
      <c r="C1208">
        <v>20</v>
      </c>
      <c r="D1208">
        <v>2.5295383930206299</v>
      </c>
      <c r="E1208" t="s">
        <v>10</v>
      </c>
      <c r="F1208" t="s">
        <v>41</v>
      </c>
      <c r="G1208">
        <v>6.8</v>
      </c>
    </row>
    <row r="1209" spans="1:7" x14ac:dyDescent="0.25">
      <c r="A1209" t="s">
        <v>5</v>
      </c>
      <c r="B1209">
        <v>1207</v>
      </c>
      <c r="C1209">
        <v>10</v>
      </c>
      <c r="D1209">
        <v>3.2262833118438721</v>
      </c>
      <c r="E1209" t="s">
        <v>10</v>
      </c>
      <c r="F1209" t="s">
        <v>41</v>
      </c>
      <c r="G1209">
        <v>6.8</v>
      </c>
    </row>
    <row r="1210" spans="1:7" x14ac:dyDescent="0.25">
      <c r="A1210" t="s">
        <v>5</v>
      </c>
      <c r="B1210">
        <v>1208</v>
      </c>
      <c r="C1210">
        <v>70</v>
      </c>
      <c r="D1210">
        <v>6.6049599647521973</v>
      </c>
      <c r="E1210" t="s">
        <v>10</v>
      </c>
      <c r="F1210" t="s">
        <v>46</v>
      </c>
      <c r="G1210">
        <v>4.9000000000000004</v>
      </c>
    </row>
    <row r="1211" spans="1:7" x14ac:dyDescent="0.25">
      <c r="A1211" t="s">
        <v>5</v>
      </c>
      <c r="B1211">
        <v>1209</v>
      </c>
      <c r="C1211">
        <v>60</v>
      </c>
      <c r="D1211">
        <v>5.6898119449615479</v>
      </c>
      <c r="E1211" t="s">
        <v>10</v>
      </c>
      <c r="F1211" t="s">
        <v>46</v>
      </c>
      <c r="G1211">
        <v>4.9000000000000004</v>
      </c>
    </row>
    <row r="1212" spans="1:7" x14ac:dyDescent="0.25">
      <c r="A1212" t="s">
        <v>5</v>
      </c>
      <c r="B1212">
        <v>1210</v>
      </c>
      <c r="C1212">
        <v>100</v>
      </c>
      <c r="D1212">
        <v>5.1919999122619629</v>
      </c>
      <c r="E1212" t="s">
        <v>10</v>
      </c>
      <c r="F1212" t="s">
        <v>46</v>
      </c>
      <c r="G1212">
        <v>4.9000000000000004</v>
      </c>
    </row>
    <row r="1213" spans="1:7" x14ac:dyDescent="0.25">
      <c r="A1213" t="s">
        <v>5</v>
      </c>
      <c r="B1213">
        <v>1211</v>
      </c>
      <c r="C1213">
        <v>57</v>
      </c>
      <c r="D1213">
        <v>5.3022501468658447</v>
      </c>
      <c r="E1213" t="s">
        <v>10</v>
      </c>
      <c r="F1213" t="s">
        <v>46</v>
      </c>
      <c r="G1213">
        <v>4.9000000000000004</v>
      </c>
    </row>
    <row r="1214" spans="1:7" x14ac:dyDescent="0.25">
      <c r="A1214" t="s">
        <v>5</v>
      </c>
      <c r="B1214">
        <v>1212</v>
      </c>
      <c r="C1214">
        <v>100</v>
      </c>
      <c r="D1214">
        <v>5.043755054473877</v>
      </c>
      <c r="E1214" t="s">
        <v>10</v>
      </c>
      <c r="F1214" t="s">
        <v>46</v>
      </c>
      <c r="G1214">
        <v>4.9000000000000004</v>
      </c>
    </row>
    <row r="1215" spans="1:7" x14ac:dyDescent="0.25">
      <c r="A1215" t="s">
        <v>5</v>
      </c>
      <c r="B1215">
        <v>1213</v>
      </c>
      <c r="C1215">
        <v>15</v>
      </c>
      <c r="D1215">
        <v>4.0805320739746094</v>
      </c>
      <c r="E1215" t="s">
        <v>10</v>
      </c>
      <c r="F1215" t="s">
        <v>46</v>
      </c>
      <c r="G1215">
        <v>4.9000000000000004</v>
      </c>
    </row>
    <row r="1216" spans="1:7" x14ac:dyDescent="0.25">
      <c r="A1216" t="s">
        <v>5</v>
      </c>
      <c r="B1216">
        <v>1214</v>
      </c>
      <c r="C1216">
        <v>100</v>
      </c>
      <c r="D1216">
        <v>5.4965550899505615</v>
      </c>
      <c r="E1216" t="s">
        <v>10</v>
      </c>
      <c r="F1216" t="s">
        <v>46</v>
      </c>
      <c r="G1216">
        <v>4.9000000000000004</v>
      </c>
    </row>
    <row r="1217" spans="1:7" x14ac:dyDescent="0.25">
      <c r="A1217" t="s">
        <v>5</v>
      </c>
      <c r="B1217">
        <v>1215</v>
      </c>
      <c r="C1217">
        <v>70</v>
      </c>
      <c r="D1217">
        <v>6.138887882232666</v>
      </c>
      <c r="E1217" t="s">
        <v>10</v>
      </c>
      <c r="F1217" t="s">
        <v>46</v>
      </c>
      <c r="G1217">
        <v>4.9000000000000004</v>
      </c>
    </row>
    <row r="1218" spans="1:7" x14ac:dyDescent="0.25">
      <c r="A1218" t="s">
        <v>5</v>
      </c>
      <c r="B1218">
        <v>1216</v>
      </c>
      <c r="C1218">
        <v>15</v>
      </c>
      <c r="D1218">
        <v>3.5374183654785156</v>
      </c>
      <c r="E1218" t="s">
        <v>10</v>
      </c>
      <c r="F1218" t="s">
        <v>46</v>
      </c>
      <c r="G1218">
        <v>4.9000000000000004</v>
      </c>
    </row>
    <row r="1219" spans="1:7" x14ac:dyDescent="0.25">
      <c r="A1219" t="s">
        <v>5</v>
      </c>
      <c r="B1219">
        <v>1217</v>
      </c>
      <c r="C1219">
        <v>37</v>
      </c>
      <c r="D1219">
        <v>3.4821052551269531</v>
      </c>
      <c r="E1219" t="s">
        <v>10</v>
      </c>
      <c r="F1219" t="s">
        <v>46</v>
      </c>
      <c r="G1219">
        <v>4.9000000000000004</v>
      </c>
    </row>
    <row r="1220" spans="1:7" x14ac:dyDescent="0.25">
      <c r="A1220" t="s">
        <v>5</v>
      </c>
      <c r="B1220">
        <v>1218</v>
      </c>
      <c r="C1220">
        <v>100</v>
      </c>
      <c r="D1220">
        <v>4.5797111988067627</v>
      </c>
      <c r="E1220" t="s">
        <v>10</v>
      </c>
      <c r="F1220" t="s">
        <v>46</v>
      </c>
      <c r="G1220">
        <v>4.9000000000000004</v>
      </c>
    </row>
    <row r="1221" spans="1:7" x14ac:dyDescent="0.25">
      <c r="A1221" t="s">
        <v>5</v>
      </c>
      <c r="B1221">
        <v>1219</v>
      </c>
      <c r="C1221">
        <v>80</v>
      </c>
      <c r="D1221">
        <v>3.2940528392791748</v>
      </c>
      <c r="E1221" t="s">
        <v>10</v>
      </c>
      <c r="F1221" t="s">
        <v>46</v>
      </c>
      <c r="G1221">
        <v>4.9000000000000004</v>
      </c>
    </row>
    <row r="1222" spans="1:7" x14ac:dyDescent="0.25">
      <c r="A1222" t="s">
        <v>5</v>
      </c>
      <c r="B1222">
        <v>1220</v>
      </c>
      <c r="C1222">
        <v>70</v>
      </c>
      <c r="D1222">
        <v>4.5223956108093262</v>
      </c>
      <c r="E1222" t="s">
        <v>10</v>
      </c>
      <c r="F1222" t="s">
        <v>46</v>
      </c>
      <c r="G1222">
        <v>4.9000000000000004</v>
      </c>
    </row>
    <row r="1223" spans="1:7" x14ac:dyDescent="0.25">
      <c r="A1223" t="s">
        <v>5</v>
      </c>
      <c r="B1223">
        <v>1221</v>
      </c>
      <c r="C1223">
        <v>0</v>
      </c>
      <c r="D1223">
        <v>15.669192790985107</v>
      </c>
      <c r="E1223" t="s">
        <v>10</v>
      </c>
      <c r="F1223" t="s">
        <v>46</v>
      </c>
      <c r="G1223">
        <v>4.9000000000000004</v>
      </c>
    </row>
    <row r="1224" spans="1:7" x14ac:dyDescent="0.25">
      <c r="A1224" t="s">
        <v>5</v>
      </c>
      <c r="B1224">
        <v>1222</v>
      </c>
      <c r="C1224">
        <v>5</v>
      </c>
      <c r="D1224">
        <v>9.2128751277923584</v>
      </c>
      <c r="E1224" t="s">
        <v>10</v>
      </c>
      <c r="F1224" t="s">
        <v>46</v>
      </c>
      <c r="G1224">
        <v>4.9000000000000004</v>
      </c>
    </row>
    <row r="1225" spans="1:7" x14ac:dyDescent="0.25">
      <c r="A1225" t="s">
        <v>5</v>
      </c>
      <c r="B1225">
        <v>1223</v>
      </c>
      <c r="C1225">
        <v>30</v>
      </c>
      <c r="D1225">
        <v>11.32041072845459</v>
      </c>
      <c r="E1225" t="s">
        <v>10</v>
      </c>
      <c r="F1225" t="s">
        <v>46</v>
      </c>
      <c r="G1225">
        <v>4.9000000000000004</v>
      </c>
    </row>
    <row r="1226" spans="1:7" x14ac:dyDescent="0.25">
      <c r="A1226" t="s">
        <v>5</v>
      </c>
      <c r="B1226">
        <v>1224</v>
      </c>
      <c r="C1226">
        <v>100</v>
      </c>
      <c r="D1226">
        <v>5.8375184535980225</v>
      </c>
      <c r="E1226" t="s">
        <v>10</v>
      </c>
      <c r="F1226" t="s">
        <v>46</v>
      </c>
      <c r="G1226">
        <v>4.9000000000000004</v>
      </c>
    </row>
    <row r="1227" spans="1:7" x14ac:dyDescent="0.25">
      <c r="A1227" t="s">
        <v>5</v>
      </c>
      <c r="B1227">
        <v>1225</v>
      </c>
      <c r="C1227">
        <v>70</v>
      </c>
      <c r="D1227">
        <v>5.4868249893188477</v>
      </c>
      <c r="E1227" t="s">
        <v>10</v>
      </c>
      <c r="F1227" t="s">
        <v>46</v>
      </c>
      <c r="G1227">
        <v>4.9000000000000004</v>
      </c>
    </row>
    <row r="1228" spans="1:7" x14ac:dyDescent="0.25">
      <c r="A1228" t="s">
        <v>5</v>
      </c>
      <c r="B1228">
        <v>1226</v>
      </c>
      <c r="C1228">
        <v>100</v>
      </c>
      <c r="D1228">
        <v>4.2472555637359619</v>
      </c>
      <c r="E1228" t="s">
        <v>10</v>
      </c>
      <c r="F1228" t="s">
        <v>46</v>
      </c>
      <c r="G1228">
        <v>4.9000000000000004</v>
      </c>
    </row>
    <row r="1229" spans="1:7" x14ac:dyDescent="0.25">
      <c r="A1229" t="s">
        <v>5</v>
      </c>
      <c r="B1229">
        <v>1227</v>
      </c>
      <c r="C1229">
        <v>70</v>
      </c>
      <c r="D1229">
        <v>5.0704152584075928</v>
      </c>
      <c r="E1229" t="s">
        <v>10</v>
      </c>
      <c r="F1229" t="s">
        <v>46</v>
      </c>
      <c r="G1229">
        <v>4.9000000000000004</v>
      </c>
    </row>
    <row r="1230" spans="1:7" x14ac:dyDescent="0.25">
      <c r="A1230" t="s">
        <v>5</v>
      </c>
      <c r="B1230">
        <v>1228</v>
      </c>
      <c r="C1230">
        <v>20</v>
      </c>
      <c r="D1230">
        <v>3.5266666412353516</v>
      </c>
      <c r="E1230" t="s">
        <v>10</v>
      </c>
      <c r="F1230" t="s">
        <v>46</v>
      </c>
      <c r="G1230">
        <v>4.9000000000000004</v>
      </c>
    </row>
    <row r="1231" spans="1:7" x14ac:dyDescent="0.25">
      <c r="A1231" t="s">
        <v>5</v>
      </c>
      <c r="B1231">
        <v>1229</v>
      </c>
      <c r="C1231">
        <v>82</v>
      </c>
      <c r="D1231">
        <v>16.770710468292236</v>
      </c>
      <c r="E1231" t="s">
        <v>10</v>
      </c>
      <c r="F1231" t="s">
        <v>46</v>
      </c>
      <c r="G1231">
        <v>4.9000000000000004</v>
      </c>
    </row>
    <row r="1232" spans="1:7" x14ac:dyDescent="0.25">
      <c r="A1232" t="s">
        <v>5</v>
      </c>
      <c r="B1232">
        <v>1230</v>
      </c>
      <c r="C1232">
        <v>100</v>
      </c>
      <c r="D1232">
        <v>7.4495992660522461</v>
      </c>
      <c r="E1232" t="s">
        <v>10</v>
      </c>
      <c r="F1232" t="s">
        <v>46</v>
      </c>
      <c r="G1232">
        <v>4.9000000000000004</v>
      </c>
    </row>
    <row r="1233" spans="1:7" x14ac:dyDescent="0.25">
      <c r="A1233" t="s">
        <v>5</v>
      </c>
      <c r="B1233">
        <v>1231</v>
      </c>
      <c r="C1233">
        <v>30</v>
      </c>
      <c r="D1233">
        <v>3.2242040634155273</v>
      </c>
      <c r="E1233" t="s">
        <v>10</v>
      </c>
      <c r="F1233" t="s">
        <v>46</v>
      </c>
      <c r="G1233">
        <v>4.9000000000000004</v>
      </c>
    </row>
    <row r="1234" spans="1:7" x14ac:dyDescent="0.25">
      <c r="A1234" t="s">
        <v>5</v>
      </c>
      <c r="B1234">
        <v>1232</v>
      </c>
      <c r="C1234">
        <v>53</v>
      </c>
      <c r="D1234">
        <v>11.685314178466797</v>
      </c>
      <c r="E1234" t="s">
        <v>10</v>
      </c>
      <c r="F1234" t="s">
        <v>46</v>
      </c>
      <c r="G1234">
        <v>4.9000000000000004</v>
      </c>
    </row>
    <row r="1235" spans="1:7" x14ac:dyDescent="0.25">
      <c r="A1235" t="s">
        <v>5</v>
      </c>
      <c r="B1235">
        <v>1233</v>
      </c>
      <c r="C1235">
        <v>37</v>
      </c>
      <c r="D1235">
        <v>6.5016679763793945</v>
      </c>
      <c r="E1235" t="s">
        <v>10</v>
      </c>
      <c r="F1235" t="s">
        <v>46</v>
      </c>
      <c r="G1235">
        <v>4.9000000000000004</v>
      </c>
    </row>
    <row r="1236" spans="1:7" x14ac:dyDescent="0.25">
      <c r="A1236" t="s">
        <v>5</v>
      </c>
      <c r="B1236">
        <v>1234</v>
      </c>
      <c r="C1236">
        <v>37</v>
      </c>
      <c r="D1236">
        <v>6.402318000793457</v>
      </c>
      <c r="E1236" t="s">
        <v>10</v>
      </c>
      <c r="F1236" t="s">
        <v>46</v>
      </c>
      <c r="G1236">
        <v>4.9000000000000004</v>
      </c>
    </row>
    <row r="1237" spans="1:7" x14ac:dyDescent="0.25">
      <c r="A1237" t="s">
        <v>5</v>
      </c>
      <c r="B1237">
        <v>1235</v>
      </c>
      <c r="C1237">
        <v>14</v>
      </c>
      <c r="D1237">
        <v>6.9271142482757568</v>
      </c>
      <c r="E1237" t="s">
        <v>10</v>
      </c>
      <c r="F1237" t="s">
        <v>46</v>
      </c>
      <c r="G1237">
        <v>4.9000000000000004</v>
      </c>
    </row>
    <row r="1238" spans="1:7" x14ac:dyDescent="0.25">
      <c r="A1238" t="s">
        <v>5</v>
      </c>
      <c r="B1238">
        <v>1236</v>
      </c>
      <c r="C1238">
        <v>70</v>
      </c>
      <c r="D1238">
        <v>6.4931840896606445</v>
      </c>
      <c r="E1238" t="s">
        <v>10</v>
      </c>
      <c r="F1238" t="s">
        <v>46</v>
      </c>
      <c r="G1238">
        <v>4.9000000000000004</v>
      </c>
    </row>
    <row r="1239" spans="1:7" x14ac:dyDescent="0.25">
      <c r="A1239" t="s">
        <v>5</v>
      </c>
      <c r="B1239">
        <v>1237</v>
      </c>
      <c r="C1239">
        <v>20</v>
      </c>
      <c r="D1239">
        <v>3.2211265563964844</v>
      </c>
      <c r="E1239" t="s">
        <v>10</v>
      </c>
      <c r="F1239" t="s">
        <v>46</v>
      </c>
      <c r="G1239">
        <v>4.9000000000000004</v>
      </c>
    </row>
    <row r="1240" spans="1:7" x14ac:dyDescent="0.25">
      <c r="A1240" t="s">
        <v>5</v>
      </c>
      <c r="B1240">
        <v>1238</v>
      </c>
      <c r="C1240">
        <v>87</v>
      </c>
      <c r="D1240">
        <v>11.005166053771973</v>
      </c>
      <c r="E1240" t="s">
        <v>10</v>
      </c>
      <c r="F1240" t="s">
        <v>46</v>
      </c>
      <c r="G1240">
        <v>4.9000000000000004</v>
      </c>
    </row>
    <row r="1241" spans="1:7" x14ac:dyDescent="0.25">
      <c r="A1241" t="s">
        <v>5</v>
      </c>
      <c r="B1241">
        <v>1239</v>
      </c>
      <c r="C1241">
        <v>0</v>
      </c>
      <c r="D1241">
        <v>12.948419332504272</v>
      </c>
      <c r="E1241" t="s">
        <v>10</v>
      </c>
      <c r="F1241" t="s">
        <v>46</v>
      </c>
      <c r="G1241">
        <v>4.9000000000000004</v>
      </c>
    </row>
    <row r="1242" spans="1:7" x14ac:dyDescent="0.25">
      <c r="A1242" t="s">
        <v>5</v>
      </c>
      <c r="B1242">
        <v>1240</v>
      </c>
      <c r="C1242">
        <v>25</v>
      </c>
      <c r="D1242">
        <v>4.8009133338928223</v>
      </c>
      <c r="E1242" t="s">
        <v>10</v>
      </c>
      <c r="F1242" t="s">
        <v>46</v>
      </c>
      <c r="G1242">
        <v>4.9000000000000004</v>
      </c>
    </row>
    <row r="1243" spans="1:7" x14ac:dyDescent="0.25">
      <c r="A1243" t="s">
        <v>5</v>
      </c>
      <c r="B1243">
        <v>1241</v>
      </c>
      <c r="C1243">
        <v>100</v>
      </c>
      <c r="D1243">
        <v>4.5553579330444336</v>
      </c>
      <c r="E1243" t="s">
        <v>10</v>
      </c>
      <c r="F1243" t="s">
        <v>46</v>
      </c>
      <c r="G1243">
        <v>4.9000000000000004</v>
      </c>
    </row>
    <row r="1244" spans="1:7" x14ac:dyDescent="0.25">
      <c r="A1244" t="s">
        <v>5</v>
      </c>
      <c r="B1244">
        <v>1242</v>
      </c>
      <c r="C1244">
        <v>100</v>
      </c>
      <c r="D1244">
        <v>5.5249123573303223</v>
      </c>
      <c r="E1244" t="s">
        <v>10</v>
      </c>
      <c r="F1244" t="s">
        <v>46</v>
      </c>
      <c r="G1244">
        <v>4.9000000000000004</v>
      </c>
    </row>
    <row r="1245" spans="1:7" x14ac:dyDescent="0.25">
      <c r="A1245" t="s">
        <v>5</v>
      </c>
      <c r="B1245">
        <v>1243</v>
      </c>
      <c r="C1245">
        <v>23</v>
      </c>
      <c r="D1245">
        <v>4.2734997272491455</v>
      </c>
      <c r="E1245" t="s">
        <v>10</v>
      </c>
      <c r="F1245" t="s">
        <v>46</v>
      </c>
      <c r="G1245">
        <v>4.9000000000000004</v>
      </c>
    </row>
    <row r="1246" spans="1:7" x14ac:dyDescent="0.25">
      <c r="A1246" t="s">
        <v>5</v>
      </c>
      <c r="B1246">
        <v>1244</v>
      </c>
      <c r="C1246">
        <v>46</v>
      </c>
      <c r="D1246">
        <v>6.3894922733306885</v>
      </c>
      <c r="E1246" t="s">
        <v>10</v>
      </c>
      <c r="F1246" t="s">
        <v>46</v>
      </c>
      <c r="G1246">
        <v>4.9000000000000004</v>
      </c>
    </row>
    <row r="1247" spans="1:7" x14ac:dyDescent="0.25">
      <c r="A1247" t="s">
        <v>5</v>
      </c>
      <c r="B1247">
        <v>1245</v>
      </c>
      <c r="C1247">
        <v>87</v>
      </c>
      <c r="D1247">
        <v>11.266753435134888</v>
      </c>
      <c r="E1247" t="s">
        <v>10</v>
      </c>
      <c r="F1247" t="s">
        <v>46</v>
      </c>
      <c r="G1247">
        <v>4.9000000000000004</v>
      </c>
    </row>
    <row r="1248" spans="1:7" x14ac:dyDescent="0.25">
      <c r="A1248" t="s">
        <v>5</v>
      </c>
      <c r="B1248">
        <v>1246</v>
      </c>
      <c r="C1248">
        <v>100</v>
      </c>
      <c r="D1248">
        <v>5.8156020641326904</v>
      </c>
      <c r="E1248" t="s">
        <v>10</v>
      </c>
      <c r="F1248" t="s">
        <v>46</v>
      </c>
      <c r="G1248">
        <v>4.9000000000000004</v>
      </c>
    </row>
    <row r="1249" spans="1:7" x14ac:dyDescent="0.25">
      <c r="A1249" t="s">
        <v>5</v>
      </c>
      <c r="B1249">
        <v>1247</v>
      </c>
      <c r="C1249">
        <v>100</v>
      </c>
      <c r="D1249">
        <v>7.1350171566009521</v>
      </c>
      <c r="E1249" t="s">
        <v>10</v>
      </c>
      <c r="F1249" t="s">
        <v>46</v>
      </c>
      <c r="G1249">
        <v>4.9000000000000004</v>
      </c>
    </row>
    <row r="1250" spans="1:7" x14ac:dyDescent="0.25">
      <c r="A1250" t="s">
        <v>5</v>
      </c>
      <c r="B1250">
        <v>1248</v>
      </c>
      <c r="C1250">
        <v>37</v>
      </c>
      <c r="D1250">
        <v>8.2149224281311035</v>
      </c>
      <c r="E1250" t="s">
        <v>10</v>
      </c>
      <c r="F1250" t="s">
        <v>46</v>
      </c>
      <c r="G1250">
        <v>4.9000000000000004</v>
      </c>
    </row>
    <row r="1251" spans="1:7" x14ac:dyDescent="0.25">
      <c r="A1251" t="s">
        <v>5</v>
      </c>
      <c r="B1251">
        <v>1249</v>
      </c>
      <c r="C1251">
        <v>70</v>
      </c>
      <c r="D1251">
        <v>6.8975415229797363</v>
      </c>
      <c r="E1251" t="s">
        <v>10</v>
      </c>
      <c r="F1251" t="s">
        <v>46</v>
      </c>
      <c r="G1251">
        <v>4.9000000000000004</v>
      </c>
    </row>
    <row r="1252" spans="1:7" x14ac:dyDescent="0.25">
      <c r="A1252" t="s">
        <v>5</v>
      </c>
      <c r="B1252">
        <v>1250</v>
      </c>
      <c r="C1252">
        <v>82</v>
      </c>
      <c r="D1252">
        <v>8.2720422744750977</v>
      </c>
      <c r="E1252" t="s">
        <v>10</v>
      </c>
      <c r="F1252" t="s">
        <v>46</v>
      </c>
      <c r="G1252">
        <v>4.9000000000000004</v>
      </c>
    </row>
    <row r="1253" spans="1:7" x14ac:dyDescent="0.25">
      <c r="A1253" t="s">
        <v>5</v>
      </c>
      <c r="B1253">
        <v>1251</v>
      </c>
      <c r="C1253">
        <v>0</v>
      </c>
      <c r="D1253">
        <v>8.8424158096313477</v>
      </c>
      <c r="E1253" t="s">
        <v>10</v>
      </c>
      <c r="F1253" t="s">
        <v>46</v>
      </c>
      <c r="G1253">
        <v>4.9000000000000004</v>
      </c>
    </row>
    <row r="1254" spans="1:7" x14ac:dyDescent="0.25">
      <c r="A1254" t="s">
        <v>5</v>
      </c>
      <c r="B1254">
        <v>1252</v>
      </c>
      <c r="C1254">
        <v>70</v>
      </c>
      <c r="D1254">
        <v>14.438119411468506</v>
      </c>
      <c r="E1254" t="s">
        <v>10</v>
      </c>
      <c r="F1254" t="s">
        <v>46</v>
      </c>
      <c r="G1254">
        <v>4.9000000000000004</v>
      </c>
    </row>
    <row r="1255" spans="1:7" x14ac:dyDescent="0.25">
      <c r="A1255" t="s">
        <v>5</v>
      </c>
      <c r="B1255">
        <v>1253</v>
      </c>
      <c r="C1255">
        <v>93</v>
      </c>
      <c r="D1255">
        <v>17.490117788314819</v>
      </c>
      <c r="E1255" t="s">
        <v>10</v>
      </c>
      <c r="F1255" t="s">
        <v>46</v>
      </c>
      <c r="G1255">
        <v>4.9000000000000004</v>
      </c>
    </row>
    <row r="1256" spans="1:7" x14ac:dyDescent="0.25">
      <c r="A1256" t="s">
        <v>5</v>
      </c>
      <c r="B1256">
        <v>1254</v>
      </c>
      <c r="C1256">
        <v>100</v>
      </c>
      <c r="D1256">
        <v>5.6685929298400879</v>
      </c>
      <c r="E1256" t="s">
        <v>10</v>
      </c>
      <c r="F1256" t="s">
        <v>46</v>
      </c>
      <c r="G1256">
        <v>4.9000000000000004</v>
      </c>
    </row>
    <row r="1257" spans="1:7" x14ac:dyDescent="0.25">
      <c r="A1257" t="s">
        <v>5</v>
      </c>
      <c r="B1257">
        <v>1255</v>
      </c>
      <c r="C1257">
        <v>70</v>
      </c>
      <c r="D1257">
        <v>6.3650271892547607</v>
      </c>
      <c r="E1257" t="s">
        <v>10</v>
      </c>
      <c r="F1257" t="s">
        <v>46</v>
      </c>
      <c r="G1257">
        <v>4.9000000000000004</v>
      </c>
    </row>
    <row r="1258" spans="1:7" x14ac:dyDescent="0.25">
      <c r="A1258" t="s">
        <v>5</v>
      </c>
      <c r="B1258">
        <v>1256</v>
      </c>
      <c r="C1258">
        <v>100</v>
      </c>
      <c r="D1258">
        <v>5.2386915683746338</v>
      </c>
      <c r="E1258" t="s">
        <v>10</v>
      </c>
      <c r="F1258" t="s">
        <v>46</v>
      </c>
      <c r="G1258">
        <v>4.9000000000000004</v>
      </c>
    </row>
    <row r="1259" spans="1:7" x14ac:dyDescent="0.25">
      <c r="A1259" t="s">
        <v>5</v>
      </c>
      <c r="B1259">
        <v>1257</v>
      </c>
      <c r="C1259">
        <v>27</v>
      </c>
      <c r="D1259">
        <v>5.5108919143676758</v>
      </c>
      <c r="E1259" t="s">
        <v>10</v>
      </c>
      <c r="F1259" t="s">
        <v>46</v>
      </c>
      <c r="G1259">
        <v>4.9000000000000004</v>
      </c>
    </row>
    <row r="1260" spans="1:7" x14ac:dyDescent="0.25">
      <c r="A1260" t="s">
        <v>5</v>
      </c>
      <c r="B1260">
        <v>1258</v>
      </c>
      <c r="C1260">
        <v>100</v>
      </c>
      <c r="D1260">
        <v>6.1878523826599121</v>
      </c>
      <c r="E1260" t="s">
        <v>10</v>
      </c>
      <c r="F1260" t="s">
        <v>46</v>
      </c>
      <c r="G1260">
        <v>4.9000000000000004</v>
      </c>
    </row>
    <row r="1261" spans="1:7" x14ac:dyDescent="0.25">
      <c r="A1261" t="s">
        <v>5</v>
      </c>
      <c r="B1261">
        <v>1259</v>
      </c>
      <c r="C1261">
        <v>13</v>
      </c>
      <c r="D1261">
        <v>3.5237128734588623</v>
      </c>
      <c r="E1261" t="s">
        <v>10</v>
      </c>
      <c r="F1261" t="s">
        <v>46</v>
      </c>
      <c r="G1261">
        <v>4.9000000000000004</v>
      </c>
    </row>
    <row r="1262" spans="1:7" x14ac:dyDescent="0.25">
      <c r="A1262" t="s">
        <v>5</v>
      </c>
      <c r="B1262">
        <v>1260</v>
      </c>
      <c r="C1262">
        <v>17</v>
      </c>
      <c r="D1262">
        <v>3.6980514526367188</v>
      </c>
      <c r="E1262" t="s">
        <v>10</v>
      </c>
      <c r="F1262" t="s">
        <v>46</v>
      </c>
      <c r="G1262">
        <v>4.9000000000000004</v>
      </c>
    </row>
    <row r="1263" spans="1:7" x14ac:dyDescent="0.25">
      <c r="A1263" t="s">
        <v>5</v>
      </c>
      <c r="B1263">
        <v>1261</v>
      </c>
      <c r="C1263">
        <v>100</v>
      </c>
      <c r="D1263">
        <v>14.257802724838257</v>
      </c>
      <c r="E1263" t="s">
        <v>10</v>
      </c>
      <c r="F1263" t="s">
        <v>46</v>
      </c>
      <c r="G1263">
        <v>4.9000000000000004</v>
      </c>
    </row>
    <row r="1264" spans="1:7" x14ac:dyDescent="0.25">
      <c r="A1264" t="s">
        <v>5</v>
      </c>
      <c r="B1264">
        <v>1262</v>
      </c>
      <c r="C1264">
        <v>100</v>
      </c>
      <c r="D1264">
        <v>5.8451833724975586</v>
      </c>
      <c r="E1264" t="s">
        <v>10</v>
      </c>
      <c r="F1264" t="s">
        <v>46</v>
      </c>
      <c r="G1264">
        <v>4.9000000000000004</v>
      </c>
    </row>
    <row r="1265" spans="1:7" x14ac:dyDescent="0.25">
      <c r="A1265" t="s">
        <v>5</v>
      </c>
      <c r="B1265">
        <v>1263</v>
      </c>
      <c r="C1265">
        <v>15</v>
      </c>
      <c r="D1265">
        <v>3.6425290107727051</v>
      </c>
      <c r="E1265" t="s">
        <v>10</v>
      </c>
      <c r="F1265" t="s">
        <v>46</v>
      </c>
      <c r="G1265">
        <v>4.9000000000000004</v>
      </c>
    </row>
    <row r="1266" spans="1:7" x14ac:dyDescent="0.25">
      <c r="A1266" t="s">
        <v>5</v>
      </c>
      <c r="B1266">
        <v>1264</v>
      </c>
      <c r="C1266">
        <v>100</v>
      </c>
      <c r="D1266">
        <v>3.998485803604126</v>
      </c>
      <c r="E1266" t="s">
        <v>10</v>
      </c>
      <c r="F1266" t="s">
        <v>46</v>
      </c>
      <c r="G1266">
        <v>4.9000000000000004</v>
      </c>
    </row>
    <row r="1267" spans="1:7" x14ac:dyDescent="0.25">
      <c r="A1267" t="s">
        <v>5</v>
      </c>
      <c r="B1267">
        <v>1265</v>
      </c>
      <c r="C1267">
        <v>40</v>
      </c>
      <c r="D1267">
        <v>3.3088910579681396</v>
      </c>
      <c r="E1267" t="s">
        <v>10</v>
      </c>
      <c r="F1267" t="s">
        <v>46</v>
      </c>
      <c r="G1267">
        <v>4.9000000000000004</v>
      </c>
    </row>
    <row r="1268" spans="1:7" x14ac:dyDescent="0.25">
      <c r="A1268" t="s">
        <v>5</v>
      </c>
      <c r="B1268">
        <v>1266</v>
      </c>
      <c r="C1268">
        <v>27</v>
      </c>
      <c r="D1268">
        <v>4.716832160949707</v>
      </c>
      <c r="E1268" t="s">
        <v>10</v>
      </c>
      <c r="F1268" t="s">
        <v>46</v>
      </c>
      <c r="G1268">
        <v>4.9000000000000004</v>
      </c>
    </row>
    <row r="1269" spans="1:7" x14ac:dyDescent="0.25">
      <c r="A1269" t="s">
        <v>5</v>
      </c>
      <c r="B1269">
        <v>1267</v>
      </c>
      <c r="C1269">
        <v>10</v>
      </c>
      <c r="D1269">
        <v>4.9859218597412109</v>
      </c>
      <c r="E1269" t="s">
        <v>10</v>
      </c>
      <c r="F1269" t="s">
        <v>46</v>
      </c>
      <c r="G1269">
        <v>4.9000000000000004</v>
      </c>
    </row>
    <row r="1270" spans="1:7" x14ac:dyDescent="0.25">
      <c r="A1270" t="s">
        <v>5</v>
      </c>
      <c r="B1270">
        <v>1268</v>
      </c>
      <c r="C1270">
        <v>70</v>
      </c>
      <c r="D1270">
        <v>4.0629198551177979</v>
      </c>
      <c r="E1270" t="s">
        <v>10</v>
      </c>
      <c r="F1270" t="s">
        <v>46</v>
      </c>
      <c r="G1270">
        <v>4.9000000000000004</v>
      </c>
    </row>
    <row r="1271" spans="1:7" x14ac:dyDescent="0.25">
      <c r="A1271" t="s">
        <v>5</v>
      </c>
      <c r="B1271">
        <v>1269</v>
      </c>
      <c r="C1271">
        <v>30</v>
      </c>
      <c r="D1271">
        <v>3.4865763187408447</v>
      </c>
      <c r="E1271" t="s">
        <v>10</v>
      </c>
      <c r="F1271" t="s">
        <v>46</v>
      </c>
      <c r="G1271">
        <v>4.9000000000000004</v>
      </c>
    </row>
    <row r="1272" spans="1:7" x14ac:dyDescent="0.25">
      <c r="A1272" t="s">
        <v>5</v>
      </c>
      <c r="B1272">
        <v>1270</v>
      </c>
      <c r="C1272">
        <v>30</v>
      </c>
      <c r="D1272">
        <v>3.5214543342590332</v>
      </c>
      <c r="E1272" t="s">
        <v>10</v>
      </c>
      <c r="F1272" t="s">
        <v>46</v>
      </c>
      <c r="G1272">
        <v>4.9000000000000004</v>
      </c>
    </row>
    <row r="1273" spans="1:7" x14ac:dyDescent="0.25">
      <c r="A1273" t="s">
        <v>5</v>
      </c>
      <c r="B1273">
        <v>1271</v>
      </c>
      <c r="C1273">
        <v>70</v>
      </c>
      <c r="D1273">
        <v>3.8028035163879395</v>
      </c>
      <c r="E1273" t="s">
        <v>10</v>
      </c>
      <c r="F1273" t="s">
        <v>46</v>
      </c>
      <c r="G1273">
        <v>4.9000000000000004</v>
      </c>
    </row>
    <row r="1274" spans="1:7" x14ac:dyDescent="0.25">
      <c r="A1274" t="s">
        <v>5</v>
      </c>
      <c r="B1274">
        <v>1272</v>
      </c>
      <c r="C1274">
        <v>100</v>
      </c>
      <c r="D1274">
        <v>4.8048694133758545</v>
      </c>
      <c r="E1274" t="s">
        <v>10</v>
      </c>
      <c r="F1274" t="s">
        <v>46</v>
      </c>
      <c r="G1274">
        <v>4.9000000000000004</v>
      </c>
    </row>
    <row r="1275" spans="1:7" x14ac:dyDescent="0.25">
      <c r="A1275" t="s">
        <v>5</v>
      </c>
      <c r="B1275">
        <v>1273</v>
      </c>
      <c r="C1275">
        <v>27</v>
      </c>
      <c r="D1275">
        <v>3.9722311496734619</v>
      </c>
      <c r="E1275" t="s">
        <v>10</v>
      </c>
      <c r="F1275" t="s">
        <v>46</v>
      </c>
      <c r="G1275">
        <v>4.9000000000000004</v>
      </c>
    </row>
    <row r="1276" spans="1:7" x14ac:dyDescent="0.25">
      <c r="A1276" t="s">
        <v>5</v>
      </c>
      <c r="B1276">
        <v>1274</v>
      </c>
      <c r="C1276">
        <v>27</v>
      </c>
      <c r="D1276">
        <v>4.4204413890838623</v>
      </c>
      <c r="E1276" t="s">
        <v>10</v>
      </c>
      <c r="F1276" t="s">
        <v>46</v>
      </c>
      <c r="G1276">
        <v>4.9000000000000004</v>
      </c>
    </row>
    <row r="1277" spans="1:7" x14ac:dyDescent="0.25">
      <c r="A1277" t="s">
        <v>5</v>
      </c>
      <c r="B1277">
        <v>1275</v>
      </c>
      <c r="C1277">
        <v>30</v>
      </c>
      <c r="D1277">
        <v>3.8512864112854004</v>
      </c>
      <c r="E1277" t="s">
        <v>10</v>
      </c>
      <c r="F1277" t="s">
        <v>46</v>
      </c>
      <c r="G1277">
        <v>4.9000000000000004</v>
      </c>
    </row>
    <row r="1278" spans="1:7" x14ac:dyDescent="0.25">
      <c r="A1278" t="s">
        <v>5</v>
      </c>
      <c r="B1278">
        <v>1276</v>
      </c>
      <c r="C1278">
        <v>70</v>
      </c>
      <c r="D1278">
        <v>3.4760429859161377</v>
      </c>
      <c r="E1278" t="s">
        <v>10</v>
      </c>
      <c r="F1278" t="s">
        <v>46</v>
      </c>
      <c r="G1278">
        <v>4.9000000000000004</v>
      </c>
    </row>
    <row r="1279" spans="1:7" x14ac:dyDescent="0.25">
      <c r="A1279" t="s">
        <v>5</v>
      </c>
      <c r="B1279">
        <v>1277</v>
      </c>
      <c r="C1279">
        <v>37</v>
      </c>
      <c r="D1279">
        <v>6.3341274261474609</v>
      </c>
      <c r="E1279" t="s">
        <v>10</v>
      </c>
      <c r="F1279" t="s">
        <v>46</v>
      </c>
      <c r="G1279">
        <v>4.9000000000000004</v>
      </c>
    </row>
    <row r="1280" spans="1:7" x14ac:dyDescent="0.25">
      <c r="A1280" t="s">
        <v>5</v>
      </c>
      <c r="B1280">
        <v>1278</v>
      </c>
      <c r="C1280">
        <v>37</v>
      </c>
      <c r="D1280">
        <v>2.8885948657989502</v>
      </c>
      <c r="E1280" t="s">
        <v>10</v>
      </c>
      <c r="F1280" t="s">
        <v>46</v>
      </c>
      <c r="G1280">
        <v>4.9000000000000004</v>
      </c>
    </row>
    <row r="1281" spans="1:7" x14ac:dyDescent="0.25">
      <c r="A1281" t="s">
        <v>5</v>
      </c>
      <c r="B1281">
        <v>1279</v>
      </c>
      <c r="C1281">
        <v>100</v>
      </c>
      <c r="D1281">
        <v>4.5406792163848877</v>
      </c>
      <c r="E1281" t="s">
        <v>10</v>
      </c>
      <c r="F1281" t="s">
        <v>46</v>
      </c>
      <c r="G1281">
        <v>4.9000000000000004</v>
      </c>
    </row>
    <row r="1282" spans="1:7" x14ac:dyDescent="0.25">
      <c r="A1282" t="s">
        <v>5</v>
      </c>
      <c r="B1282">
        <v>1280</v>
      </c>
      <c r="C1282">
        <v>40</v>
      </c>
      <c r="D1282">
        <v>4.1657195091247559</v>
      </c>
      <c r="E1282" t="s">
        <v>10</v>
      </c>
      <c r="F1282" t="s">
        <v>46</v>
      </c>
      <c r="G1282">
        <v>4.9000000000000004</v>
      </c>
    </row>
    <row r="1283" spans="1:7" x14ac:dyDescent="0.25">
      <c r="A1283" t="s">
        <v>5</v>
      </c>
      <c r="B1283">
        <v>1281</v>
      </c>
      <c r="C1283">
        <v>20</v>
      </c>
      <c r="D1283">
        <v>3.0575966835021973</v>
      </c>
      <c r="E1283" t="s">
        <v>10</v>
      </c>
      <c r="F1283" t="s">
        <v>46</v>
      </c>
      <c r="G1283">
        <v>4.9000000000000004</v>
      </c>
    </row>
    <row r="1284" spans="1:7" x14ac:dyDescent="0.25">
      <c r="A1284" t="s">
        <v>5</v>
      </c>
      <c r="B1284">
        <v>1282</v>
      </c>
      <c r="C1284">
        <v>42</v>
      </c>
      <c r="D1284">
        <v>16.709460735321045</v>
      </c>
      <c r="E1284" t="s">
        <v>10</v>
      </c>
      <c r="F1284" t="s">
        <v>55</v>
      </c>
      <c r="G1284">
        <v>4.9000000000000004</v>
      </c>
    </row>
    <row r="1285" spans="1:7" x14ac:dyDescent="0.25">
      <c r="A1285" t="s">
        <v>5</v>
      </c>
      <c r="B1285">
        <v>1283</v>
      </c>
      <c r="C1285">
        <v>80</v>
      </c>
      <c r="D1285">
        <v>10.400710821151733</v>
      </c>
      <c r="E1285" t="s">
        <v>10</v>
      </c>
      <c r="F1285" t="s">
        <v>43</v>
      </c>
      <c r="G1285">
        <v>4.9000000000000004</v>
      </c>
    </row>
    <row r="1286" spans="1:7" x14ac:dyDescent="0.25">
      <c r="A1286" t="s">
        <v>5</v>
      </c>
      <c r="B1286">
        <v>1284</v>
      </c>
      <c r="C1286">
        <v>47</v>
      </c>
      <c r="D1286">
        <v>13.343197822570801</v>
      </c>
      <c r="E1286" t="s">
        <v>10</v>
      </c>
      <c r="F1286" t="s">
        <v>43</v>
      </c>
      <c r="G1286">
        <v>4.9000000000000004</v>
      </c>
    </row>
    <row r="1287" spans="1:7" x14ac:dyDescent="0.25">
      <c r="A1287" t="s">
        <v>5</v>
      </c>
      <c r="B1287">
        <v>1285</v>
      </c>
      <c r="C1287">
        <v>14</v>
      </c>
      <c r="D1287">
        <v>3.7849526405334473</v>
      </c>
      <c r="E1287" t="s">
        <v>10</v>
      </c>
      <c r="F1287" t="s">
        <v>43</v>
      </c>
      <c r="G1287">
        <v>4.9000000000000004</v>
      </c>
    </row>
    <row r="1288" spans="1:7" x14ac:dyDescent="0.25">
      <c r="A1288" t="s">
        <v>5</v>
      </c>
      <c r="B1288">
        <v>1286</v>
      </c>
      <c r="C1288">
        <v>100</v>
      </c>
      <c r="D1288">
        <v>5.6093857288360596</v>
      </c>
      <c r="E1288" t="s">
        <v>10</v>
      </c>
      <c r="F1288" t="s">
        <v>41</v>
      </c>
      <c r="G1288">
        <v>7.8</v>
      </c>
    </row>
    <row r="1289" spans="1:7" x14ac:dyDescent="0.25">
      <c r="A1289" t="s">
        <v>5</v>
      </c>
      <c r="B1289">
        <v>1287</v>
      </c>
      <c r="C1289">
        <v>100</v>
      </c>
      <c r="D1289">
        <v>15.142421722412109</v>
      </c>
      <c r="E1289" t="s">
        <v>10</v>
      </c>
      <c r="F1289" t="s">
        <v>41</v>
      </c>
      <c r="G1289">
        <v>7.8</v>
      </c>
    </row>
    <row r="1290" spans="1:7" x14ac:dyDescent="0.25">
      <c r="A1290" t="s">
        <v>5</v>
      </c>
      <c r="B1290">
        <v>1288</v>
      </c>
      <c r="C1290">
        <v>100</v>
      </c>
      <c r="D1290">
        <v>15.852236747741699</v>
      </c>
      <c r="E1290" t="s">
        <v>10</v>
      </c>
      <c r="F1290" t="s">
        <v>41</v>
      </c>
      <c r="G1290">
        <v>7.8</v>
      </c>
    </row>
    <row r="1291" spans="1:7" x14ac:dyDescent="0.25">
      <c r="A1291" t="s">
        <v>5</v>
      </c>
      <c r="B1291">
        <v>1289</v>
      </c>
      <c r="C1291">
        <v>100</v>
      </c>
      <c r="D1291">
        <v>5.7762844562530518</v>
      </c>
      <c r="E1291" t="s">
        <v>10</v>
      </c>
      <c r="F1291" t="s">
        <v>41</v>
      </c>
      <c r="G1291">
        <v>7.8</v>
      </c>
    </row>
    <row r="1292" spans="1:7" x14ac:dyDescent="0.25">
      <c r="A1292" t="s">
        <v>5</v>
      </c>
      <c r="B1292">
        <v>1290</v>
      </c>
      <c r="C1292">
        <v>50</v>
      </c>
      <c r="D1292">
        <v>6.5454506874084473</v>
      </c>
      <c r="E1292" t="s">
        <v>10</v>
      </c>
      <c r="F1292" t="s">
        <v>41</v>
      </c>
      <c r="G1292">
        <v>7.8</v>
      </c>
    </row>
    <row r="1293" spans="1:7" x14ac:dyDescent="0.25">
      <c r="A1293" t="s">
        <v>5</v>
      </c>
      <c r="B1293">
        <v>1291</v>
      </c>
      <c r="C1293">
        <v>100</v>
      </c>
      <c r="D1293">
        <v>4.1280679702758789</v>
      </c>
      <c r="E1293" t="s">
        <v>10</v>
      </c>
      <c r="F1293" t="s">
        <v>41</v>
      </c>
      <c r="G1293">
        <v>4.9000000000000004</v>
      </c>
    </row>
    <row r="1294" spans="1:7" x14ac:dyDescent="0.25">
      <c r="A1294" t="s">
        <v>5</v>
      </c>
      <c r="B1294">
        <v>1292</v>
      </c>
      <c r="C1294">
        <v>94</v>
      </c>
      <c r="D1294">
        <v>7.4451322555541992</v>
      </c>
      <c r="E1294" t="s">
        <v>10</v>
      </c>
      <c r="F1294" t="s">
        <v>41</v>
      </c>
      <c r="G1294">
        <v>4.9000000000000004</v>
      </c>
    </row>
    <row r="1295" spans="1:7" x14ac:dyDescent="0.25">
      <c r="A1295" t="s">
        <v>5</v>
      </c>
      <c r="B1295">
        <v>1293</v>
      </c>
      <c r="C1295">
        <v>37</v>
      </c>
      <c r="D1295">
        <v>11.100162029266357</v>
      </c>
      <c r="E1295" t="s">
        <v>10</v>
      </c>
      <c r="F1295" t="s">
        <v>48</v>
      </c>
      <c r="G1295">
        <v>7.2</v>
      </c>
    </row>
    <row r="1296" spans="1:7" x14ac:dyDescent="0.25">
      <c r="A1296" t="s">
        <v>5</v>
      </c>
      <c r="B1296">
        <v>1294</v>
      </c>
      <c r="C1296">
        <v>100</v>
      </c>
      <c r="D1296">
        <v>10.596698522567749</v>
      </c>
      <c r="E1296" t="s">
        <v>10</v>
      </c>
      <c r="F1296" t="s">
        <v>48</v>
      </c>
      <c r="G1296">
        <v>7.2</v>
      </c>
    </row>
    <row r="1297" spans="1:7" x14ac:dyDescent="0.25">
      <c r="A1297" t="s">
        <v>5</v>
      </c>
      <c r="B1297">
        <v>1295</v>
      </c>
      <c r="C1297">
        <v>21</v>
      </c>
      <c r="D1297">
        <v>4.9367613792419434</v>
      </c>
      <c r="E1297" t="s">
        <v>10</v>
      </c>
      <c r="F1297" t="s">
        <v>46</v>
      </c>
      <c r="G1297">
        <v>4.9000000000000004</v>
      </c>
    </row>
    <row r="1298" spans="1:7" x14ac:dyDescent="0.25">
      <c r="A1298" t="s">
        <v>5</v>
      </c>
      <c r="B1298">
        <v>1296</v>
      </c>
      <c r="C1298">
        <v>21</v>
      </c>
      <c r="D1298">
        <v>3.8963468074798584</v>
      </c>
      <c r="E1298" t="s">
        <v>10</v>
      </c>
      <c r="F1298" t="s">
        <v>13</v>
      </c>
      <c r="G1298">
        <v>2.1</v>
      </c>
    </row>
    <row r="1299" spans="1:7" x14ac:dyDescent="0.25">
      <c r="A1299" t="s">
        <v>5</v>
      </c>
      <c r="B1299">
        <v>1297</v>
      </c>
      <c r="C1299">
        <v>100</v>
      </c>
      <c r="D1299">
        <v>10.218709468841553</v>
      </c>
      <c r="E1299" t="s">
        <v>10</v>
      </c>
      <c r="F1299" t="s">
        <v>41</v>
      </c>
      <c r="G1299">
        <v>2.1</v>
      </c>
    </row>
    <row r="1300" spans="1:7" x14ac:dyDescent="0.25">
      <c r="A1300" t="s">
        <v>5</v>
      </c>
      <c r="B1300">
        <v>1298</v>
      </c>
      <c r="C1300">
        <v>47</v>
      </c>
      <c r="D1300">
        <v>3.3151350021362305</v>
      </c>
      <c r="E1300" t="s">
        <v>10</v>
      </c>
      <c r="F1300" t="s">
        <v>45</v>
      </c>
      <c r="G1300">
        <v>5</v>
      </c>
    </row>
    <row r="1301" spans="1:7" x14ac:dyDescent="0.25">
      <c r="A1301" t="s">
        <v>5</v>
      </c>
      <c r="B1301">
        <v>1299</v>
      </c>
      <c r="C1301">
        <v>40</v>
      </c>
      <c r="D1301">
        <v>4.0174190998077393</v>
      </c>
      <c r="E1301" t="s">
        <v>10</v>
      </c>
      <c r="F1301" t="s">
        <v>45</v>
      </c>
      <c r="G1301">
        <v>5</v>
      </c>
    </row>
    <row r="1302" spans="1:7" x14ac:dyDescent="0.25">
      <c r="A1302" t="s">
        <v>5</v>
      </c>
      <c r="B1302">
        <v>1300</v>
      </c>
      <c r="C1302">
        <v>100</v>
      </c>
      <c r="D1302">
        <v>7.1927745342254639</v>
      </c>
      <c r="E1302" t="s">
        <v>10</v>
      </c>
      <c r="F1302" t="s">
        <v>45</v>
      </c>
      <c r="G1302">
        <v>5</v>
      </c>
    </row>
    <row r="1303" spans="1:7" x14ac:dyDescent="0.25">
      <c r="A1303" t="s">
        <v>5</v>
      </c>
      <c r="B1303">
        <v>1301</v>
      </c>
      <c r="C1303">
        <v>90</v>
      </c>
      <c r="D1303">
        <v>4.2809531688690186</v>
      </c>
      <c r="E1303" t="s">
        <v>10</v>
      </c>
      <c r="F1303" t="s">
        <v>45</v>
      </c>
      <c r="G1303">
        <v>5</v>
      </c>
    </row>
    <row r="1304" spans="1:7" x14ac:dyDescent="0.25">
      <c r="A1304" t="s">
        <v>5</v>
      </c>
      <c r="B1304">
        <v>1302</v>
      </c>
      <c r="C1304">
        <v>100</v>
      </c>
      <c r="D1304">
        <v>3.8830809593200684</v>
      </c>
      <c r="E1304" t="s">
        <v>10</v>
      </c>
      <c r="F1304" t="s">
        <v>45</v>
      </c>
      <c r="G1304">
        <v>5</v>
      </c>
    </row>
    <row r="1305" spans="1:7" x14ac:dyDescent="0.25">
      <c r="A1305" t="s">
        <v>5</v>
      </c>
      <c r="B1305">
        <v>1303</v>
      </c>
      <c r="C1305">
        <v>17</v>
      </c>
      <c r="D1305">
        <v>3.4811861515045166</v>
      </c>
      <c r="E1305" t="s">
        <v>10</v>
      </c>
      <c r="F1305" t="s">
        <v>56</v>
      </c>
      <c r="G1305">
        <v>7.2</v>
      </c>
    </row>
    <row r="1306" spans="1:7" x14ac:dyDescent="0.25">
      <c r="A1306" t="s">
        <v>5</v>
      </c>
      <c r="B1306">
        <v>1304</v>
      </c>
      <c r="C1306">
        <v>70</v>
      </c>
      <c r="D1306">
        <v>4.7157888412475586</v>
      </c>
      <c r="E1306" t="s">
        <v>10</v>
      </c>
      <c r="F1306" t="s">
        <v>56</v>
      </c>
      <c r="G1306">
        <v>7.2</v>
      </c>
    </row>
    <row r="1307" spans="1:7" x14ac:dyDescent="0.25">
      <c r="A1307" t="s">
        <v>5</v>
      </c>
      <c r="B1307">
        <v>1305</v>
      </c>
      <c r="C1307">
        <v>80</v>
      </c>
      <c r="D1307">
        <v>6.0720891952514648</v>
      </c>
      <c r="E1307" t="s">
        <v>10</v>
      </c>
      <c r="F1307" t="s">
        <v>56</v>
      </c>
      <c r="G1307">
        <v>7.2</v>
      </c>
    </row>
    <row r="1308" spans="1:7" x14ac:dyDescent="0.25">
      <c r="A1308" t="s">
        <v>5</v>
      </c>
      <c r="B1308">
        <v>1306</v>
      </c>
      <c r="C1308">
        <v>100</v>
      </c>
      <c r="D1308">
        <v>4.98490309715271</v>
      </c>
      <c r="E1308" t="s">
        <v>10</v>
      </c>
      <c r="F1308" t="s">
        <v>56</v>
      </c>
      <c r="G1308">
        <v>7.2</v>
      </c>
    </row>
    <row r="1309" spans="1:7" x14ac:dyDescent="0.25">
      <c r="A1309" t="s">
        <v>5</v>
      </c>
      <c r="B1309">
        <v>1307</v>
      </c>
      <c r="C1309">
        <v>100</v>
      </c>
      <c r="D1309">
        <v>9.5383050441741943</v>
      </c>
      <c r="E1309" t="s">
        <v>10</v>
      </c>
      <c r="F1309" t="s">
        <v>41</v>
      </c>
      <c r="G1309">
        <v>4</v>
      </c>
    </row>
    <row r="1310" spans="1:7" x14ac:dyDescent="0.25">
      <c r="A1310" t="s">
        <v>5</v>
      </c>
      <c r="B1310">
        <v>1308</v>
      </c>
      <c r="C1310">
        <v>30</v>
      </c>
      <c r="D1310">
        <v>5.6390266418457031</v>
      </c>
      <c r="E1310" t="s">
        <v>10</v>
      </c>
      <c r="F1310" t="s">
        <v>57</v>
      </c>
      <c r="G1310">
        <v>7.2</v>
      </c>
    </row>
    <row r="1311" spans="1:7" x14ac:dyDescent="0.25">
      <c r="A1311" t="s">
        <v>5</v>
      </c>
      <c r="B1311">
        <v>1309</v>
      </c>
      <c r="C1311">
        <v>100</v>
      </c>
      <c r="D1311">
        <v>5.4078519344329834</v>
      </c>
      <c r="E1311" t="s">
        <v>10</v>
      </c>
      <c r="F1311" t="s">
        <v>41</v>
      </c>
      <c r="G1311">
        <v>5</v>
      </c>
    </row>
    <row r="1312" spans="1:7" x14ac:dyDescent="0.25">
      <c r="A1312" t="s">
        <v>5</v>
      </c>
      <c r="B1312">
        <v>1310</v>
      </c>
      <c r="C1312">
        <v>100</v>
      </c>
      <c r="D1312">
        <v>7.5814158916473389</v>
      </c>
      <c r="E1312" t="s">
        <v>10</v>
      </c>
      <c r="F1312" t="s">
        <v>45</v>
      </c>
      <c r="G1312">
        <v>3.3</v>
      </c>
    </row>
    <row r="1313" spans="1:7" x14ac:dyDescent="0.25">
      <c r="A1313" t="s">
        <v>5</v>
      </c>
      <c r="B1313">
        <v>1311</v>
      </c>
      <c r="C1313">
        <v>80</v>
      </c>
      <c r="D1313">
        <v>14.590230226516724</v>
      </c>
      <c r="E1313" t="s">
        <v>10</v>
      </c>
      <c r="F1313" t="s">
        <v>45</v>
      </c>
      <c r="G1313">
        <v>3.3</v>
      </c>
    </row>
    <row r="1314" spans="1:7" x14ac:dyDescent="0.25">
      <c r="A1314" t="s">
        <v>5</v>
      </c>
      <c r="B1314">
        <v>1312</v>
      </c>
      <c r="C1314">
        <v>70</v>
      </c>
      <c r="D1314">
        <v>3.2167384624481201</v>
      </c>
      <c r="E1314" t="s">
        <v>10</v>
      </c>
      <c r="F1314" t="s">
        <v>41</v>
      </c>
      <c r="G1314">
        <v>5.4</v>
      </c>
    </row>
    <row r="1315" spans="1:7" x14ac:dyDescent="0.25">
      <c r="A1315" t="s">
        <v>5</v>
      </c>
      <c r="B1315">
        <v>1313</v>
      </c>
      <c r="C1315">
        <v>80</v>
      </c>
      <c r="D1315">
        <v>3.8409152030944824</v>
      </c>
      <c r="E1315" t="s">
        <v>10</v>
      </c>
      <c r="F1315" t="s">
        <v>41</v>
      </c>
      <c r="G1315">
        <v>5.4</v>
      </c>
    </row>
    <row r="1316" spans="1:7" x14ac:dyDescent="0.25">
      <c r="A1316" t="s">
        <v>5</v>
      </c>
      <c r="B1316">
        <v>1314</v>
      </c>
      <c r="C1316">
        <v>21</v>
      </c>
      <c r="D1316">
        <v>3.0042459964752197</v>
      </c>
      <c r="E1316" t="s">
        <v>10</v>
      </c>
      <c r="F1316" t="s">
        <v>41</v>
      </c>
      <c r="G1316">
        <v>5.4</v>
      </c>
    </row>
    <row r="1317" spans="1:7" x14ac:dyDescent="0.25">
      <c r="A1317" t="s">
        <v>5</v>
      </c>
      <c r="B1317">
        <v>1315</v>
      </c>
      <c r="C1317">
        <v>30</v>
      </c>
      <c r="D1317">
        <v>3.1949379444122314</v>
      </c>
      <c r="E1317" t="s">
        <v>10</v>
      </c>
      <c r="F1317" t="s">
        <v>41</v>
      </c>
      <c r="G1317">
        <v>5.4</v>
      </c>
    </row>
    <row r="1318" spans="1:7" x14ac:dyDescent="0.25">
      <c r="A1318" t="s">
        <v>5</v>
      </c>
      <c r="B1318">
        <v>1316</v>
      </c>
      <c r="C1318">
        <v>15</v>
      </c>
      <c r="D1318">
        <v>3.9248855113983154</v>
      </c>
      <c r="E1318" t="s">
        <v>10</v>
      </c>
      <c r="F1318" t="s">
        <v>41</v>
      </c>
      <c r="G1318">
        <v>5.4</v>
      </c>
    </row>
    <row r="1319" spans="1:7" x14ac:dyDescent="0.25">
      <c r="A1319" t="s">
        <v>5</v>
      </c>
      <c r="B1319">
        <v>1317</v>
      </c>
      <c r="C1319">
        <v>30</v>
      </c>
      <c r="D1319">
        <v>2.4836990833282471</v>
      </c>
      <c r="E1319" t="s">
        <v>10</v>
      </c>
      <c r="F1319" t="s">
        <v>41</v>
      </c>
      <c r="G1319">
        <v>5.4</v>
      </c>
    </row>
    <row r="1320" spans="1:7" x14ac:dyDescent="0.25">
      <c r="A1320" t="s">
        <v>5</v>
      </c>
      <c r="B1320">
        <v>1318</v>
      </c>
      <c r="C1320">
        <v>10</v>
      </c>
      <c r="D1320">
        <v>3.1267337799072266</v>
      </c>
      <c r="E1320" t="s">
        <v>10</v>
      </c>
      <c r="F1320" t="s">
        <v>41</v>
      </c>
      <c r="G1320">
        <v>5.4</v>
      </c>
    </row>
    <row r="1321" spans="1:7" x14ac:dyDescent="0.25">
      <c r="A1321" t="s">
        <v>5</v>
      </c>
      <c r="B1321">
        <v>1319</v>
      </c>
      <c r="C1321">
        <v>100</v>
      </c>
      <c r="D1321">
        <v>2.8785719871520996</v>
      </c>
      <c r="E1321" t="s">
        <v>10</v>
      </c>
      <c r="F1321" t="s">
        <v>41</v>
      </c>
      <c r="G1321">
        <v>5.4</v>
      </c>
    </row>
    <row r="1322" spans="1:7" x14ac:dyDescent="0.25">
      <c r="A1322" t="s">
        <v>5</v>
      </c>
      <c r="B1322">
        <v>1320</v>
      </c>
      <c r="C1322">
        <v>100</v>
      </c>
      <c r="D1322">
        <v>3.9586596488952637</v>
      </c>
      <c r="E1322" t="s">
        <v>10</v>
      </c>
      <c r="F1322" t="s">
        <v>41</v>
      </c>
      <c r="G1322">
        <v>5.4</v>
      </c>
    </row>
    <row r="1323" spans="1:7" x14ac:dyDescent="0.25">
      <c r="A1323" t="s">
        <v>5</v>
      </c>
      <c r="B1323">
        <v>1321</v>
      </c>
      <c r="C1323">
        <v>20</v>
      </c>
      <c r="D1323">
        <v>4.466264009475708</v>
      </c>
      <c r="E1323" t="s">
        <v>10</v>
      </c>
      <c r="F1323" t="s">
        <v>51</v>
      </c>
      <c r="G1323">
        <v>6.2</v>
      </c>
    </row>
    <row r="1324" spans="1:7" x14ac:dyDescent="0.25">
      <c r="A1324" t="s">
        <v>5</v>
      </c>
      <c r="B1324">
        <v>1322</v>
      </c>
      <c r="C1324">
        <v>20</v>
      </c>
      <c r="D1324">
        <v>2.8241162300109863</v>
      </c>
      <c r="E1324" t="s">
        <v>10</v>
      </c>
      <c r="F1324" t="s">
        <v>41</v>
      </c>
      <c r="G1324">
        <v>4.7</v>
      </c>
    </row>
    <row r="1325" spans="1:7" x14ac:dyDescent="0.25">
      <c r="A1325" t="s">
        <v>5</v>
      </c>
      <c r="B1325">
        <v>1323</v>
      </c>
      <c r="C1325">
        <v>37</v>
      </c>
      <c r="D1325">
        <v>4.1884548664093018</v>
      </c>
      <c r="E1325" t="s">
        <v>10</v>
      </c>
      <c r="F1325" t="s">
        <v>41</v>
      </c>
      <c r="G1325">
        <v>4.7</v>
      </c>
    </row>
    <row r="1326" spans="1:7" x14ac:dyDescent="0.25">
      <c r="A1326" t="s">
        <v>5</v>
      </c>
      <c r="B1326">
        <v>1324</v>
      </c>
      <c r="C1326">
        <v>14</v>
      </c>
      <c r="D1326">
        <v>3.2952325344085693</v>
      </c>
      <c r="E1326" t="s">
        <v>10</v>
      </c>
      <c r="F1326" t="s">
        <v>41</v>
      </c>
      <c r="G1326">
        <v>4.7</v>
      </c>
    </row>
    <row r="1327" spans="1:7" x14ac:dyDescent="0.25">
      <c r="A1327" t="s">
        <v>5</v>
      </c>
      <c r="B1327">
        <v>1325</v>
      </c>
      <c r="C1327">
        <v>80</v>
      </c>
      <c r="D1327">
        <v>3.297283411026001</v>
      </c>
      <c r="E1327" t="s">
        <v>10</v>
      </c>
      <c r="F1327" t="s">
        <v>41</v>
      </c>
      <c r="G1327">
        <v>4.7</v>
      </c>
    </row>
    <row r="1328" spans="1:7" x14ac:dyDescent="0.25">
      <c r="A1328" t="s">
        <v>5</v>
      </c>
      <c r="B1328">
        <v>1326</v>
      </c>
      <c r="C1328">
        <v>18</v>
      </c>
      <c r="D1328">
        <v>2.6145095825195313</v>
      </c>
      <c r="E1328" t="s">
        <v>10</v>
      </c>
      <c r="F1328" t="s">
        <v>51</v>
      </c>
      <c r="G1328">
        <v>7.2</v>
      </c>
    </row>
    <row r="1329" spans="1:7" x14ac:dyDescent="0.25">
      <c r="A1329" t="s">
        <v>5</v>
      </c>
      <c r="B1329">
        <v>1327</v>
      </c>
      <c r="C1329">
        <v>30</v>
      </c>
      <c r="D1329">
        <v>3.4807460308074951</v>
      </c>
      <c r="E1329" t="s">
        <v>10</v>
      </c>
      <c r="F1329" t="s">
        <v>51</v>
      </c>
      <c r="G1329">
        <v>7.2</v>
      </c>
    </row>
    <row r="1330" spans="1:7" x14ac:dyDescent="0.25">
      <c r="A1330" t="s">
        <v>5</v>
      </c>
      <c r="B1330">
        <v>1328</v>
      </c>
      <c r="C1330">
        <v>15</v>
      </c>
      <c r="D1330">
        <v>6.2368972301483154</v>
      </c>
      <c r="E1330" t="s">
        <v>10</v>
      </c>
      <c r="F1330" t="s">
        <v>55</v>
      </c>
      <c r="G1330">
        <v>4</v>
      </c>
    </row>
    <row r="1331" spans="1:7" x14ac:dyDescent="0.25">
      <c r="A1331" t="s">
        <v>5</v>
      </c>
      <c r="B1331">
        <v>1329</v>
      </c>
      <c r="C1331">
        <v>47</v>
      </c>
      <c r="D1331">
        <v>3.994999885559082</v>
      </c>
      <c r="E1331" t="s">
        <v>10</v>
      </c>
      <c r="F1331" t="s">
        <v>55</v>
      </c>
      <c r="G1331">
        <v>4</v>
      </c>
    </row>
    <row r="1332" spans="1:7" x14ac:dyDescent="0.25">
      <c r="A1332" t="s">
        <v>5</v>
      </c>
      <c r="B1332">
        <v>1330</v>
      </c>
      <c r="C1332">
        <v>87</v>
      </c>
      <c r="D1332">
        <v>7.5979278087615967</v>
      </c>
      <c r="E1332" t="s">
        <v>10</v>
      </c>
      <c r="F1332" t="s">
        <v>55</v>
      </c>
      <c r="G1332">
        <v>4</v>
      </c>
    </row>
    <row r="1333" spans="1:7" x14ac:dyDescent="0.25">
      <c r="A1333" t="s">
        <v>5</v>
      </c>
      <c r="B1333">
        <v>1331</v>
      </c>
      <c r="C1333">
        <v>20</v>
      </c>
      <c r="D1333">
        <v>4.2006707191467285</v>
      </c>
      <c r="E1333" t="s">
        <v>10</v>
      </c>
      <c r="F1333" t="s">
        <v>43</v>
      </c>
      <c r="G1333">
        <v>2.1</v>
      </c>
    </row>
    <row r="1334" spans="1:7" x14ac:dyDescent="0.25">
      <c r="A1334" t="s">
        <v>5</v>
      </c>
      <c r="B1334">
        <v>1332</v>
      </c>
      <c r="C1334">
        <v>100</v>
      </c>
      <c r="D1334">
        <v>4.9264481067657471</v>
      </c>
      <c r="E1334" t="s">
        <v>10</v>
      </c>
      <c r="F1334" t="s">
        <v>43</v>
      </c>
      <c r="G1334">
        <v>2.1</v>
      </c>
    </row>
    <row r="1335" spans="1:7" x14ac:dyDescent="0.25">
      <c r="A1335" t="s">
        <v>5</v>
      </c>
      <c r="B1335">
        <v>1333</v>
      </c>
      <c r="C1335">
        <v>49</v>
      </c>
      <c r="D1335">
        <v>5.3817195892333984</v>
      </c>
      <c r="E1335" t="s">
        <v>10</v>
      </c>
      <c r="F1335" t="s">
        <v>44</v>
      </c>
      <c r="G1335">
        <v>5.4</v>
      </c>
    </row>
    <row r="1336" spans="1:7" x14ac:dyDescent="0.25">
      <c r="A1336" t="s">
        <v>5</v>
      </c>
      <c r="B1336">
        <v>1334</v>
      </c>
      <c r="C1336">
        <v>30</v>
      </c>
      <c r="D1336">
        <v>4.7130327224731445</v>
      </c>
      <c r="E1336" t="s">
        <v>10</v>
      </c>
      <c r="F1336" t="s">
        <v>43</v>
      </c>
      <c r="G1336">
        <v>1.9</v>
      </c>
    </row>
    <row r="1337" spans="1:7" x14ac:dyDescent="0.25">
      <c r="A1337" t="s">
        <v>5</v>
      </c>
      <c r="B1337">
        <v>1335</v>
      </c>
      <c r="C1337">
        <v>82</v>
      </c>
      <c r="D1337">
        <v>16.367510795593262</v>
      </c>
      <c r="E1337" t="s">
        <v>10</v>
      </c>
      <c r="F1337" t="s">
        <v>41</v>
      </c>
      <c r="G1337">
        <v>4.9000000000000004</v>
      </c>
    </row>
    <row r="1338" spans="1:7" x14ac:dyDescent="0.25">
      <c r="A1338" t="s">
        <v>5</v>
      </c>
      <c r="B1338">
        <v>1336</v>
      </c>
      <c r="C1338">
        <v>70</v>
      </c>
      <c r="D1338">
        <v>4.2566878795623779</v>
      </c>
      <c r="E1338" t="s">
        <v>10</v>
      </c>
      <c r="F1338" t="s">
        <v>41</v>
      </c>
      <c r="G1338">
        <v>4.9000000000000004</v>
      </c>
    </row>
    <row r="1339" spans="1:7" x14ac:dyDescent="0.25">
      <c r="A1339" t="s">
        <v>5</v>
      </c>
      <c r="B1339">
        <v>1337</v>
      </c>
      <c r="C1339">
        <v>80</v>
      </c>
      <c r="D1339">
        <v>2.8537075519561768</v>
      </c>
      <c r="E1339" t="s">
        <v>10</v>
      </c>
      <c r="F1339" t="s">
        <v>13</v>
      </c>
      <c r="G1339">
        <v>3.6</v>
      </c>
    </row>
    <row r="1340" spans="1:7" x14ac:dyDescent="0.25">
      <c r="A1340" t="s">
        <v>5</v>
      </c>
      <c r="B1340">
        <v>1338</v>
      </c>
      <c r="C1340">
        <v>15</v>
      </c>
      <c r="D1340">
        <v>2.8317692279815674</v>
      </c>
      <c r="E1340" t="s">
        <v>10</v>
      </c>
      <c r="F1340" t="s">
        <v>13</v>
      </c>
      <c r="G1340">
        <v>3.6</v>
      </c>
    </row>
    <row r="1341" spans="1:7" x14ac:dyDescent="0.25">
      <c r="A1341" t="s">
        <v>5</v>
      </c>
      <c r="B1341">
        <v>1339</v>
      </c>
      <c r="C1341">
        <v>70</v>
      </c>
      <c r="D1341">
        <v>4.8287537097930908</v>
      </c>
      <c r="E1341" t="s">
        <v>10</v>
      </c>
      <c r="F1341" t="s">
        <v>13</v>
      </c>
      <c r="G1341">
        <v>3.6</v>
      </c>
    </row>
    <row r="1342" spans="1:7" x14ac:dyDescent="0.25">
      <c r="A1342" t="s">
        <v>5</v>
      </c>
      <c r="B1342">
        <v>1340</v>
      </c>
      <c r="C1342">
        <v>100</v>
      </c>
      <c r="D1342">
        <v>5.2921686172485352</v>
      </c>
      <c r="E1342" t="s">
        <v>10</v>
      </c>
      <c r="F1342" t="s">
        <v>55</v>
      </c>
      <c r="G1342">
        <v>4.7</v>
      </c>
    </row>
    <row r="1343" spans="1:7" x14ac:dyDescent="0.25">
      <c r="A1343" t="s">
        <v>5</v>
      </c>
      <c r="B1343">
        <v>1341</v>
      </c>
      <c r="C1343">
        <v>15</v>
      </c>
      <c r="D1343">
        <v>3.3360848426818848</v>
      </c>
      <c r="E1343" t="s">
        <v>10</v>
      </c>
      <c r="F1343" t="s">
        <v>45</v>
      </c>
      <c r="G1343">
        <v>1.9</v>
      </c>
    </row>
    <row r="1344" spans="1:7" x14ac:dyDescent="0.25">
      <c r="A1344" t="s">
        <v>5</v>
      </c>
      <c r="B1344">
        <v>1342</v>
      </c>
      <c r="C1344">
        <v>30</v>
      </c>
      <c r="D1344">
        <v>12.729726076126099</v>
      </c>
      <c r="E1344" t="s">
        <v>10</v>
      </c>
      <c r="F1344" t="s">
        <v>46</v>
      </c>
      <c r="G1344">
        <v>4.5999999999999996</v>
      </c>
    </row>
    <row r="1345" spans="1:7" x14ac:dyDescent="0.25">
      <c r="A1345" t="s">
        <v>5</v>
      </c>
      <c r="B1345">
        <v>1343</v>
      </c>
      <c r="C1345">
        <v>30</v>
      </c>
      <c r="D1345">
        <v>5.9452869892120361</v>
      </c>
      <c r="E1345" t="s">
        <v>10</v>
      </c>
      <c r="F1345" t="s">
        <v>13</v>
      </c>
      <c r="G1345">
        <v>3.3</v>
      </c>
    </row>
    <row r="1346" spans="1:7" x14ac:dyDescent="0.25">
      <c r="A1346" t="s">
        <v>5</v>
      </c>
      <c r="B1346">
        <v>1344</v>
      </c>
      <c r="C1346">
        <v>100</v>
      </c>
      <c r="D1346">
        <v>4.171790599822998</v>
      </c>
      <c r="E1346" t="s">
        <v>10</v>
      </c>
      <c r="F1346" t="s">
        <v>41</v>
      </c>
      <c r="G1346">
        <v>4.9000000000000004</v>
      </c>
    </row>
    <row r="1347" spans="1:7" x14ac:dyDescent="0.25">
      <c r="A1347" t="s">
        <v>5</v>
      </c>
      <c r="B1347">
        <v>1345</v>
      </c>
      <c r="C1347">
        <v>90</v>
      </c>
      <c r="D1347">
        <v>6.1230120658874512</v>
      </c>
      <c r="E1347" t="s">
        <v>10</v>
      </c>
      <c r="F1347" t="s">
        <v>46</v>
      </c>
      <c r="G1347">
        <v>6.1</v>
      </c>
    </row>
    <row r="1348" spans="1:7" x14ac:dyDescent="0.25">
      <c r="A1348" t="s">
        <v>5</v>
      </c>
      <c r="B1348">
        <v>1346</v>
      </c>
      <c r="C1348">
        <v>62</v>
      </c>
      <c r="D1348">
        <v>6.4404101371765137</v>
      </c>
      <c r="E1348" t="s">
        <v>10</v>
      </c>
      <c r="F1348" t="s">
        <v>41</v>
      </c>
      <c r="G1348">
        <v>4.7</v>
      </c>
    </row>
    <row r="1349" spans="1:7" x14ac:dyDescent="0.25">
      <c r="A1349" t="s">
        <v>5</v>
      </c>
      <c r="B1349">
        <v>1347</v>
      </c>
      <c r="C1349">
        <v>100</v>
      </c>
      <c r="D1349">
        <v>9.8028218746185303</v>
      </c>
      <c r="E1349" t="s">
        <v>10</v>
      </c>
      <c r="F1349" t="s">
        <v>41</v>
      </c>
      <c r="G1349">
        <v>4.7</v>
      </c>
    </row>
    <row r="1350" spans="1:7" x14ac:dyDescent="0.25">
      <c r="A1350" t="s">
        <v>5</v>
      </c>
      <c r="B1350">
        <v>1348</v>
      </c>
      <c r="C1350">
        <v>20</v>
      </c>
      <c r="D1350">
        <v>3.2810494899749756</v>
      </c>
      <c r="E1350" t="s">
        <v>10</v>
      </c>
      <c r="F1350" t="s">
        <v>41</v>
      </c>
      <c r="G1350">
        <v>4.7</v>
      </c>
    </row>
    <row r="1351" spans="1:7" x14ac:dyDescent="0.25">
      <c r="A1351" t="s">
        <v>5</v>
      </c>
      <c r="B1351">
        <v>1349</v>
      </c>
      <c r="C1351">
        <v>35</v>
      </c>
      <c r="D1351">
        <v>16.21673059463501</v>
      </c>
      <c r="E1351" t="s">
        <v>10</v>
      </c>
      <c r="F1351" t="s">
        <v>46</v>
      </c>
      <c r="G1351">
        <v>6.8</v>
      </c>
    </row>
    <row r="1352" spans="1:7" x14ac:dyDescent="0.25">
      <c r="A1352" t="s">
        <v>5</v>
      </c>
      <c r="B1352">
        <v>1350</v>
      </c>
      <c r="C1352">
        <v>20</v>
      </c>
      <c r="D1352">
        <v>6.5991270542144775</v>
      </c>
      <c r="E1352" t="s">
        <v>10</v>
      </c>
      <c r="F1352" t="s">
        <v>46</v>
      </c>
      <c r="G1352">
        <v>6.8</v>
      </c>
    </row>
    <row r="1353" spans="1:7" x14ac:dyDescent="0.25">
      <c r="A1353" t="s">
        <v>5</v>
      </c>
      <c r="B1353">
        <v>1351</v>
      </c>
      <c r="C1353">
        <v>100</v>
      </c>
      <c r="D1353">
        <v>4.9650006294250488</v>
      </c>
      <c r="E1353" t="s">
        <v>10</v>
      </c>
      <c r="F1353" t="s">
        <v>46</v>
      </c>
      <c r="G1353">
        <v>6.8</v>
      </c>
    </row>
    <row r="1354" spans="1:7" x14ac:dyDescent="0.25">
      <c r="A1354" t="s">
        <v>5</v>
      </c>
      <c r="B1354">
        <v>1352</v>
      </c>
      <c r="C1354">
        <v>85</v>
      </c>
      <c r="D1354">
        <v>8.9152607917785645</v>
      </c>
      <c r="E1354" t="s">
        <v>10</v>
      </c>
      <c r="F1354" t="s">
        <v>41</v>
      </c>
      <c r="G1354">
        <v>6.8</v>
      </c>
    </row>
    <row r="1355" spans="1:7" x14ac:dyDescent="0.25">
      <c r="A1355" t="s">
        <v>5</v>
      </c>
      <c r="B1355">
        <v>1353</v>
      </c>
      <c r="C1355">
        <v>89</v>
      </c>
      <c r="D1355">
        <v>17.121523857116699</v>
      </c>
      <c r="E1355" t="s">
        <v>10</v>
      </c>
      <c r="F1355" t="s">
        <v>46</v>
      </c>
      <c r="G1355">
        <v>6.8</v>
      </c>
    </row>
    <row r="1356" spans="1:7" x14ac:dyDescent="0.25">
      <c r="A1356" t="s">
        <v>5</v>
      </c>
      <c r="B1356">
        <v>1354</v>
      </c>
      <c r="C1356">
        <v>87</v>
      </c>
      <c r="D1356">
        <v>7.5462362766265869</v>
      </c>
      <c r="E1356" t="s">
        <v>10</v>
      </c>
      <c r="F1356" t="s">
        <v>41</v>
      </c>
      <c r="G1356">
        <v>6.8</v>
      </c>
    </row>
    <row r="1357" spans="1:7" x14ac:dyDescent="0.25">
      <c r="A1357" t="s">
        <v>5</v>
      </c>
      <c r="B1357">
        <v>1355</v>
      </c>
      <c r="C1357">
        <v>47</v>
      </c>
      <c r="D1357">
        <v>6.4456005096435547</v>
      </c>
      <c r="E1357" t="s">
        <v>10</v>
      </c>
      <c r="F1357" t="s">
        <v>46</v>
      </c>
      <c r="G1357">
        <v>6.8</v>
      </c>
    </row>
    <row r="1358" spans="1:7" x14ac:dyDescent="0.25">
      <c r="A1358" t="s">
        <v>5</v>
      </c>
      <c r="B1358">
        <v>1356</v>
      </c>
      <c r="C1358">
        <v>67</v>
      </c>
      <c r="D1358">
        <v>6.7688157558441162</v>
      </c>
      <c r="E1358" t="s">
        <v>10</v>
      </c>
      <c r="F1358" t="s">
        <v>46</v>
      </c>
      <c r="G1358">
        <v>6.8</v>
      </c>
    </row>
    <row r="1359" spans="1:7" x14ac:dyDescent="0.25">
      <c r="A1359" t="s">
        <v>5</v>
      </c>
      <c r="B1359">
        <v>1357</v>
      </c>
      <c r="C1359">
        <v>100</v>
      </c>
      <c r="D1359">
        <v>4.422494649887085</v>
      </c>
      <c r="E1359" t="s">
        <v>10</v>
      </c>
      <c r="F1359" t="s">
        <v>41</v>
      </c>
      <c r="G1359">
        <v>6.8</v>
      </c>
    </row>
    <row r="1360" spans="1:7" x14ac:dyDescent="0.25">
      <c r="A1360" t="s">
        <v>5</v>
      </c>
      <c r="B1360">
        <v>1358</v>
      </c>
      <c r="C1360">
        <v>100</v>
      </c>
      <c r="D1360">
        <v>8.68930983543396</v>
      </c>
      <c r="E1360" t="s">
        <v>10</v>
      </c>
      <c r="F1360" t="s">
        <v>41</v>
      </c>
      <c r="G1360">
        <v>6.8</v>
      </c>
    </row>
    <row r="1361" spans="1:7" x14ac:dyDescent="0.25">
      <c r="A1361" t="s">
        <v>5</v>
      </c>
      <c r="B1361">
        <v>1359</v>
      </c>
      <c r="C1361">
        <v>70</v>
      </c>
      <c r="D1361">
        <v>13.210185289382935</v>
      </c>
      <c r="E1361" t="s">
        <v>10</v>
      </c>
      <c r="F1361" t="s">
        <v>46</v>
      </c>
      <c r="G1361">
        <v>6.8</v>
      </c>
    </row>
    <row r="1362" spans="1:7" x14ac:dyDescent="0.25">
      <c r="A1362" t="s">
        <v>5</v>
      </c>
      <c r="B1362">
        <v>1360</v>
      </c>
      <c r="C1362">
        <v>32</v>
      </c>
      <c r="D1362">
        <v>14.590905427932739</v>
      </c>
      <c r="E1362" t="s">
        <v>10</v>
      </c>
      <c r="F1362" t="s">
        <v>41</v>
      </c>
      <c r="G1362">
        <v>6.8</v>
      </c>
    </row>
    <row r="1363" spans="1:7" x14ac:dyDescent="0.25">
      <c r="A1363" t="s">
        <v>5</v>
      </c>
      <c r="B1363">
        <v>1361</v>
      </c>
      <c r="C1363">
        <v>47</v>
      </c>
      <c r="D1363">
        <v>3.5340867042541504</v>
      </c>
      <c r="E1363" t="s">
        <v>10</v>
      </c>
      <c r="F1363" t="s">
        <v>41</v>
      </c>
      <c r="G1363">
        <v>6.8</v>
      </c>
    </row>
    <row r="1364" spans="1:7" x14ac:dyDescent="0.25">
      <c r="A1364" t="s">
        <v>5</v>
      </c>
      <c r="B1364">
        <v>1362</v>
      </c>
      <c r="C1364">
        <v>37</v>
      </c>
      <c r="D1364">
        <v>4.6660423278808594</v>
      </c>
      <c r="E1364" t="s">
        <v>10</v>
      </c>
      <c r="F1364" t="s">
        <v>41</v>
      </c>
      <c r="G1364">
        <v>6.8</v>
      </c>
    </row>
    <row r="1365" spans="1:7" x14ac:dyDescent="0.25">
      <c r="A1365" t="s">
        <v>5</v>
      </c>
      <c r="B1365">
        <v>1363</v>
      </c>
      <c r="C1365">
        <v>60</v>
      </c>
      <c r="D1365">
        <v>13.425775051116943</v>
      </c>
      <c r="E1365" t="s">
        <v>10</v>
      </c>
      <c r="F1365" t="s">
        <v>46</v>
      </c>
      <c r="G1365">
        <v>6.8</v>
      </c>
    </row>
    <row r="1366" spans="1:7" x14ac:dyDescent="0.25">
      <c r="A1366" t="s">
        <v>5</v>
      </c>
      <c r="B1366">
        <v>1364</v>
      </c>
      <c r="C1366">
        <v>83</v>
      </c>
      <c r="D1366">
        <v>13.048444271087646</v>
      </c>
      <c r="E1366" t="s">
        <v>10</v>
      </c>
      <c r="F1366" t="s">
        <v>46</v>
      </c>
      <c r="G1366">
        <v>6.8</v>
      </c>
    </row>
    <row r="1367" spans="1:7" x14ac:dyDescent="0.25">
      <c r="A1367" t="s">
        <v>5</v>
      </c>
      <c r="B1367">
        <v>1365</v>
      </c>
      <c r="C1367">
        <v>16</v>
      </c>
      <c r="D1367">
        <v>3.4150645732879639</v>
      </c>
      <c r="E1367" t="s">
        <v>10</v>
      </c>
      <c r="F1367" t="s">
        <v>41</v>
      </c>
      <c r="G1367">
        <v>6.8</v>
      </c>
    </row>
    <row r="1368" spans="1:7" x14ac:dyDescent="0.25">
      <c r="A1368" t="s">
        <v>5</v>
      </c>
      <c r="B1368">
        <v>1366</v>
      </c>
      <c r="C1368">
        <v>30</v>
      </c>
      <c r="D1368">
        <v>3.4326927661895752</v>
      </c>
      <c r="E1368" t="s">
        <v>10</v>
      </c>
      <c r="F1368" t="s">
        <v>41</v>
      </c>
      <c r="G1368">
        <v>6.8</v>
      </c>
    </row>
    <row r="1369" spans="1:7" x14ac:dyDescent="0.25">
      <c r="A1369" t="s">
        <v>5</v>
      </c>
      <c r="B1369">
        <v>1367</v>
      </c>
      <c r="C1369">
        <v>40</v>
      </c>
      <c r="D1369">
        <v>12.85982608795166</v>
      </c>
      <c r="E1369" t="s">
        <v>10</v>
      </c>
      <c r="F1369" t="s">
        <v>46</v>
      </c>
      <c r="G1369">
        <v>6.8</v>
      </c>
    </row>
    <row r="1370" spans="1:7" x14ac:dyDescent="0.25">
      <c r="A1370" t="s">
        <v>5</v>
      </c>
      <c r="B1370">
        <v>1368</v>
      </c>
      <c r="C1370">
        <v>84</v>
      </c>
      <c r="D1370">
        <v>7.6722259521484375</v>
      </c>
      <c r="E1370" t="s">
        <v>10</v>
      </c>
      <c r="F1370" t="s">
        <v>41</v>
      </c>
      <c r="G1370">
        <v>6.8</v>
      </c>
    </row>
    <row r="1371" spans="1:7" x14ac:dyDescent="0.25">
      <c r="A1371" t="s">
        <v>5</v>
      </c>
      <c r="B1371">
        <v>1369</v>
      </c>
      <c r="C1371">
        <v>27</v>
      </c>
      <c r="D1371">
        <v>3.4518992900848389</v>
      </c>
      <c r="E1371" t="s">
        <v>10</v>
      </c>
      <c r="F1371" t="s">
        <v>41</v>
      </c>
      <c r="G1371">
        <v>4</v>
      </c>
    </row>
    <row r="1372" spans="1:7" x14ac:dyDescent="0.25">
      <c r="A1372" t="s">
        <v>5</v>
      </c>
      <c r="B1372">
        <v>1370</v>
      </c>
      <c r="C1372">
        <v>10</v>
      </c>
      <c r="D1372">
        <v>3.2544305324554443</v>
      </c>
      <c r="E1372" t="s">
        <v>10</v>
      </c>
      <c r="F1372" t="s">
        <v>51</v>
      </c>
      <c r="G1372">
        <v>6.9</v>
      </c>
    </row>
    <row r="1373" spans="1:7" x14ac:dyDescent="0.25">
      <c r="A1373" t="s">
        <v>5</v>
      </c>
      <c r="B1373">
        <v>1371</v>
      </c>
      <c r="C1373">
        <v>27</v>
      </c>
      <c r="D1373">
        <v>4.3558382987976074</v>
      </c>
      <c r="E1373" t="s">
        <v>10</v>
      </c>
      <c r="F1373" t="s">
        <v>51</v>
      </c>
      <c r="G1373">
        <v>6.9</v>
      </c>
    </row>
    <row r="1374" spans="1:7" x14ac:dyDescent="0.25">
      <c r="A1374" t="s">
        <v>5</v>
      </c>
      <c r="B1374">
        <v>1372</v>
      </c>
      <c r="C1374">
        <v>14</v>
      </c>
      <c r="D1374">
        <v>4.344271183013916</v>
      </c>
      <c r="E1374" t="s">
        <v>10</v>
      </c>
      <c r="F1374" t="s">
        <v>51</v>
      </c>
      <c r="G1374">
        <v>6.9</v>
      </c>
    </row>
    <row r="1375" spans="1:7" x14ac:dyDescent="0.25">
      <c r="A1375" t="s">
        <v>5</v>
      </c>
      <c r="B1375">
        <v>1373</v>
      </c>
      <c r="C1375">
        <v>37</v>
      </c>
      <c r="D1375">
        <v>6.6333317756652832</v>
      </c>
      <c r="E1375" t="s">
        <v>10</v>
      </c>
      <c r="F1375" t="s">
        <v>41</v>
      </c>
      <c r="G1375">
        <v>4.5999999999999996</v>
      </c>
    </row>
    <row r="1376" spans="1:7" x14ac:dyDescent="0.25">
      <c r="A1376" t="s">
        <v>5</v>
      </c>
      <c r="B1376">
        <v>1374</v>
      </c>
      <c r="C1376">
        <v>35</v>
      </c>
      <c r="D1376">
        <v>9.2565767765045166</v>
      </c>
      <c r="E1376" t="s">
        <v>10</v>
      </c>
      <c r="F1376" t="s">
        <v>41</v>
      </c>
      <c r="G1376">
        <v>4.7</v>
      </c>
    </row>
    <row r="1377" spans="1:7" x14ac:dyDescent="0.25">
      <c r="A1377" t="s">
        <v>5</v>
      </c>
      <c r="B1377">
        <v>1375</v>
      </c>
      <c r="C1377">
        <v>17</v>
      </c>
      <c r="D1377">
        <v>2.7188003063201904</v>
      </c>
      <c r="E1377" t="s">
        <v>10</v>
      </c>
      <c r="F1377" t="s">
        <v>45</v>
      </c>
      <c r="G1377">
        <v>6.9</v>
      </c>
    </row>
    <row r="1378" spans="1:7" x14ac:dyDescent="0.25">
      <c r="A1378" t="s">
        <v>5</v>
      </c>
      <c r="B1378">
        <v>1376</v>
      </c>
      <c r="C1378">
        <v>100</v>
      </c>
      <c r="D1378">
        <v>6.0921339988708496</v>
      </c>
      <c r="E1378" t="s">
        <v>10</v>
      </c>
      <c r="F1378" t="s">
        <v>46</v>
      </c>
      <c r="G1378">
        <v>6.9</v>
      </c>
    </row>
    <row r="1379" spans="1:7" x14ac:dyDescent="0.25">
      <c r="A1379" t="s">
        <v>5</v>
      </c>
      <c r="B1379">
        <v>1377</v>
      </c>
      <c r="C1379">
        <v>100</v>
      </c>
      <c r="D1379">
        <v>7.6201350688934326</v>
      </c>
      <c r="E1379" t="s">
        <v>10</v>
      </c>
      <c r="F1379" t="s">
        <v>41</v>
      </c>
      <c r="G1379">
        <v>4.7</v>
      </c>
    </row>
    <row r="1380" spans="1:7" x14ac:dyDescent="0.25">
      <c r="A1380" t="s">
        <v>5</v>
      </c>
      <c r="B1380">
        <v>1378</v>
      </c>
      <c r="C1380">
        <v>70</v>
      </c>
      <c r="D1380">
        <v>5.0288424491882324</v>
      </c>
      <c r="E1380" t="s">
        <v>10</v>
      </c>
      <c r="F1380" t="s">
        <v>41</v>
      </c>
      <c r="G1380">
        <v>4.4000000000000004</v>
      </c>
    </row>
    <row r="1381" spans="1:7" x14ac:dyDescent="0.25">
      <c r="A1381" t="s">
        <v>5</v>
      </c>
      <c r="B1381">
        <v>1379</v>
      </c>
      <c r="C1381">
        <v>10</v>
      </c>
      <c r="D1381">
        <v>6.3887591361999512</v>
      </c>
      <c r="E1381" t="s">
        <v>10</v>
      </c>
      <c r="F1381" t="s">
        <v>41</v>
      </c>
      <c r="G1381">
        <v>5.2</v>
      </c>
    </row>
    <row r="1382" spans="1:7" x14ac:dyDescent="0.25">
      <c r="A1382" t="s">
        <v>5</v>
      </c>
      <c r="B1382">
        <v>1380</v>
      </c>
      <c r="C1382">
        <v>37</v>
      </c>
      <c r="D1382">
        <v>2.9505748748779297</v>
      </c>
      <c r="E1382" t="s">
        <v>10</v>
      </c>
      <c r="F1382" t="s">
        <v>50</v>
      </c>
      <c r="G1382">
        <v>6.2</v>
      </c>
    </row>
    <row r="1383" spans="1:7" x14ac:dyDescent="0.25">
      <c r="A1383" t="s">
        <v>5</v>
      </c>
      <c r="B1383">
        <v>1381</v>
      </c>
      <c r="C1383">
        <v>67</v>
      </c>
      <c r="D1383">
        <v>3.7628445625305176</v>
      </c>
      <c r="E1383" t="s">
        <v>10</v>
      </c>
      <c r="F1383" t="s">
        <v>50</v>
      </c>
      <c r="G1383">
        <v>6.2</v>
      </c>
    </row>
    <row r="1384" spans="1:7" x14ac:dyDescent="0.25">
      <c r="A1384" t="s">
        <v>5</v>
      </c>
      <c r="B1384">
        <v>1382</v>
      </c>
      <c r="C1384">
        <v>100</v>
      </c>
      <c r="D1384">
        <v>4.0385501384735107</v>
      </c>
      <c r="E1384" t="s">
        <v>10</v>
      </c>
      <c r="F1384" t="s">
        <v>50</v>
      </c>
      <c r="G1384">
        <v>6.2</v>
      </c>
    </row>
    <row r="1385" spans="1:7" x14ac:dyDescent="0.25">
      <c r="A1385" t="s">
        <v>5</v>
      </c>
      <c r="B1385">
        <v>1383</v>
      </c>
      <c r="C1385">
        <v>90</v>
      </c>
      <c r="D1385">
        <v>5.9979941844940186</v>
      </c>
      <c r="E1385" t="s">
        <v>10</v>
      </c>
      <c r="F1385" t="s">
        <v>50</v>
      </c>
      <c r="G1385">
        <v>6.2</v>
      </c>
    </row>
    <row r="1386" spans="1:7" x14ac:dyDescent="0.25">
      <c r="A1386" t="s">
        <v>5</v>
      </c>
      <c r="B1386">
        <v>1384</v>
      </c>
      <c r="C1386">
        <v>95</v>
      </c>
      <c r="D1386">
        <v>15.630531311035156</v>
      </c>
      <c r="E1386" t="s">
        <v>10</v>
      </c>
      <c r="F1386" t="s">
        <v>50</v>
      </c>
      <c r="G1386">
        <v>6.2</v>
      </c>
    </row>
    <row r="1387" spans="1:7" x14ac:dyDescent="0.25">
      <c r="A1387" t="s">
        <v>5</v>
      </c>
      <c r="B1387">
        <v>1385</v>
      </c>
      <c r="C1387">
        <v>25</v>
      </c>
      <c r="D1387">
        <v>3.0249364376068115</v>
      </c>
      <c r="E1387" t="s">
        <v>10</v>
      </c>
      <c r="F1387" t="s">
        <v>50</v>
      </c>
      <c r="G1387">
        <v>6.2</v>
      </c>
    </row>
    <row r="1388" spans="1:7" x14ac:dyDescent="0.25">
      <c r="A1388" t="s">
        <v>5</v>
      </c>
      <c r="B1388">
        <v>1386</v>
      </c>
      <c r="C1388">
        <v>12</v>
      </c>
      <c r="D1388">
        <v>3.4934728145599365</v>
      </c>
      <c r="E1388" t="s">
        <v>10</v>
      </c>
      <c r="F1388" t="s">
        <v>50</v>
      </c>
      <c r="G1388">
        <v>6.2</v>
      </c>
    </row>
    <row r="1389" spans="1:7" x14ac:dyDescent="0.25">
      <c r="A1389" t="s">
        <v>5</v>
      </c>
      <c r="B1389">
        <v>1387</v>
      </c>
      <c r="C1389">
        <v>37</v>
      </c>
      <c r="D1389">
        <v>4.1345944404602051</v>
      </c>
      <c r="E1389" t="s">
        <v>10</v>
      </c>
      <c r="F1389" t="s">
        <v>41</v>
      </c>
      <c r="G1389">
        <v>5.7</v>
      </c>
    </row>
    <row r="1390" spans="1:7" x14ac:dyDescent="0.25">
      <c r="A1390" t="s">
        <v>5</v>
      </c>
      <c r="B1390">
        <v>1388</v>
      </c>
      <c r="C1390">
        <v>85</v>
      </c>
      <c r="D1390">
        <v>6.013416051864624</v>
      </c>
      <c r="E1390" t="s">
        <v>10</v>
      </c>
      <c r="F1390" t="s">
        <v>41</v>
      </c>
      <c r="G1390">
        <v>4.3</v>
      </c>
    </row>
    <row r="1391" spans="1:7" x14ac:dyDescent="0.25">
      <c r="A1391" t="s">
        <v>5</v>
      </c>
      <c r="B1391">
        <v>1389</v>
      </c>
      <c r="C1391">
        <v>37</v>
      </c>
      <c r="D1391">
        <v>7.132394552230835</v>
      </c>
      <c r="E1391" t="s">
        <v>10</v>
      </c>
      <c r="F1391" t="s">
        <v>41</v>
      </c>
      <c r="G1391">
        <v>4.3</v>
      </c>
    </row>
    <row r="1392" spans="1:7" x14ac:dyDescent="0.25">
      <c r="A1392" t="s">
        <v>5</v>
      </c>
      <c r="B1392">
        <v>1390</v>
      </c>
      <c r="C1392">
        <v>87</v>
      </c>
      <c r="D1392">
        <v>11.495677471160889</v>
      </c>
      <c r="E1392" t="s">
        <v>10</v>
      </c>
      <c r="F1392" t="s">
        <v>41</v>
      </c>
      <c r="G1392">
        <v>4.3</v>
      </c>
    </row>
    <row r="1393" spans="1:7" x14ac:dyDescent="0.25">
      <c r="A1393" t="s">
        <v>5</v>
      </c>
      <c r="B1393">
        <v>1391</v>
      </c>
      <c r="C1393">
        <v>34</v>
      </c>
      <c r="D1393">
        <v>12.215930700302124</v>
      </c>
      <c r="E1393" t="s">
        <v>10</v>
      </c>
      <c r="F1393" t="s">
        <v>41</v>
      </c>
      <c r="G1393">
        <v>4</v>
      </c>
    </row>
    <row r="1394" spans="1:7" x14ac:dyDescent="0.25">
      <c r="A1394" t="s">
        <v>5</v>
      </c>
      <c r="B1394">
        <v>1392</v>
      </c>
      <c r="C1394">
        <v>16</v>
      </c>
      <c r="D1394">
        <v>6.9627058506011963</v>
      </c>
      <c r="E1394" t="s">
        <v>10</v>
      </c>
      <c r="F1394" t="s">
        <v>53</v>
      </c>
      <c r="G1394">
        <v>6.2</v>
      </c>
    </row>
    <row r="1395" spans="1:7" x14ac:dyDescent="0.25">
      <c r="A1395" t="s">
        <v>5</v>
      </c>
      <c r="B1395">
        <v>1393</v>
      </c>
      <c r="C1395">
        <v>100</v>
      </c>
      <c r="D1395">
        <v>10.712805986404419</v>
      </c>
      <c r="E1395" t="s">
        <v>10</v>
      </c>
      <c r="F1395" t="s">
        <v>48</v>
      </c>
      <c r="G1395">
        <v>6.6</v>
      </c>
    </row>
    <row r="1396" spans="1:7" x14ac:dyDescent="0.25">
      <c r="A1396" t="s">
        <v>5</v>
      </c>
      <c r="B1396">
        <v>1394</v>
      </c>
      <c r="C1396">
        <v>100</v>
      </c>
      <c r="D1396">
        <v>10.525293111801147</v>
      </c>
      <c r="E1396" t="s">
        <v>10</v>
      </c>
      <c r="F1396" t="s">
        <v>48</v>
      </c>
      <c r="G1396">
        <v>6.6</v>
      </c>
    </row>
    <row r="1397" spans="1:7" x14ac:dyDescent="0.25">
      <c r="A1397" t="s">
        <v>5</v>
      </c>
      <c r="B1397">
        <v>1395</v>
      </c>
      <c r="C1397">
        <v>100</v>
      </c>
      <c r="D1397">
        <v>5.2610104084014893</v>
      </c>
      <c r="E1397" t="s">
        <v>10</v>
      </c>
      <c r="F1397" t="s">
        <v>56</v>
      </c>
      <c r="G1397">
        <v>7.2</v>
      </c>
    </row>
    <row r="1398" spans="1:7" x14ac:dyDescent="0.25">
      <c r="A1398" t="s">
        <v>5</v>
      </c>
      <c r="B1398">
        <v>1396</v>
      </c>
      <c r="C1398">
        <v>90</v>
      </c>
      <c r="D1398">
        <v>9.0444207191467285</v>
      </c>
      <c r="E1398" t="s">
        <v>10</v>
      </c>
      <c r="F1398" t="s">
        <v>41</v>
      </c>
      <c r="G1398">
        <v>7.1</v>
      </c>
    </row>
    <row r="1399" spans="1:7" x14ac:dyDescent="0.25">
      <c r="A1399" t="s">
        <v>5</v>
      </c>
      <c r="B1399">
        <v>1397</v>
      </c>
      <c r="C1399">
        <v>100</v>
      </c>
      <c r="D1399">
        <v>4.3281006813049316</v>
      </c>
      <c r="E1399" t="s">
        <v>10</v>
      </c>
      <c r="F1399" t="s">
        <v>43</v>
      </c>
      <c r="G1399">
        <v>4.9000000000000004</v>
      </c>
    </row>
    <row r="1400" spans="1:7" x14ac:dyDescent="0.25">
      <c r="A1400" t="s">
        <v>5</v>
      </c>
      <c r="B1400">
        <v>1398</v>
      </c>
      <c r="C1400">
        <v>85</v>
      </c>
      <c r="D1400">
        <v>12.644101858139038</v>
      </c>
      <c r="E1400" t="s">
        <v>10</v>
      </c>
      <c r="F1400" t="s">
        <v>43</v>
      </c>
      <c r="G1400">
        <v>4.9000000000000004</v>
      </c>
    </row>
    <row r="1401" spans="1:7" x14ac:dyDescent="0.25">
      <c r="A1401" t="s">
        <v>5</v>
      </c>
      <c r="B1401">
        <v>1399</v>
      </c>
      <c r="C1401">
        <v>30</v>
      </c>
      <c r="D1401">
        <v>3.8079328536987305</v>
      </c>
      <c r="E1401" t="s">
        <v>10</v>
      </c>
      <c r="F1401" t="s">
        <v>46</v>
      </c>
      <c r="G1401">
        <v>4.7</v>
      </c>
    </row>
    <row r="1402" spans="1:7" x14ac:dyDescent="0.25">
      <c r="A1402" t="s">
        <v>5</v>
      </c>
      <c r="B1402">
        <v>1400</v>
      </c>
      <c r="C1402">
        <v>75</v>
      </c>
      <c r="D1402">
        <v>10.084554195404053</v>
      </c>
      <c r="E1402" t="s">
        <v>10</v>
      </c>
      <c r="F1402" t="s">
        <v>46</v>
      </c>
      <c r="G1402">
        <v>4.7</v>
      </c>
    </row>
    <row r="1403" spans="1:7" x14ac:dyDescent="0.25">
      <c r="A1403" t="s">
        <v>5</v>
      </c>
      <c r="B1403">
        <v>1401</v>
      </c>
      <c r="C1403">
        <v>47</v>
      </c>
      <c r="D1403">
        <v>6.3765442371368408</v>
      </c>
      <c r="E1403" t="s">
        <v>10</v>
      </c>
      <c r="F1403" t="s">
        <v>46</v>
      </c>
      <c r="G1403">
        <v>4.9000000000000004</v>
      </c>
    </row>
    <row r="1404" spans="1:7" x14ac:dyDescent="0.25">
      <c r="A1404" t="s">
        <v>5</v>
      </c>
      <c r="B1404">
        <v>1402</v>
      </c>
      <c r="C1404">
        <v>47</v>
      </c>
      <c r="D1404">
        <v>3.7404801845550537</v>
      </c>
      <c r="E1404" t="s">
        <v>10</v>
      </c>
      <c r="F1404" t="s">
        <v>46</v>
      </c>
      <c r="G1404">
        <v>4.7</v>
      </c>
    </row>
    <row r="1405" spans="1:7" x14ac:dyDescent="0.25">
      <c r="A1405" t="s">
        <v>5</v>
      </c>
      <c r="B1405">
        <v>1403</v>
      </c>
      <c r="C1405">
        <v>100</v>
      </c>
      <c r="D1405">
        <v>7.1926631927490234</v>
      </c>
      <c r="E1405" t="s">
        <v>10</v>
      </c>
      <c r="F1405" t="s">
        <v>41</v>
      </c>
      <c r="G1405">
        <v>4.9000000000000004</v>
      </c>
    </row>
    <row r="1406" spans="1:7" x14ac:dyDescent="0.25">
      <c r="A1406" t="s">
        <v>5</v>
      </c>
      <c r="B1406">
        <v>1404</v>
      </c>
      <c r="C1406">
        <v>20</v>
      </c>
      <c r="D1406">
        <v>10.301103591918945</v>
      </c>
      <c r="E1406" t="s">
        <v>10</v>
      </c>
      <c r="F1406" t="s">
        <v>41</v>
      </c>
      <c r="G1406">
        <v>4.9000000000000004</v>
      </c>
    </row>
    <row r="1407" spans="1:7" x14ac:dyDescent="0.25">
      <c r="A1407" t="s">
        <v>5</v>
      </c>
      <c r="B1407">
        <v>1405</v>
      </c>
      <c r="C1407">
        <v>100</v>
      </c>
      <c r="D1407">
        <v>8.0012087821960449</v>
      </c>
      <c r="E1407" t="s">
        <v>10</v>
      </c>
      <c r="F1407" t="s">
        <v>41</v>
      </c>
      <c r="G1407">
        <v>4.9000000000000004</v>
      </c>
    </row>
    <row r="1408" spans="1:7" x14ac:dyDescent="0.25">
      <c r="A1408" t="s">
        <v>5</v>
      </c>
      <c r="B1408">
        <v>1406</v>
      </c>
      <c r="C1408">
        <v>80</v>
      </c>
      <c r="D1408">
        <v>7.2860603332519531</v>
      </c>
      <c r="E1408" t="s">
        <v>10</v>
      </c>
      <c r="F1408" t="s">
        <v>41</v>
      </c>
      <c r="G1408">
        <v>4.9000000000000004</v>
      </c>
    </row>
    <row r="1409" spans="1:7" x14ac:dyDescent="0.25">
      <c r="A1409" t="s">
        <v>5</v>
      </c>
      <c r="B1409">
        <v>1407</v>
      </c>
      <c r="C1409">
        <v>27</v>
      </c>
      <c r="D1409">
        <v>5.6196103096008301</v>
      </c>
      <c r="E1409" t="s">
        <v>10</v>
      </c>
      <c r="F1409" t="s">
        <v>41</v>
      </c>
      <c r="G1409">
        <v>4.9000000000000004</v>
      </c>
    </row>
    <row r="1410" spans="1:7" x14ac:dyDescent="0.25">
      <c r="A1410" t="s">
        <v>5</v>
      </c>
      <c r="B1410">
        <v>1408</v>
      </c>
      <c r="C1410">
        <v>100</v>
      </c>
      <c r="D1410">
        <v>6.4391083717346191</v>
      </c>
      <c r="E1410" t="s">
        <v>10</v>
      </c>
      <c r="F1410" t="s">
        <v>41</v>
      </c>
      <c r="G1410">
        <v>4.9000000000000004</v>
      </c>
    </row>
    <row r="1411" spans="1:7" x14ac:dyDescent="0.25">
      <c r="A1411" t="s">
        <v>5</v>
      </c>
      <c r="B1411">
        <v>1409</v>
      </c>
      <c r="C1411">
        <v>20</v>
      </c>
      <c r="D1411">
        <v>3.6515910625457764</v>
      </c>
      <c r="E1411" t="s">
        <v>10</v>
      </c>
      <c r="F1411" t="s">
        <v>41</v>
      </c>
      <c r="G1411">
        <v>4.9000000000000004</v>
      </c>
    </row>
    <row r="1412" spans="1:7" x14ac:dyDescent="0.25">
      <c r="A1412" t="s">
        <v>5</v>
      </c>
      <c r="B1412">
        <v>1410</v>
      </c>
      <c r="C1412">
        <v>20</v>
      </c>
      <c r="D1412">
        <v>2.9361221790313721</v>
      </c>
      <c r="E1412" t="s">
        <v>10</v>
      </c>
      <c r="F1412" t="s">
        <v>41</v>
      </c>
      <c r="G1412">
        <v>4.9000000000000004</v>
      </c>
    </row>
    <row r="1413" spans="1:7" x14ac:dyDescent="0.25">
      <c r="A1413" t="s">
        <v>5</v>
      </c>
      <c r="B1413">
        <v>1411</v>
      </c>
      <c r="C1413">
        <v>47</v>
      </c>
      <c r="D1413">
        <v>2.9245889186859131</v>
      </c>
      <c r="E1413" t="s">
        <v>10</v>
      </c>
      <c r="F1413" t="s">
        <v>41</v>
      </c>
      <c r="G1413">
        <v>4.9000000000000004</v>
      </c>
    </row>
    <row r="1414" spans="1:7" x14ac:dyDescent="0.25">
      <c r="A1414" t="s">
        <v>5</v>
      </c>
      <c r="B1414">
        <v>1412</v>
      </c>
      <c r="C1414">
        <v>20</v>
      </c>
      <c r="D1414">
        <v>3.1580810546875</v>
      </c>
      <c r="E1414" t="s">
        <v>10</v>
      </c>
      <c r="F1414" t="s">
        <v>41</v>
      </c>
      <c r="G1414">
        <v>4.9000000000000004</v>
      </c>
    </row>
    <row r="1415" spans="1:7" x14ac:dyDescent="0.25">
      <c r="A1415" t="s">
        <v>5</v>
      </c>
      <c r="B1415">
        <v>1413</v>
      </c>
      <c r="C1415">
        <v>20</v>
      </c>
      <c r="D1415">
        <v>3.9122443199157715</v>
      </c>
      <c r="E1415" t="s">
        <v>10</v>
      </c>
      <c r="F1415" t="s">
        <v>41</v>
      </c>
      <c r="G1415">
        <v>4.9000000000000004</v>
      </c>
    </row>
    <row r="1416" spans="1:7" x14ac:dyDescent="0.25">
      <c r="A1416" t="s">
        <v>5</v>
      </c>
      <c r="B1416">
        <v>1414</v>
      </c>
      <c r="C1416">
        <v>30</v>
      </c>
      <c r="D1416">
        <v>3.0085136890411377</v>
      </c>
      <c r="E1416" t="s">
        <v>10</v>
      </c>
      <c r="F1416" t="s">
        <v>41</v>
      </c>
      <c r="G1416">
        <v>4.9000000000000004</v>
      </c>
    </row>
    <row r="1417" spans="1:7" x14ac:dyDescent="0.25">
      <c r="A1417" t="s">
        <v>5</v>
      </c>
      <c r="B1417">
        <v>1415</v>
      </c>
      <c r="C1417">
        <v>100</v>
      </c>
      <c r="D1417">
        <v>5.2826559543609619</v>
      </c>
      <c r="E1417" t="s">
        <v>10</v>
      </c>
      <c r="F1417" t="s">
        <v>41</v>
      </c>
      <c r="G1417">
        <v>4.9000000000000004</v>
      </c>
    </row>
    <row r="1418" spans="1:7" x14ac:dyDescent="0.25">
      <c r="A1418" t="s">
        <v>5</v>
      </c>
      <c r="B1418">
        <v>1416</v>
      </c>
      <c r="C1418">
        <v>100</v>
      </c>
      <c r="D1418">
        <v>10.928184270858765</v>
      </c>
      <c r="E1418" t="s">
        <v>10</v>
      </c>
      <c r="F1418" t="s">
        <v>41</v>
      </c>
      <c r="G1418">
        <v>4.9000000000000004</v>
      </c>
    </row>
    <row r="1419" spans="1:7" x14ac:dyDescent="0.25">
      <c r="A1419" t="s">
        <v>5</v>
      </c>
      <c r="B1419">
        <v>1417</v>
      </c>
      <c r="C1419">
        <v>57</v>
      </c>
      <c r="D1419">
        <v>5.5268526077270508</v>
      </c>
      <c r="E1419" t="s">
        <v>10</v>
      </c>
      <c r="F1419" t="s">
        <v>41</v>
      </c>
      <c r="G1419">
        <v>4.9000000000000004</v>
      </c>
    </row>
    <row r="1420" spans="1:7" x14ac:dyDescent="0.25">
      <c r="A1420" t="s">
        <v>5</v>
      </c>
      <c r="B1420">
        <v>1418</v>
      </c>
      <c r="C1420">
        <v>27</v>
      </c>
      <c r="D1420">
        <v>3.1830065250396729</v>
      </c>
      <c r="E1420" t="s">
        <v>10</v>
      </c>
      <c r="F1420" t="s">
        <v>41</v>
      </c>
      <c r="G1420">
        <v>4.9000000000000004</v>
      </c>
    </row>
    <row r="1421" spans="1:7" x14ac:dyDescent="0.25">
      <c r="A1421" t="s">
        <v>5</v>
      </c>
      <c r="B1421">
        <v>1419</v>
      </c>
      <c r="C1421">
        <v>21</v>
      </c>
      <c r="D1421">
        <v>4.1806845664978027</v>
      </c>
      <c r="E1421" t="s">
        <v>10</v>
      </c>
      <c r="F1421" t="s">
        <v>41</v>
      </c>
      <c r="G1421">
        <v>4.9000000000000004</v>
      </c>
    </row>
    <row r="1422" spans="1:7" x14ac:dyDescent="0.25">
      <c r="A1422" t="s">
        <v>5</v>
      </c>
      <c r="B1422">
        <v>1420</v>
      </c>
      <c r="C1422">
        <v>37</v>
      </c>
      <c r="D1422">
        <v>2.8355553150177002</v>
      </c>
      <c r="E1422" t="s">
        <v>10</v>
      </c>
      <c r="F1422" t="s">
        <v>41</v>
      </c>
      <c r="G1422">
        <v>4.9000000000000004</v>
      </c>
    </row>
    <row r="1423" spans="1:7" x14ac:dyDescent="0.25">
      <c r="A1423" t="s">
        <v>5</v>
      </c>
      <c r="B1423">
        <v>1421</v>
      </c>
      <c r="C1423">
        <v>17</v>
      </c>
      <c r="D1423">
        <v>3.4590849876403809</v>
      </c>
      <c r="E1423" t="s">
        <v>10</v>
      </c>
      <c r="F1423" t="s">
        <v>41</v>
      </c>
      <c r="G1423">
        <v>4.9000000000000004</v>
      </c>
    </row>
    <row r="1424" spans="1:7" x14ac:dyDescent="0.25">
      <c r="A1424" t="s">
        <v>5</v>
      </c>
      <c r="B1424">
        <v>1422</v>
      </c>
      <c r="C1424">
        <v>50</v>
      </c>
      <c r="D1424">
        <v>5.0597810745239258</v>
      </c>
      <c r="E1424" t="s">
        <v>10</v>
      </c>
      <c r="F1424" t="s">
        <v>58</v>
      </c>
      <c r="G1424">
        <v>6.9</v>
      </c>
    </row>
    <row r="1425" spans="1:7" x14ac:dyDescent="0.25">
      <c r="A1425" t="s">
        <v>5</v>
      </c>
      <c r="B1425">
        <v>1423</v>
      </c>
      <c r="C1425">
        <v>100</v>
      </c>
      <c r="D1425">
        <v>10.662597894668579</v>
      </c>
      <c r="E1425" t="s">
        <v>10</v>
      </c>
      <c r="F1425" t="s">
        <v>53</v>
      </c>
      <c r="G1425">
        <v>6.1</v>
      </c>
    </row>
    <row r="1426" spans="1:7" x14ac:dyDescent="0.25">
      <c r="A1426" t="s">
        <v>5</v>
      </c>
      <c r="B1426">
        <v>1424</v>
      </c>
      <c r="C1426">
        <v>100</v>
      </c>
      <c r="D1426">
        <v>6.4458761215209961</v>
      </c>
      <c r="E1426" t="s">
        <v>10</v>
      </c>
      <c r="F1426" t="s">
        <v>53</v>
      </c>
      <c r="G1426">
        <v>6.1</v>
      </c>
    </row>
    <row r="1427" spans="1:7" x14ac:dyDescent="0.25">
      <c r="A1427" t="s">
        <v>5</v>
      </c>
      <c r="B1427">
        <v>1425</v>
      </c>
      <c r="C1427">
        <v>100</v>
      </c>
      <c r="D1427">
        <v>9.8981292247772217</v>
      </c>
      <c r="E1427" t="s">
        <v>10</v>
      </c>
      <c r="F1427" t="s">
        <v>43</v>
      </c>
      <c r="G1427">
        <v>5</v>
      </c>
    </row>
    <row r="1428" spans="1:7" x14ac:dyDescent="0.25">
      <c r="A1428" t="s">
        <v>5</v>
      </c>
      <c r="B1428">
        <v>1426</v>
      </c>
      <c r="C1428">
        <v>30</v>
      </c>
      <c r="D1428">
        <v>5.84684157371521</v>
      </c>
      <c r="E1428" t="s">
        <v>10</v>
      </c>
      <c r="F1428" t="s">
        <v>43</v>
      </c>
      <c r="G1428">
        <v>5</v>
      </c>
    </row>
    <row r="1429" spans="1:7" x14ac:dyDescent="0.25">
      <c r="A1429" t="s">
        <v>5</v>
      </c>
      <c r="B1429">
        <v>1427</v>
      </c>
      <c r="C1429">
        <v>70</v>
      </c>
      <c r="D1429">
        <v>4.2860043048858643</v>
      </c>
      <c r="E1429" t="s">
        <v>10</v>
      </c>
      <c r="F1429" t="s">
        <v>56</v>
      </c>
      <c r="G1429">
        <v>7.2</v>
      </c>
    </row>
    <row r="1430" spans="1:7" x14ac:dyDescent="0.25">
      <c r="A1430" t="s">
        <v>5</v>
      </c>
      <c r="B1430">
        <v>1428</v>
      </c>
      <c r="C1430">
        <v>15</v>
      </c>
      <c r="D1430">
        <v>4.5121102333068848</v>
      </c>
      <c r="E1430" t="s">
        <v>10</v>
      </c>
      <c r="F1430" t="s">
        <v>43</v>
      </c>
      <c r="G1430">
        <v>6</v>
      </c>
    </row>
    <row r="1431" spans="1:7" x14ac:dyDescent="0.25">
      <c r="A1431" t="s">
        <v>5</v>
      </c>
      <c r="B1431">
        <v>1429</v>
      </c>
      <c r="C1431">
        <v>15</v>
      </c>
      <c r="D1431">
        <v>4.1981520652770996</v>
      </c>
      <c r="E1431" t="s">
        <v>10</v>
      </c>
      <c r="F1431" t="s">
        <v>43</v>
      </c>
      <c r="G1431">
        <v>6</v>
      </c>
    </row>
    <row r="1432" spans="1:7" x14ac:dyDescent="0.25">
      <c r="A1432" t="s">
        <v>5</v>
      </c>
      <c r="B1432">
        <v>1430</v>
      </c>
      <c r="C1432">
        <v>21</v>
      </c>
      <c r="D1432">
        <v>4.3794314861297607</v>
      </c>
      <c r="E1432" t="s">
        <v>10</v>
      </c>
      <c r="F1432" t="s">
        <v>45</v>
      </c>
      <c r="G1432">
        <v>3.6</v>
      </c>
    </row>
    <row r="1433" spans="1:7" x14ac:dyDescent="0.25">
      <c r="A1433" t="s">
        <v>5</v>
      </c>
      <c r="B1433">
        <v>1431</v>
      </c>
      <c r="C1433">
        <v>14</v>
      </c>
      <c r="D1433">
        <v>3.6058051586151123</v>
      </c>
      <c r="E1433" t="s">
        <v>10</v>
      </c>
      <c r="F1433" t="s">
        <v>13</v>
      </c>
      <c r="G1433">
        <v>10</v>
      </c>
    </row>
    <row r="1434" spans="1:7" x14ac:dyDescent="0.25">
      <c r="A1434" t="s">
        <v>5</v>
      </c>
      <c r="B1434">
        <v>1432</v>
      </c>
      <c r="C1434">
        <v>100</v>
      </c>
      <c r="D1434">
        <v>9.7860586643218994</v>
      </c>
      <c r="E1434" t="s">
        <v>10</v>
      </c>
      <c r="F1434" t="s">
        <v>46</v>
      </c>
      <c r="G1434">
        <v>4.3</v>
      </c>
    </row>
    <row r="1435" spans="1:7" x14ac:dyDescent="0.25">
      <c r="A1435" t="s">
        <v>5</v>
      </c>
      <c r="B1435">
        <v>1433</v>
      </c>
      <c r="C1435">
        <v>47</v>
      </c>
      <c r="D1435">
        <v>5.4480671882629395</v>
      </c>
      <c r="E1435" t="s">
        <v>10</v>
      </c>
      <c r="F1435" t="s">
        <v>47</v>
      </c>
      <c r="G1435">
        <v>7.5</v>
      </c>
    </row>
    <row r="1436" spans="1:7" x14ac:dyDescent="0.25">
      <c r="A1436" t="s">
        <v>5</v>
      </c>
      <c r="B1436">
        <v>1434</v>
      </c>
      <c r="C1436">
        <v>100</v>
      </c>
      <c r="D1436">
        <v>6.2362685203552246</v>
      </c>
      <c r="E1436" t="s">
        <v>10</v>
      </c>
      <c r="F1436" t="s">
        <v>47</v>
      </c>
      <c r="G1436">
        <v>7.5</v>
      </c>
    </row>
    <row r="1437" spans="1:7" x14ac:dyDescent="0.25">
      <c r="A1437" t="s">
        <v>5</v>
      </c>
      <c r="B1437">
        <v>1435</v>
      </c>
      <c r="C1437">
        <v>30</v>
      </c>
      <c r="D1437">
        <v>3.6999542713165283</v>
      </c>
      <c r="E1437" t="s">
        <v>10</v>
      </c>
      <c r="F1437" t="s">
        <v>47</v>
      </c>
      <c r="G1437">
        <v>7.5</v>
      </c>
    </row>
    <row r="1438" spans="1:7" x14ac:dyDescent="0.25">
      <c r="A1438" t="s">
        <v>5</v>
      </c>
      <c r="B1438">
        <v>1436</v>
      </c>
      <c r="C1438">
        <v>100</v>
      </c>
      <c r="D1438">
        <v>6.7533445358276367</v>
      </c>
      <c r="E1438" t="s">
        <v>10</v>
      </c>
      <c r="F1438" t="s">
        <v>47</v>
      </c>
      <c r="G1438">
        <v>7.5</v>
      </c>
    </row>
    <row r="1439" spans="1:7" x14ac:dyDescent="0.25">
      <c r="A1439" t="s">
        <v>5</v>
      </c>
      <c r="B1439">
        <v>1437</v>
      </c>
      <c r="C1439">
        <v>40</v>
      </c>
      <c r="D1439">
        <v>5.2140073776245117</v>
      </c>
      <c r="E1439" t="s">
        <v>10</v>
      </c>
      <c r="F1439" t="s">
        <v>47</v>
      </c>
      <c r="G1439">
        <v>7.5</v>
      </c>
    </row>
    <row r="1440" spans="1:7" x14ac:dyDescent="0.25">
      <c r="A1440" t="s">
        <v>5</v>
      </c>
      <c r="B1440">
        <v>1438</v>
      </c>
      <c r="C1440">
        <v>100</v>
      </c>
      <c r="D1440">
        <v>8.2887346744537354</v>
      </c>
      <c r="E1440" t="s">
        <v>10</v>
      </c>
      <c r="F1440" t="s">
        <v>47</v>
      </c>
      <c r="G1440">
        <v>7.5</v>
      </c>
    </row>
    <row r="1441" spans="1:7" x14ac:dyDescent="0.25">
      <c r="A1441" t="s">
        <v>5</v>
      </c>
      <c r="B1441">
        <v>1439</v>
      </c>
      <c r="C1441">
        <v>86</v>
      </c>
      <c r="D1441">
        <v>18.260032653808594</v>
      </c>
      <c r="E1441" t="s">
        <v>10</v>
      </c>
      <c r="F1441" t="s">
        <v>47</v>
      </c>
      <c r="G1441">
        <v>7.5</v>
      </c>
    </row>
    <row r="1442" spans="1:7" x14ac:dyDescent="0.25">
      <c r="A1442" t="s">
        <v>5</v>
      </c>
      <c r="B1442">
        <v>1440</v>
      </c>
      <c r="C1442">
        <v>30</v>
      </c>
      <c r="D1442">
        <v>7.700840950012207</v>
      </c>
      <c r="E1442" t="s">
        <v>10</v>
      </c>
      <c r="F1442" t="s">
        <v>47</v>
      </c>
      <c r="G1442">
        <v>7.5</v>
      </c>
    </row>
    <row r="1443" spans="1:7" x14ac:dyDescent="0.25">
      <c r="A1443" t="s">
        <v>5</v>
      </c>
      <c r="B1443">
        <v>1441</v>
      </c>
      <c r="C1443">
        <v>100</v>
      </c>
      <c r="D1443">
        <v>8.2245151996612549</v>
      </c>
      <c r="E1443" t="s">
        <v>10</v>
      </c>
      <c r="F1443" t="s">
        <v>47</v>
      </c>
      <c r="G1443">
        <v>7.5</v>
      </c>
    </row>
    <row r="1444" spans="1:7" x14ac:dyDescent="0.25">
      <c r="A1444" t="s">
        <v>5</v>
      </c>
      <c r="B1444">
        <v>1442</v>
      </c>
      <c r="C1444">
        <v>30</v>
      </c>
      <c r="D1444">
        <v>4.7162654399871826</v>
      </c>
      <c r="E1444" t="s">
        <v>10</v>
      </c>
      <c r="F1444" t="s">
        <v>47</v>
      </c>
      <c r="G1444">
        <v>7.5</v>
      </c>
    </row>
    <row r="1445" spans="1:7" x14ac:dyDescent="0.25">
      <c r="A1445" t="s">
        <v>5</v>
      </c>
      <c r="B1445">
        <v>1443</v>
      </c>
      <c r="C1445">
        <v>37</v>
      </c>
      <c r="D1445">
        <v>7.3582067489624023</v>
      </c>
      <c r="E1445" t="s">
        <v>10</v>
      </c>
      <c r="F1445" t="s">
        <v>47</v>
      </c>
      <c r="G1445">
        <v>7.5</v>
      </c>
    </row>
    <row r="1446" spans="1:7" x14ac:dyDescent="0.25">
      <c r="A1446" t="s">
        <v>5</v>
      </c>
      <c r="B1446">
        <v>1444</v>
      </c>
      <c r="C1446">
        <v>100</v>
      </c>
      <c r="D1446">
        <v>7.8379838466644287</v>
      </c>
      <c r="E1446" t="s">
        <v>10</v>
      </c>
      <c r="F1446" t="s">
        <v>47</v>
      </c>
      <c r="G1446">
        <v>7.5</v>
      </c>
    </row>
    <row r="1447" spans="1:7" x14ac:dyDescent="0.25">
      <c r="A1447" t="s">
        <v>5</v>
      </c>
      <c r="B1447">
        <v>1445</v>
      </c>
      <c r="C1447">
        <v>27</v>
      </c>
      <c r="D1447">
        <v>3.4767148494720459</v>
      </c>
      <c r="E1447" t="s">
        <v>10</v>
      </c>
      <c r="F1447" t="s">
        <v>50</v>
      </c>
      <c r="G1447">
        <v>6.9</v>
      </c>
    </row>
    <row r="1448" spans="1:7" x14ac:dyDescent="0.25">
      <c r="A1448" t="s">
        <v>5</v>
      </c>
      <c r="B1448">
        <v>1446</v>
      </c>
      <c r="C1448">
        <v>37</v>
      </c>
      <c r="D1448">
        <v>4.8434407711029053</v>
      </c>
      <c r="E1448" t="s">
        <v>10</v>
      </c>
      <c r="F1448" t="s">
        <v>55</v>
      </c>
      <c r="G1448">
        <v>7.8</v>
      </c>
    </row>
    <row r="1449" spans="1:7" x14ac:dyDescent="0.25">
      <c r="A1449" t="s">
        <v>5</v>
      </c>
      <c r="B1449">
        <v>1447</v>
      </c>
      <c r="C1449">
        <v>49</v>
      </c>
      <c r="D1449">
        <v>5.6423039436340332</v>
      </c>
      <c r="E1449" t="s">
        <v>10</v>
      </c>
      <c r="F1449" t="s">
        <v>39</v>
      </c>
      <c r="G1449">
        <v>6.8</v>
      </c>
    </row>
    <row r="1450" spans="1:7" x14ac:dyDescent="0.25">
      <c r="A1450" t="s">
        <v>5</v>
      </c>
      <c r="B1450">
        <v>1448</v>
      </c>
      <c r="C1450">
        <v>37</v>
      </c>
      <c r="D1450">
        <v>3.6435039043426514</v>
      </c>
      <c r="E1450" t="s">
        <v>10</v>
      </c>
      <c r="F1450" t="s">
        <v>41</v>
      </c>
      <c r="G1450">
        <v>4.9000000000000004</v>
      </c>
    </row>
    <row r="1451" spans="1:7" x14ac:dyDescent="0.25">
      <c r="A1451" t="s">
        <v>5</v>
      </c>
      <c r="B1451">
        <v>1449</v>
      </c>
      <c r="C1451">
        <v>47</v>
      </c>
      <c r="D1451">
        <v>3.6938381195068359</v>
      </c>
      <c r="E1451" t="s">
        <v>10</v>
      </c>
      <c r="F1451" t="s">
        <v>41</v>
      </c>
      <c r="G1451">
        <v>4.7</v>
      </c>
    </row>
    <row r="1452" spans="1:7" x14ac:dyDescent="0.25">
      <c r="A1452" t="s">
        <v>5</v>
      </c>
      <c r="B1452">
        <v>1450</v>
      </c>
      <c r="C1452">
        <v>79</v>
      </c>
      <c r="D1452">
        <v>16.630964279174805</v>
      </c>
      <c r="E1452" t="s">
        <v>10</v>
      </c>
      <c r="F1452" t="s">
        <v>41</v>
      </c>
      <c r="G1452">
        <v>4.7</v>
      </c>
    </row>
    <row r="1453" spans="1:7" x14ac:dyDescent="0.25">
      <c r="A1453" t="s">
        <v>5</v>
      </c>
      <c r="B1453">
        <v>1451</v>
      </c>
      <c r="C1453">
        <v>21</v>
      </c>
      <c r="D1453">
        <v>3.7158408164978027</v>
      </c>
      <c r="E1453" t="s">
        <v>10</v>
      </c>
      <c r="F1453" t="s">
        <v>41</v>
      </c>
      <c r="G1453">
        <v>4.7</v>
      </c>
    </row>
    <row r="1454" spans="1:7" x14ac:dyDescent="0.25">
      <c r="A1454" t="s">
        <v>5</v>
      </c>
      <c r="B1454">
        <v>1452</v>
      </c>
      <c r="C1454">
        <v>27</v>
      </c>
      <c r="D1454">
        <v>3.8755431175231934</v>
      </c>
      <c r="E1454" t="s">
        <v>10</v>
      </c>
      <c r="F1454" t="s">
        <v>41</v>
      </c>
      <c r="G1454">
        <v>4.7</v>
      </c>
    </row>
    <row r="1455" spans="1:7" x14ac:dyDescent="0.25">
      <c r="A1455" t="s">
        <v>5</v>
      </c>
      <c r="B1455">
        <v>1453</v>
      </c>
      <c r="C1455">
        <v>100</v>
      </c>
      <c r="D1455">
        <v>6.4195723533630371</v>
      </c>
      <c r="E1455" t="s">
        <v>10</v>
      </c>
      <c r="F1455" t="s">
        <v>41</v>
      </c>
      <c r="G1455">
        <v>4.7</v>
      </c>
    </row>
    <row r="1456" spans="1:7" x14ac:dyDescent="0.25">
      <c r="A1456" t="s">
        <v>5</v>
      </c>
      <c r="B1456">
        <v>1454</v>
      </c>
      <c r="C1456">
        <v>100</v>
      </c>
      <c r="D1456">
        <v>6.770967960357666</v>
      </c>
      <c r="E1456" t="s">
        <v>10</v>
      </c>
      <c r="F1456" t="s">
        <v>41</v>
      </c>
      <c r="G1456">
        <v>4.7</v>
      </c>
    </row>
    <row r="1457" spans="1:7" x14ac:dyDescent="0.25">
      <c r="A1457" t="s">
        <v>5</v>
      </c>
      <c r="B1457">
        <v>1455</v>
      </c>
      <c r="C1457">
        <v>100</v>
      </c>
      <c r="D1457">
        <v>5.0914313793182373</v>
      </c>
      <c r="E1457" t="s">
        <v>10</v>
      </c>
      <c r="F1457" t="s">
        <v>41</v>
      </c>
      <c r="G1457">
        <v>4.7</v>
      </c>
    </row>
    <row r="1458" spans="1:7" x14ac:dyDescent="0.25">
      <c r="A1458" t="s">
        <v>5</v>
      </c>
      <c r="B1458">
        <v>1456</v>
      </c>
      <c r="C1458">
        <v>77</v>
      </c>
      <c r="D1458">
        <v>7.9277763366699219</v>
      </c>
      <c r="E1458" t="s">
        <v>10</v>
      </c>
      <c r="F1458" t="s">
        <v>41</v>
      </c>
      <c r="G1458">
        <v>4.7</v>
      </c>
    </row>
    <row r="1459" spans="1:7" x14ac:dyDescent="0.25">
      <c r="A1459" t="s">
        <v>5</v>
      </c>
      <c r="B1459">
        <v>1457</v>
      </c>
      <c r="C1459">
        <v>50</v>
      </c>
      <c r="D1459">
        <v>3.5472018718719482</v>
      </c>
      <c r="E1459" t="s">
        <v>10</v>
      </c>
      <c r="F1459" t="s">
        <v>41</v>
      </c>
      <c r="G1459">
        <v>4.7</v>
      </c>
    </row>
    <row r="1460" spans="1:7" x14ac:dyDescent="0.25">
      <c r="A1460" t="s">
        <v>5</v>
      </c>
      <c r="B1460">
        <v>1458</v>
      </c>
      <c r="C1460">
        <v>100</v>
      </c>
      <c r="D1460">
        <v>12.518394947052002</v>
      </c>
      <c r="E1460" t="s">
        <v>10</v>
      </c>
      <c r="F1460" t="s">
        <v>41</v>
      </c>
      <c r="G1460">
        <v>5.4</v>
      </c>
    </row>
    <row r="1461" spans="1:7" x14ac:dyDescent="0.25">
      <c r="A1461" t="s">
        <v>5</v>
      </c>
      <c r="B1461">
        <v>1459</v>
      </c>
      <c r="C1461">
        <v>70</v>
      </c>
      <c r="D1461">
        <v>6.3395302295684814</v>
      </c>
      <c r="E1461" t="s">
        <v>10</v>
      </c>
      <c r="F1461" t="s">
        <v>41</v>
      </c>
      <c r="G1461">
        <v>5</v>
      </c>
    </row>
    <row r="1462" spans="1:7" x14ac:dyDescent="0.25">
      <c r="A1462" t="s">
        <v>5</v>
      </c>
      <c r="B1462">
        <v>1460</v>
      </c>
      <c r="C1462">
        <v>100</v>
      </c>
      <c r="D1462">
        <v>6.7217235565185547</v>
      </c>
      <c r="E1462" t="s">
        <v>10</v>
      </c>
      <c r="F1462" t="s">
        <v>41</v>
      </c>
      <c r="G1462">
        <v>5</v>
      </c>
    </row>
    <row r="1463" spans="1:7" x14ac:dyDescent="0.25">
      <c r="A1463" t="s">
        <v>5</v>
      </c>
      <c r="B1463">
        <v>1461</v>
      </c>
      <c r="C1463">
        <v>70</v>
      </c>
      <c r="D1463">
        <v>7.5781524181365967</v>
      </c>
      <c r="E1463" t="s">
        <v>10</v>
      </c>
      <c r="F1463" t="s">
        <v>41</v>
      </c>
      <c r="G1463">
        <v>4.4000000000000004</v>
      </c>
    </row>
    <row r="1464" spans="1:7" x14ac:dyDescent="0.25">
      <c r="A1464" t="s">
        <v>5</v>
      </c>
      <c r="B1464">
        <v>1462</v>
      </c>
      <c r="C1464">
        <v>67</v>
      </c>
      <c r="D1464">
        <v>6.6348764896392822</v>
      </c>
      <c r="E1464" t="s">
        <v>10</v>
      </c>
      <c r="F1464" t="s">
        <v>41</v>
      </c>
      <c r="G1464">
        <v>4.4000000000000004</v>
      </c>
    </row>
    <row r="1465" spans="1:7" x14ac:dyDescent="0.25">
      <c r="A1465" t="s">
        <v>5</v>
      </c>
      <c r="B1465">
        <v>1463</v>
      </c>
      <c r="C1465">
        <v>47</v>
      </c>
      <c r="D1465">
        <v>3.2706232070922852</v>
      </c>
      <c r="E1465" t="s">
        <v>10</v>
      </c>
      <c r="F1465" t="s">
        <v>41</v>
      </c>
      <c r="G1465">
        <v>7.2</v>
      </c>
    </row>
    <row r="1466" spans="1:7" x14ac:dyDescent="0.25">
      <c r="A1466" t="s">
        <v>5</v>
      </c>
      <c r="B1466">
        <v>1464</v>
      </c>
      <c r="C1466">
        <v>40</v>
      </c>
      <c r="D1466">
        <v>8.4883971214294434</v>
      </c>
      <c r="E1466" t="s">
        <v>10</v>
      </c>
      <c r="F1466" t="s">
        <v>43</v>
      </c>
      <c r="G1466">
        <v>4.9000000000000004</v>
      </c>
    </row>
    <row r="1467" spans="1:7" x14ac:dyDescent="0.25">
      <c r="A1467" t="s">
        <v>5</v>
      </c>
      <c r="B1467">
        <v>1465</v>
      </c>
      <c r="C1467">
        <v>70</v>
      </c>
      <c r="D1467">
        <v>6.7925424575805664</v>
      </c>
      <c r="E1467" t="s">
        <v>10</v>
      </c>
      <c r="F1467" t="s">
        <v>43</v>
      </c>
      <c r="G1467">
        <v>4.9000000000000004</v>
      </c>
    </row>
    <row r="1468" spans="1:7" x14ac:dyDescent="0.25">
      <c r="A1468" t="s">
        <v>5</v>
      </c>
      <c r="B1468">
        <v>1466</v>
      </c>
      <c r="C1468">
        <v>80</v>
      </c>
      <c r="D1468">
        <v>8.2422537803649902</v>
      </c>
      <c r="E1468" t="s">
        <v>10</v>
      </c>
      <c r="F1468" t="s">
        <v>43</v>
      </c>
      <c r="G1468">
        <v>4.9000000000000004</v>
      </c>
    </row>
    <row r="1469" spans="1:7" x14ac:dyDescent="0.25">
      <c r="A1469" t="s">
        <v>5</v>
      </c>
      <c r="B1469">
        <v>1467</v>
      </c>
      <c r="C1469">
        <v>57</v>
      </c>
      <c r="D1469">
        <v>10.463862895965576</v>
      </c>
      <c r="E1469" t="s">
        <v>10</v>
      </c>
      <c r="F1469" t="s">
        <v>43</v>
      </c>
      <c r="G1469">
        <v>4.9000000000000004</v>
      </c>
    </row>
    <row r="1470" spans="1:7" x14ac:dyDescent="0.25">
      <c r="A1470" t="s">
        <v>5</v>
      </c>
      <c r="B1470">
        <v>1468</v>
      </c>
      <c r="C1470">
        <v>15</v>
      </c>
      <c r="D1470">
        <v>4.1454493999481201</v>
      </c>
      <c r="E1470" t="s">
        <v>10</v>
      </c>
      <c r="F1470" t="s">
        <v>43</v>
      </c>
      <c r="G1470">
        <v>4.9000000000000004</v>
      </c>
    </row>
    <row r="1471" spans="1:7" x14ac:dyDescent="0.25">
      <c r="A1471" t="s">
        <v>5</v>
      </c>
      <c r="B1471">
        <v>1469</v>
      </c>
      <c r="C1471">
        <v>57</v>
      </c>
      <c r="D1471">
        <v>7.83559250831604</v>
      </c>
      <c r="E1471" t="s">
        <v>10</v>
      </c>
      <c r="F1471" t="s">
        <v>43</v>
      </c>
      <c r="G1471">
        <v>4.9000000000000004</v>
      </c>
    </row>
    <row r="1472" spans="1:7" x14ac:dyDescent="0.25">
      <c r="A1472" t="s">
        <v>5</v>
      </c>
      <c r="B1472">
        <v>1470</v>
      </c>
      <c r="C1472">
        <v>16</v>
      </c>
      <c r="D1472">
        <v>8.811690092086792</v>
      </c>
      <c r="E1472" t="s">
        <v>10</v>
      </c>
      <c r="F1472" t="s">
        <v>43</v>
      </c>
      <c r="G1472">
        <v>4.9000000000000004</v>
      </c>
    </row>
    <row r="1473" spans="1:7" x14ac:dyDescent="0.25">
      <c r="A1473" t="s">
        <v>5</v>
      </c>
      <c r="B1473">
        <v>1471</v>
      </c>
      <c r="C1473">
        <v>100</v>
      </c>
      <c r="D1473">
        <v>6.4411311149597168</v>
      </c>
      <c r="E1473" t="s">
        <v>10</v>
      </c>
      <c r="F1473" t="s">
        <v>43</v>
      </c>
      <c r="G1473">
        <v>4.9000000000000004</v>
      </c>
    </row>
    <row r="1474" spans="1:7" x14ac:dyDescent="0.25">
      <c r="A1474" t="s">
        <v>5</v>
      </c>
      <c r="B1474">
        <v>1472</v>
      </c>
      <c r="C1474">
        <v>100</v>
      </c>
      <c r="D1474">
        <v>11.195670127868652</v>
      </c>
      <c r="E1474" t="s">
        <v>10</v>
      </c>
      <c r="F1474" t="s">
        <v>43</v>
      </c>
      <c r="G1474">
        <v>4.7</v>
      </c>
    </row>
    <row r="1475" spans="1:7" x14ac:dyDescent="0.25">
      <c r="A1475" t="s">
        <v>5</v>
      </c>
      <c r="B1475">
        <v>1473</v>
      </c>
      <c r="C1475">
        <v>100</v>
      </c>
      <c r="D1475">
        <v>6.708857536315918</v>
      </c>
      <c r="E1475" t="s">
        <v>10</v>
      </c>
      <c r="F1475" t="s">
        <v>43</v>
      </c>
      <c r="G1475">
        <v>4.9000000000000004</v>
      </c>
    </row>
    <row r="1476" spans="1:7" x14ac:dyDescent="0.25">
      <c r="A1476" t="s">
        <v>5</v>
      </c>
      <c r="B1476">
        <v>1474</v>
      </c>
      <c r="C1476">
        <v>100</v>
      </c>
      <c r="D1476">
        <v>11.34884786605835</v>
      </c>
      <c r="E1476" t="s">
        <v>10</v>
      </c>
      <c r="F1476" t="s">
        <v>43</v>
      </c>
      <c r="G1476">
        <v>4.9000000000000004</v>
      </c>
    </row>
    <row r="1477" spans="1:7" x14ac:dyDescent="0.25">
      <c r="A1477" t="s">
        <v>5</v>
      </c>
      <c r="B1477">
        <v>1475</v>
      </c>
      <c r="C1477">
        <v>100</v>
      </c>
      <c r="D1477">
        <v>6.0857815742492676</v>
      </c>
      <c r="E1477" t="s">
        <v>10</v>
      </c>
      <c r="F1477" t="s">
        <v>43</v>
      </c>
      <c r="G1477">
        <v>4.9000000000000004</v>
      </c>
    </row>
    <row r="1478" spans="1:7" x14ac:dyDescent="0.25">
      <c r="A1478" t="s">
        <v>5</v>
      </c>
      <c r="B1478">
        <v>1476</v>
      </c>
      <c r="C1478">
        <v>47</v>
      </c>
      <c r="D1478">
        <v>4.9081480503082275</v>
      </c>
      <c r="E1478" t="s">
        <v>10</v>
      </c>
      <c r="F1478" t="s">
        <v>43</v>
      </c>
      <c r="G1478">
        <v>4.9000000000000004</v>
      </c>
    </row>
    <row r="1479" spans="1:7" x14ac:dyDescent="0.25">
      <c r="A1479" t="s">
        <v>5</v>
      </c>
      <c r="B1479">
        <v>1477</v>
      </c>
      <c r="C1479">
        <v>21</v>
      </c>
      <c r="D1479">
        <v>4.4058833122253418</v>
      </c>
      <c r="E1479" t="s">
        <v>10</v>
      </c>
      <c r="F1479" t="s">
        <v>43</v>
      </c>
      <c r="G1479">
        <v>4.9000000000000004</v>
      </c>
    </row>
    <row r="1480" spans="1:7" x14ac:dyDescent="0.25">
      <c r="A1480" t="s">
        <v>5</v>
      </c>
      <c r="B1480">
        <v>1478</v>
      </c>
      <c r="C1480">
        <v>30</v>
      </c>
      <c r="D1480">
        <v>4.8330860137939453</v>
      </c>
      <c r="E1480" t="s">
        <v>10</v>
      </c>
      <c r="F1480" t="s">
        <v>43</v>
      </c>
      <c r="G1480">
        <v>4.9000000000000004</v>
      </c>
    </row>
    <row r="1481" spans="1:7" x14ac:dyDescent="0.25">
      <c r="A1481" t="s">
        <v>5</v>
      </c>
      <c r="B1481">
        <v>1479</v>
      </c>
      <c r="C1481">
        <v>100</v>
      </c>
      <c r="D1481">
        <v>5.2329971790313721</v>
      </c>
      <c r="E1481" t="s">
        <v>10</v>
      </c>
      <c r="F1481" t="s">
        <v>43</v>
      </c>
      <c r="G1481">
        <v>4.9000000000000004</v>
      </c>
    </row>
    <row r="1482" spans="1:7" x14ac:dyDescent="0.25">
      <c r="A1482" t="s">
        <v>5</v>
      </c>
      <c r="B1482">
        <v>1480</v>
      </c>
      <c r="C1482">
        <v>100</v>
      </c>
      <c r="D1482">
        <v>7.5452451705932617</v>
      </c>
      <c r="E1482" t="s">
        <v>10</v>
      </c>
      <c r="F1482" t="s">
        <v>43</v>
      </c>
      <c r="G1482">
        <v>4.9000000000000004</v>
      </c>
    </row>
    <row r="1483" spans="1:7" x14ac:dyDescent="0.25">
      <c r="A1483" t="s">
        <v>5</v>
      </c>
      <c r="B1483">
        <v>1481</v>
      </c>
      <c r="C1483">
        <v>13</v>
      </c>
      <c r="D1483">
        <v>5.9499306678771973</v>
      </c>
      <c r="E1483" t="s">
        <v>10</v>
      </c>
      <c r="F1483" t="s">
        <v>43</v>
      </c>
      <c r="G1483">
        <v>4.9000000000000004</v>
      </c>
    </row>
    <row r="1484" spans="1:7" x14ac:dyDescent="0.25">
      <c r="A1484" t="s">
        <v>5</v>
      </c>
      <c r="B1484">
        <v>1482</v>
      </c>
      <c r="C1484">
        <v>30</v>
      </c>
      <c r="D1484">
        <v>5.0106523036956787</v>
      </c>
      <c r="E1484" t="s">
        <v>10</v>
      </c>
      <c r="F1484" t="s">
        <v>43</v>
      </c>
      <c r="G1484">
        <v>4.9000000000000004</v>
      </c>
    </row>
    <row r="1485" spans="1:7" x14ac:dyDescent="0.25">
      <c r="A1485" t="s">
        <v>5</v>
      </c>
      <c r="B1485">
        <v>1483</v>
      </c>
      <c r="C1485">
        <v>25</v>
      </c>
      <c r="D1485">
        <v>7.4862418174743652</v>
      </c>
      <c r="E1485" t="s">
        <v>10</v>
      </c>
      <c r="F1485" t="s">
        <v>43</v>
      </c>
      <c r="G1485">
        <v>4.9000000000000004</v>
      </c>
    </row>
    <row r="1486" spans="1:7" x14ac:dyDescent="0.25">
      <c r="A1486" t="s">
        <v>5</v>
      </c>
      <c r="B1486">
        <v>1484</v>
      </c>
      <c r="C1486">
        <v>57</v>
      </c>
      <c r="D1486">
        <v>5.0268783569335938</v>
      </c>
      <c r="E1486" t="s">
        <v>10</v>
      </c>
      <c r="F1486" t="s">
        <v>13</v>
      </c>
      <c r="G1486">
        <v>3.6</v>
      </c>
    </row>
    <row r="1487" spans="1:7" x14ac:dyDescent="0.25">
      <c r="A1487" t="s">
        <v>5</v>
      </c>
      <c r="B1487">
        <v>1485</v>
      </c>
      <c r="C1487">
        <v>14</v>
      </c>
      <c r="D1487">
        <v>6.0724866390228271</v>
      </c>
      <c r="E1487" t="s">
        <v>10</v>
      </c>
      <c r="F1487" t="s">
        <v>59</v>
      </c>
      <c r="G1487">
        <v>3.3</v>
      </c>
    </row>
    <row r="1488" spans="1:7" x14ac:dyDescent="0.25">
      <c r="A1488" t="s">
        <v>5</v>
      </c>
      <c r="B1488">
        <v>1486</v>
      </c>
      <c r="C1488">
        <v>39</v>
      </c>
      <c r="D1488">
        <v>5.2184600830078125</v>
      </c>
      <c r="E1488" t="s">
        <v>10</v>
      </c>
      <c r="F1488" t="s">
        <v>60</v>
      </c>
      <c r="G1488">
        <v>7.9</v>
      </c>
    </row>
    <row r="1489" spans="1:7" x14ac:dyDescent="0.25">
      <c r="A1489" t="s">
        <v>5</v>
      </c>
      <c r="B1489">
        <v>1487</v>
      </c>
      <c r="C1489">
        <v>37</v>
      </c>
      <c r="D1489">
        <v>7.2021896839141846</v>
      </c>
      <c r="E1489" t="s">
        <v>10</v>
      </c>
      <c r="F1489" t="s">
        <v>60</v>
      </c>
      <c r="G1489">
        <v>7.9</v>
      </c>
    </row>
    <row r="1490" spans="1:7" x14ac:dyDescent="0.25">
      <c r="A1490" t="s">
        <v>5</v>
      </c>
      <c r="B1490">
        <v>1488</v>
      </c>
      <c r="C1490">
        <v>21</v>
      </c>
      <c r="D1490">
        <v>5.1162242889404297</v>
      </c>
      <c r="E1490" t="s">
        <v>10</v>
      </c>
      <c r="F1490" t="s">
        <v>43</v>
      </c>
      <c r="G1490">
        <v>1.9</v>
      </c>
    </row>
    <row r="1491" spans="1:7" x14ac:dyDescent="0.25">
      <c r="A1491" t="s">
        <v>5</v>
      </c>
      <c r="B1491">
        <v>1489</v>
      </c>
      <c r="C1491">
        <v>70</v>
      </c>
      <c r="D1491">
        <v>6.6408977508544922</v>
      </c>
      <c r="E1491" t="s">
        <v>10</v>
      </c>
      <c r="F1491" t="s">
        <v>43</v>
      </c>
      <c r="G1491">
        <v>1.9</v>
      </c>
    </row>
    <row r="1492" spans="1:7" x14ac:dyDescent="0.25">
      <c r="A1492" t="s">
        <v>5</v>
      </c>
      <c r="B1492">
        <v>1490</v>
      </c>
      <c r="C1492">
        <v>70</v>
      </c>
      <c r="D1492">
        <v>3.4481439590454102</v>
      </c>
      <c r="E1492" t="s">
        <v>10</v>
      </c>
      <c r="F1492" t="s">
        <v>43</v>
      </c>
      <c r="G1492">
        <v>1.9</v>
      </c>
    </row>
    <row r="1493" spans="1:7" x14ac:dyDescent="0.25">
      <c r="A1493" t="s">
        <v>5</v>
      </c>
      <c r="B1493">
        <v>1491</v>
      </c>
      <c r="C1493">
        <v>100</v>
      </c>
      <c r="D1493">
        <v>4.593019962310791</v>
      </c>
      <c r="E1493" t="s">
        <v>10</v>
      </c>
      <c r="F1493" t="s">
        <v>43</v>
      </c>
      <c r="G1493">
        <v>1.9</v>
      </c>
    </row>
    <row r="1494" spans="1:7" x14ac:dyDescent="0.25">
      <c r="A1494" t="s">
        <v>5</v>
      </c>
      <c r="B1494">
        <v>1492</v>
      </c>
      <c r="C1494">
        <v>45</v>
      </c>
      <c r="D1494">
        <v>14.677428722381592</v>
      </c>
      <c r="E1494" t="s">
        <v>10</v>
      </c>
      <c r="F1494" t="s">
        <v>43</v>
      </c>
      <c r="G1494">
        <v>1.9</v>
      </c>
    </row>
    <row r="1495" spans="1:7" x14ac:dyDescent="0.25">
      <c r="A1495" t="s">
        <v>5</v>
      </c>
      <c r="B1495">
        <v>1493</v>
      </c>
      <c r="C1495">
        <v>45</v>
      </c>
      <c r="D1495">
        <v>12.254953622817993</v>
      </c>
      <c r="E1495" t="s">
        <v>10</v>
      </c>
      <c r="F1495" t="s">
        <v>43</v>
      </c>
      <c r="G1495">
        <v>1.9</v>
      </c>
    </row>
    <row r="1496" spans="1:7" x14ac:dyDescent="0.25">
      <c r="A1496" t="s">
        <v>5</v>
      </c>
      <c r="B1496">
        <v>1494</v>
      </c>
      <c r="C1496">
        <v>17</v>
      </c>
      <c r="D1496">
        <v>3.9075286388397217</v>
      </c>
      <c r="E1496" t="s">
        <v>10</v>
      </c>
      <c r="F1496" t="s">
        <v>43</v>
      </c>
      <c r="G1496">
        <v>1.9</v>
      </c>
    </row>
    <row r="1497" spans="1:7" x14ac:dyDescent="0.25">
      <c r="A1497" t="s">
        <v>5</v>
      </c>
      <c r="B1497">
        <v>1495</v>
      </c>
      <c r="C1497">
        <v>70</v>
      </c>
      <c r="D1497">
        <v>8.8492286205291748</v>
      </c>
      <c r="E1497" t="s">
        <v>10</v>
      </c>
      <c r="F1497" t="s">
        <v>43</v>
      </c>
      <c r="G1497">
        <v>1.9</v>
      </c>
    </row>
    <row r="1498" spans="1:7" x14ac:dyDescent="0.25">
      <c r="A1498" t="s">
        <v>5</v>
      </c>
      <c r="B1498">
        <v>1496</v>
      </c>
      <c r="C1498">
        <v>13</v>
      </c>
      <c r="D1498">
        <v>6.5040130615234375</v>
      </c>
      <c r="E1498" t="s">
        <v>10</v>
      </c>
      <c r="F1498" t="s">
        <v>48</v>
      </c>
      <c r="G1498">
        <v>6.9</v>
      </c>
    </row>
    <row r="1499" spans="1:7" x14ac:dyDescent="0.25">
      <c r="A1499" t="s">
        <v>5</v>
      </c>
      <c r="B1499">
        <v>1497</v>
      </c>
      <c r="C1499">
        <v>47</v>
      </c>
      <c r="D1499">
        <v>4.2111485004425049</v>
      </c>
      <c r="E1499" t="s">
        <v>10</v>
      </c>
      <c r="F1499" t="s">
        <v>43</v>
      </c>
      <c r="G1499">
        <v>2.1</v>
      </c>
    </row>
    <row r="1500" spans="1:7" x14ac:dyDescent="0.25">
      <c r="A1500" t="s">
        <v>5</v>
      </c>
      <c r="B1500">
        <v>1498</v>
      </c>
      <c r="C1500">
        <v>17</v>
      </c>
      <c r="D1500">
        <v>4.1802148818969727</v>
      </c>
      <c r="E1500" t="s">
        <v>10</v>
      </c>
      <c r="F1500" t="s">
        <v>43</v>
      </c>
      <c r="G1500">
        <v>2.1</v>
      </c>
    </row>
    <row r="1501" spans="1:7" x14ac:dyDescent="0.25">
      <c r="A1501" t="s">
        <v>5</v>
      </c>
      <c r="B1501">
        <v>1499</v>
      </c>
      <c r="C1501">
        <v>47</v>
      </c>
      <c r="D1501">
        <v>4.0228011608123779</v>
      </c>
      <c r="E1501" t="s">
        <v>10</v>
      </c>
      <c r="F1501" t="s">
        <v>43</v>
      </c>
      <c r="G1501">
        <v>2.1</v>
      </c>
    </row>
    <row r="1502" spans="1:7" x14ac:dyDescent="0.25">
      <c r="A1502" t="s">
        <v>5</v>
      </c>
      <c r="B1502">
        <v>1500</v>
      </c>
      <c r="C1502">
        <v>47</v>
      </c>
      <c r="D1502">
        <v>3.7761304378509521</v>
      </c>
      <c r="E1502" t="s">
        <v>10</v>
      </c>
      <c r="F1502" t="s">
        <v>43</v>
      </c>
      <c r="G1502">
        <v>2.1</v>
      </c>
    </row>
    <row r="1503" spans="1:7" x14ac:dyDescent="0.25">
      <c r="A1503" t="s">
        <v>5</v>
      </c>
      <c r="B1503">
        <v>1501</v>
      </c>
      <c r="C1503">
        <v>13</v>
      </c>
      <c r="D1503">
        <v>3.563363790512085</v>
      </c>
      <c r="E1503" t="s">
        <v>10</v>
      </c>
      <c r="F1503" t="s">
        <v>43</v>
      </c>
      <c r="G1503">
        <v>2.1</v>
      </c>
    </row>
    <row r="1504" spans="1:7" x14ac:dyDescent="0.25">
      <c r="A1504" t="s">
        <v>5</v>
      </c>
      <c r="B1504">
        <v>1502</v>
      </c>
      <c r="C1504">
        <v>21</v>
      </c>
      <c r="D1504">
        <v>3.6324365139007568</v>
      </c>
      <c r="E1504" t="s">
        <v>10</v>
      </c>
      <c r="F1504" t="s">
        <v>43</v>
      </c>
      <c r="G1504">
        <v>2.1</v>
      </c>
    </row>
    <row r="1505" spans="1:7" x14ac:dyDescent="0.25">
      <c r="A1505" t="s">
        <v>5</v>
      </c>
      <c r="B1505">
        <v>1503</v>
      </c>
      <c r="C1505">
        <v>21</v>
      </c>
      <c r="D1505">
        <v>3.6467156410217285</v>
      </c>
      <c r="E1505" t="s">
        <v>10</v>
      </c>
      <c r="F1505" t="s">
        <v>43</v>
      </c>
      <c r="G1505">
        <v>2.1</v>
      </c>
    </row>
    <row r="1506" spans="1:7" x14ac:dyDescent="0.25">
      <c r="A1506" t="s">
        <v>5</v>
      </c>
      <c r="B1506">
        <v>1504</v>
      </c>
      <c r="C1506">
        <v>100</v>
      </c>
      <c r="D1506">
        <v>3.2324891090393066</v>
      </c>
      <c r="E1506" t="s">
        <v>10</v>
      </c>
      <c r="F1506" t="s">
        <v>43</v>
      </c>
      <c r="G1506">
        <v>2.1</v>
      </c>
    </row>
    <row r="1507" spans="1:7" x14ac:dyDescent="0.25">
      <c r="A1507" t="s">
        <v>5</v>
      </c>
      <c r="B1507">
        <v>1505</v>
      </c>
      <c r="C1507">
        <v>70</v>
      </c>
      <c r="D1507">
        <v>5.4877257347106934</v>
      </c>
      <c r="E1507" t="s">
        <v>10</v>
      </c>
      <c r="F1507" t="s">
        <v>43</v>
      </c>
      <c r="G1507">
        <v>2.1</v>
      </c>
    </row>
    <row r="1508" spans="1:7" x14ac:dyDescent="0.25">
      <c r="A1508" t="s">
        <v>5</v>
      </c>
      <c r="B1508">
        <v>1506</v>
      </c>
      <c r="C1508">
        <v>70</v>
      </c>
      <c r="D1508">
        <v>3.2508494853973389</v>
      </c>
      <c r="E1508" t="s">
        <v>10</v>
      </c>
      <c r="F1508" t="s">
        <v>43</v>
      </c>
      <c r="G1508">
        <v>2.1</v>
      </c>
    </row>
    <row r="1509" spans="1:7" x14ac:dyDescent="0.25">
      <c r="A1509" t="s">
        <v>5</v>
      </c>
      <c r="B1509">
        <v>1507</v>
      </c>
      <c r="C1509">
        <v>21</v>
      </c>
      <c r="D1509">
        <v>3.4572548866271973</v>
      </c>
      <c r="E1509" t="s">
        <v>10</v>
      </c>
      <c r="F1509" t="s">
        <v>43</v>
      </c>
      <c r="G1509">
        <v>2.1</v>
      </c>
    </row>
    <row r="1510" spans="1:7" x14ac:dyDescent="0.25">
      <c r="A1510" t="s">
        <v>5</v>
      </c>
      <c r="B1510">
        <v>1508</v>
      </c>
      <c r="C1510">
        <v>21</v>
      </c>
      <c r="D1510">
        <v>3.6640393733978271</v>
      </c>
      <c r="E1510" t="s">
        <v>10</v>
      </c>
      <c r="F1510" t="s">
        <v>43</v>
      </c>
      <c r="G1510">
        <v>2.1</v>
      </c>
    </row>
    <row r="1511" spans="1:7" x14ac:dyDescent="0.25">
      <c r="A1511" t="s">
        <v>5</v>
      </c>
      <c r="B1511">
        <v>1509</v>
      </c>
      <c r="C1511">
        <v>45</v>
      </c>
      <c r="D1511">
        <v>5.3933196067810059</v>
      </c>
      <c r="E1511" t="s">
        <v>10</v>
      </c>
      <c r="F1511" t="s">
        <v>61</v>
      </c>
      <c r="G1511">
        <v>2.1</v>
      </c>
    </row>
    <row r="1512" spans="1:7" x14ac:dyDescent="0.25">
      <c r="A1512" t="s">
        <v>5</v>
      </c>
      <c r="B1512">
        <v>1510</v>
      </c>
      <c r="C1512">
        <v>100</v>
      </c>
      <c r="D1512">
        <v>4.1037275791168213</v>
      </c>
      <c r="E1512" t="s">
        <v>10</v>
      </c>
      <c r="F1512" t="s">
        <v>61</v>
      </c>
      <c r="G1512">
        <v>2.1</v>
      </c>
    </row>
    <row r="1513" spans="1:7" x14ac:dyDescent="0.25">
      <c r="A1513" t="s">
        <v>5</v>
      </c>
      <c r="B1513">
        <v>1511</v>
      </c>
      <c r="C1513">
        <v>100</v>
      </c>
      <c r="D1513">
        <v>4.128549337387085</v>
      </c>
      <c r="E1513" t="s">
        <v>10</v>
      </c>
      <c r="F1513" t="s">
        <v>61</v>
      </c>
      <c r="G1513">
        <v>2.1</v>
      </c>
    </row>
    <row r="1514" spans="1:7" x14ac:dyDescent="0.25">
      <c r="A1514" t="s">
        <v>5</v>
      </c>
      <c r="B1514">
        <v>1512</v>
      </c>
      <c r="C1514">
        <v>21</v>
      </c>
      <c r="D1514">
        <v>4.9810886383056641</v>
      </c>
      <c r="E1514" t="s">
        <v>10</v>
      </c>
      <c r="F1514" t="s">
        <v>41</v>
      </c>
      <c r="G1514">
        <v>4.9000000000000004</v>
      </c>
    </row>
    <row r="1515" spans="1:7" x14ac:dyDescent="0.25">
      <c r="A1515" t="s">
        <v>5</v>
      </c>
      <c r="B1515">
        <v>1513</v>
      </c>
      <c r="C1515">
        <v>50</v>
      </c>
      <c r="D1515">
        <v>3.6306130886077881</v>
      </c>
      <c r="E1515" t="s">
        <v>10</v>
      </c>
      <c r="F1515" t="s">
        <v>39</v>
      </c>
      <c r="G1515">
        <v>7.5</v>
      </c>
    </row>
    <row r="1516" spans="1:7" x14ac:dyDescent="0.25">
      <c r="A1516" t="s">
        <v>5</v>
      </c>
      <c r="B1516">
        <v>1514</v>
      </c>
      <c r="C1516">
        <v>37</v>
      </c>
      <c r="D1516">
        <v>3.2967627048492432</v>
      </c>
      <c r="E1516" t="s">
        <v>10</v>
      </c>
      <c r="F1516" t="s">
        <v>39</v>
      </c>
      <c r="G1516">
        <v>7.5</v>
      </c>
    </row>
    <row r="1517" spans="1:7" x14ac:dyDescent="0.25">
      <c r="A1517" t="s">
        <v>5</v>
      </c>
      <c r="B1517">
        <v>1515</v>
      </c>
      <c r="C1517">
        <v>30</v>
      </c>
      <c r="D1517">
        <v>9.4573848247528076</v>
      </c>
      <c r="E1517" t="s">
        <v>10</v>
      </c>
      <c r="F1517" t="s">
        <v>41</v>
      </c>
      <c r="G1517">
        <v>5.4</v>
      </c>
    </row>
    <row r="1518" spans="1:7" x14ac:dyDescent="0.25">
      <c r="A1518" t="s">
        <v>5</v>
      </c>
      <c r="B1518">
        <v>1516</v>
      </c>
      <c r="C1518">
        <v>37</v>
      </c>
      <c r="D1518">
        <v>4.9031972885131836</v>
      </c>
      <c r="E1518" t="s">
        <v>10</v>
      </c>
      <c r="F1518" t="s">
        <v>39</v>
      </c>
      <c r="G1518">
        <v>6.8</v>
      </c>
    </row>
    <row r="1519" spans="1:7" x14ac:dyDescent="0.25">
      <c r="A1519" t="s">
        <v>5</v>
      </c>
      <c r="B1519">
        <v>1517</v>
      </c>
      <c r="C1519">
        <v>75</v>
      </c>
      <c r="D1519">
        <v>16.054589033126831</v>
      </c>
      <c r="E1519" t="s">
        <v>10</v>
      </c>
      <c r="F1519" t="s">
        <v>41</v>
      </c>
      <c r="G1519">
        <v>4.7</v>
      </c>
    </row>
    <row r="1520" spans="1:7" x14ac:dyDescent="0.25">
      <c r="A1520" t="s">
        <v>5</v>
      </c>
      <c r="B1520">
        <v>1518</v>
      </c>
      <c r="C1520">
        <v>14</v>
      </c>
      <c r="D1520">
        <v>3.9173147678375244</v>
      </c>
      <c r="E1520" t="s">
        <v>10</v>
      </c>
      <c r="F1520" t="s">
        <v>43</v>
      </c>
      <c r="G1520">
        <v>2.1</v>
      </c>
    </row>
    <row r="1521" spans="1:7" x14ac:dyDescent="0.25">
      <c r="A1521" t="s">
        <v>5</v>
      </c>
      <c r="B1521">
        <v>1519</v>
      </c>
      <c r="C1521">
        <v>85</v>
      </c>
      <c r="D1521">
        <v>4.2353510856628418</v>
      </c>
      <c r="E1521" t="s">
        <v>10</v>
      </c>
      <c r="F1521" t="s">
        <v>41</v>
      </c>
      <c r="G1521">
        <v>3.8</v>
      </c>
    </row>
    <row r="1522" spans="1:7" x14ac:dyDescent="0.25">
      <c r="A1522" t="s">
        <v>5</v>
      </c>
      <c r="B1522">
        <v>1520</v>
      </c>
      <c r="C1522">
        <v>100</v>
      </c>
      <c r="D1522">
        <v>5.6546673774719238</v>
      </c>
      <c r="E1522" t="s">
        <v>10</v>
      </c>
      <c r="F1522" t="s">
        <v>46</v>
      </c>
      <c r="G1522">
        <v>4.9000000000000004</v>
      </c>
    </row>
    <row r="1523" spans="1:7" x14ac:dyDescent="0.25">
      <c r="A1523" t="s">
        <v>5</v>
      </c>
      <c r="B1523">
        <v>1521</v>
      </c>
      <c r="C1523">
        <v>21</v>
      </c>
      <c r="D1523">
        <v>3.8984198570251465</v>
      </c>
      <c r="E1523" t="s">
        <v>10</v>
      </c>
      <c r="F1523" t="s">
        <v>56</v>
      </c>
      <c r="G1523">
        <v>7.2</v>
      </c>
    </row>
    <row r="1524" spans="1:7" x14ac:dyDescent="0.25">
      <c r="A1524" t="s">
        <v>5</v>
      </c>
      <c r="B1524">
        <v>1522</v>
      </c>
      <c r="C1524">
        <v>37</v>
      </c>
      <c r="D1524">
        <v>12.077304840087891</v>
      </c>
      <c r="E1524" t="s">
        <v>10</v>
      </c>
      <c r="F1524" t="s">
        <v>43</v>
      </c>
      <c r="G1524">
        <v>2.6</v>
      </c>
    </row>
    <row r="1525" spans="1:7" x14ac:dyDescent="0.25">
      <c r="A1525" t="s">
        <v>5</v>
      </c>
      <c r="B1525">
        <v>1523</v>
      </c>
      <c r="C1525">
        <v>90</v>
      </c>
      <c r="D1525">
        <v>4.4582340717315674</v>
      </c>
      <c r="E1525" t="s">
        <v>10</v>
      </c>
      <c r="F1525" t="s">
        <v>46</v>
      </c>
      <c r="G1525">
        <v>4.7</v>
      </c>
    </row>
    <row r="1526" spans="1:7" x14ac:dyDescent="0.25">
      <c r="A1526" t="s">
        <v>5</v>
      </c>
      <c r="B1526">
        <v>1524</v>
      </c>
      <c r="C1526">
        <v>100</v>
      </c>
      <c r="D1526">
        <v>4.6398096084594727</v>
      </c>
      <c r="E1526" t="s">
        <v>10</v>
      </c>
      <c r="F1526" t="s">
        <v>41</v>
      </c>
      <c r="G1526">
        <v>7.8</v>
      </c>
    </row>
    <row r="1527" spans="1:7" x14ac:dyDescent="0.25">
      <c r="A1527" t="s">
        <v>5</v>
      </c>
      <c r="B1527">
        <v>1525</v>
      </c>
      <c r="C1527">
        <v>17</v>
      </c>
      <c r="D1527">
        <v>3.475862979888916</v>
      </c>
      <c r="E1527" t="s">
        <v>10</v>
      </c>
      <c r="F1527" t="s">
        <v>41</v>
      </c>
      <c r="G1527">
        <v>7.8</v>
      </c>
    </row>
    <row r="1528" spans="1:7" x14ac:dyDescent="0.25">
      <c r="A1528" t="s">
        <v>5</v>
      </c>
      <c r="B1528">
        <v>1526</v>
      </c>
      <c r="C1528">
        <v>100</v>
      </c>
      <c r="D1528">
        <v>6.8417322635650635</v>
      </c>
      <c r="E1528" t="s">
        <v>10</v>
      </c>
      <c r="F1528" t="s">
        <v>41</v>
      </c>
      <c r="G1528">
        <v>4.7</v>
      </c>
    </row>
    <row r="1529" spans="1:7" x14ac:dyDescent="0.25">
      <c r="A1529" t="s">
        <v>5</v>
      </c>
      <c r="B1529">
        <v>1527</v>
      </c>
      <c r="C1529">
        <v>85</v>
      </c>
      <c r="D1529">
        <v>11.555295944213867</v>
      </c>
      <c r="E1529" t="s">
        <v>10</v>
      </c>
      <c r="F1529" t="s">
        <v>56</v>
      </c>
      <c r="G1529">
        <v>3.7</v>
      </c>
    </row>
    <row r="1530" spans="1:7" x14ac:dyDescent="0.25">
      <c r="A1530" t="s">
        <v>5</v>
      </c>
      <c r="B1530">
        <v>1528</v>
      </c>
      <c r="C1530">
        <v>100</v>
      </c>
      <c r="D1530">
        <v>4.4782805442810059</v>
      </c>
      <c r="E1530" t="s">
        <v>10</v>
      </c>
      <c r="F1530" t="s">
        <v>56</v>
      </c>
      <c r="G1530">
        <v>3.7</v>
      </c>
    </row>
    <row r="1531" spans="1:7" x14ac:dyDescent="0.25">
      <c r="A1531" t="s">
        <v>5</v>
      </c>
      <c r="B1531">
        <v>1529</v>
      </c>
      <c r="C1531">
        <v>37</v>
      </c>
      <c r="D1531">
        <v>4.1220712661743164</v>
      </c>
      <c r="E1531" t="s">
        <v>10</v>
      </c>
      <c r="F1531" t="s">
        <v>45</v>
      </c>
      <c r="G1531">
        <v>1.9</v>
      </c>
    </row>
    <row r="1532" spans="1:7" x14ac:dyDescent="0.25">
      <c r="A1532" t="s">
        <v>5</v>
      </c>
      <c r="B1532">
        <v>1530</v>
      </c>
      <c r="C1532">
        <v>100</v>
      </c>
      <c r="D1532">
        <v>6.12890625</v>
      </c>
      <c r="E1532" t="s">
        <v>10</v>
      </c>
      <c r="F1532" t="s">
        <v>45</v>
      </c>
      <c r="G1532">
        <v>4.7</v>
      </c>
    </row>
    <row r="1533" spans="1:7" x14ac:dyDescent="0.25">
      <c r="A1533" t="s">
        <v>5</v>
      </c>
      <c r="B1533">
        <v>1531</v>
      </c>
      <c r="C1533">
        <v>100</v>
      </c>
      <c r="D1533">
        <v>5.7441685199737549</v>
      </c>
      <c r="E1533" t="s">
        <v>10</v>
      </c>
      <c r="F1533" t="s">
        <v>45</v>
      </c>
      <c r="G1533">
        <v>4.7</v>
      </c>
    </row>
    <row r="1534" spans="1:7" x14ac:dyDescent="0.25">
      <c r="A1534" t="s">
        <v>5</v>
      </c>
      <c r="B1534">
        <v>1532</v>
      </c>
      <c r="C1534">
        <v>100</v>
      </c>
      <c r="D1534">
        <v>5.3845281600952148</v>
      </c>
      <c r="E1534" t="s">
        <v>10</v>
      </c>
      <c r="F1534" t="s">
        <v>45</v>
      </c>
      <c r="G1534">
        <v>4.7</v>
      </c>
    </row>
    <row r="1535" spans="1:7" x14ac:dyDescent="0.25">
      <c r="A1535" t="s">
        <v>5</v>
      </c>
      <c r="B1535">
        <v>1533</v>
      </c>
      <c r="C1535">
        <v>67</v>
      </c>
      <c r="D1535">
        <v>4.2563972473144531</v>
      </c>
      <c r="E1535" t="s">
        <v>10</v>
      </c>
      <c r="F1535" t="s">
        <v>45</v>
      </c>
      <c r="G1535">
        <v>2.1</v>
      </c>
    </row>
    <row r="1536" spans="1:7" x14ac:dyDescent="0.25">
      <c r="A1536" t="s">
        <v>5</v>
      </c>
      <c r="B1536">
        <v>1534</v>
      </c>
      <c r="C1536">
        <v>30</v>
      </c>
      <c r="D1536">
        <v>3.1224498748779297</v>
      </c>
      <c r="E1536" t="s">
        <v>10</v>
      </c>
      <c r="F1536" t="s">
        <v>43</v>
      </c>
      <c r="G1536">
        <v>5</v>
      </c>
    </row>
    <row r="1537" spans="1:7" x14ac:dyDescent="0.25">
      <c r="A1537" t="s">
        <v>5</v>
      </c>
      <c r="B1537">
        <v>1535</v>
      </c>
      <c r="C1537">
        <v>23</v>
      </c>
      <c r="D1537">
        <v>11.449110507965088</v>
      </c>
      <c r="E1537" t="s">
        <v>10</v>
      </c>
      <c r="F1537" t="s">
        <v>62</v>
      </c>
      <c r="G1537">
        <v>6.9</v>
      </c>
    </row>
    <row r="1538" spans="1:7" x14ac:dyDescent="0.25">
      <c r="A1538" t="s">
        <v>5</v>
      </c>
      <c r="B1538">
        <v>1536</v>
      </c>
      <c r="C1538">
        <v>37</v>
      </c>
      <c r="D1538">
        <v>3.4182538986206055</v>
      </c>
      <c r="E1538" t="s">
        <v>10</v>
      </c>
      <c r="F1538" t="s">
        <v>62</v>
      </c>
      <c r="G1538">
        <v>6.9</v>
      </c>
    </row>
    <row r="1539" spans="1:7" x14ac:dyDescent="0.25">
      <c r="A1539" t="s">
        <v>5</v>
      </c>
      <c r="B1539">
        <v>1537</v>
      </c>
      <c r="C1539">
        <v>100</v>
      </c>
      <c r="D1539">
        <v>10.422736406326294</v>
      </c>
      <c r="E1539" t="s">
        <v>10</v>
      </c>
      <c r="F1539" t="s">
        <v>39</v>
      </c>
      <c r="G1539">
        <v>4.4000000000000004</v>
      </c>
    </row>
    <row r="1540" spans="1:7" x14ac:dyDescent="0.25">
      <c r="A1540" t="s">
        <v>5</v>
      </c>
      <c r="B1540">
        <v>1538</v>
      </c>
      <c r="C1540">
        <v>30</v>
      </c>
      <c r="D1540">
        <v>3.6922128200531006</v>
      </c>
      <c r="E1540" t="s">
        <v>10</v>
      </c>
      <c r="F1540" t="s">
        <v>43</v>
      </c>
      <c r="G1540">
        <v>4.7</v>
      </c>
    </row>
    <row r="1541" spans="1:7" x14ac:dyDescent="0.25">
      <c r="A1541" t="s">
        <v>5</v>
      </c>
      <c r="B1541">
        <v>1539</v>
      </c>
      <c r="C1541">
        <v>100</v>
      </c>
      <c r="D1541">
        <v>4.5911810398101807</v>
      </c>
      <c r="E1541" t="s">
        <v>10</v>
      </c>
      <c r="F1541" t="s">
        <v>39</v>
      </c>
      <c r="G1541">
        <v>6.9</v>
      </c>
    </row>
    <row r="1542" spans="1:7" x14ac:dyDescent="0.25">
      <c r="A1542" t="s">
        <v>5</v>
      </c>
      <c r="B1542">
        <v>1540</v>
      </c>
      <c r="C1542">
        <v>37</v>
      </c>
      <c r="D1542">
        <v>3.1414101123809814</v>
      </c>
      <c r="E1542" t="s">
        <v>10</v>
      </c>
      <c r="F1542" t="s">
        <v>39</v>
      </c>
      <c r="G1542">
        <v>6.9</v>
      </c>
    </row>
    <row r="1543" spans="1:7" x14ac:dyDescent="0.25">
      <c r="A1543" t="s">
        <v>5</v>
      </c>
      <c r="B1543">
        <v>1541</v>
      </c>
      <c r="C1543">
        <v>14</v>
      </c>
      <c r="D1543">
        <v>7.1672799587249756</v>
      </c>
      <c r="E1543" t="s">
        <v>10</v>
      </c>
      <c r="F1543" t="s">
        <v>39</v>
      </c>
      <c r="G1543">
        <v>6.9</v>
      </c>
    </row>
    <row r="1544" spans="1:7" x14ac:dyDescent="0.25">
      <c r="A1544" t="s">
        <v>5</v>
      </c>
      <c r="B1544">
        <v>1542</v>
      </c>
      <c r="C1544">
        <v>100</v>
      </c>
      <c r="D1544">
        <v>6.8740215301513672</v>
      </c>
      <c r="E1544" t="s">
        <v>10</v>
      </c>
      <c r="F1544" t="s">
        <v>56</v>
      </c>
      <c r="G1544">
        <v>7.2</v>
      </c>
    </row>
    <row r="1545" spans="1:7" x14ac:dyDescent="0.25">
      <c r="A1545" t="s">
        <v>5</v>
      </c>
      <c r="B1545">
        <v>1543</v>
      </c>
      <c r="C1545">
        <v>42</v>
      </c>
      <c r="D1545">
        <v>15.727099657058716</v>
      </c>
      <c r="E1545" t="s">
        <v>10</v>
      </c>
      <c r="F1545" t="s">
        <v>56</v>
      </c>
      <c r="G1545">
        <v>7.2</v>
      </c>
    </row>
    <row r="1546" spans="1:7" x14ac:dyDescent="0.25">
      <c r="A1546" t="s">
        <v>5</v>
      </c>
      <c r="B1546">
        <v>1544</v>
      </c>
      <c r="C1546">
        <v>30</v>
      </c>
      <c r="D1546">
        <v>3.6649305820465088</v>
      </c>
      <c r="E1546" t="s">
        <v>10</v>
      </c>
      <c r="F1546" t="s">
        <v>56</v>
      </c>
      <c r="G1546">
        <v>7.2</v>
      </c>
    </row>
    <row r="1547" spans="1:7" x14ac:dyDescent="0.25">
      <c r="A1547" t="s">
        <v>5</v>
      </c>
      <c r="B1547">
        <v>1545</v>
      </c>
      <c r="C1547">
        <v>10</v>
      </c>
      <c r="D1547">
        <v>3.3092808723449707</v>
      </c>
      <c r="E1547" t="s">
        <v>10</v>
      </c>
      <c r="F1547" t="s">
        <v>56</v>
      </c>
      <c r="G1547">
        <v>6.2</v>
      </c>
    </row>
    <row r="1548" spans="1:7" x14ac:dyDescent="0.25">
      <c r="A1548" t="s">
        <v>5</v>
      </c>
      <c r="B1548">
        <v>1546</v>
      </c>
      <c r="C1548">
        <v>60</v>
      </c>
      <c r="D1548">
        <v>3.628079891204834</v>
      </c>
      <c r="E1548" t="s">
        <v>10</v>
      </c>
      <c r="F1548" t="s">
        <v>56</v>
      </c>
      <c r="G1548">
        <v>6.2</v>
      </c>
    </row>
    <row r="1549" spans="1:7" x14ac:dyDescent="0.25">
      <c r="A1549" t="s">
        <v>5</v>
      </c>
      <c r="B1549">
        <v>1547</v>
      </c>
      <c r="C1549">
        <v>70</v>
      </c>
      <c r="D1549">
        <v>6.2395639419555664</v>
      </c>
      <c r="E1549" t="s">
        <v>10</v>
      </c>
      <c r="F1549" t="s">
        <v>56</v>
      </c>
      <c r="G1549">
        <v>6.9</v>
      </c>
    </row>
    <row r="1550" spans="1:7" x14ac:dyDescent="0.25">
      <c r="A1550" t="s">
        <v>5</v>
      </c>
      <c r="B1550">
        <v>1548</v>
      </c>
      <c r="C1550">
        <v>57</v>
      </c>
      <c r="D1550">
        <v>3.5548708438873291</v>
      </c>
      <c r="E1550" t="s">
        <v>10</v>
      </c>
      <c r="F1550" t="s">
        <v>50</v>
      </c>
      <c r="G1550">
        <v>6.2</v>
      </c>
    </row>
    <row r="1551" spans="1:7" x14ac:dyDescent="0.25">
      <c r="A1551" t="s">
        <v>5</v>
      </c>
      <c r="B1551">
        <v>1549</v>
      </c>
      <c r="C1551">
        <v>100</v>
      </c>
      <c r="D1551">
        <v>8.092205286026001</v>
      </c>
      <c r="E1551" t="s">
        <v>10</v>
      </c>
      <c r="F1551" t="s">
        <v>41</v>
      </c>
      <c r="G1551">
        <v>4.5999999999999996</v>
      </c>
    </row>
    <row r="1552" spans="1:7" x14ac:dyDescent="0.25">
      <c r="A1552" t="s">
        <v>5</v>
      </c>
      <c r="B1552">
        <v>1550</v>
      </c>
      <c r="C1552">
        <v>25</v>
      </c>
      <c r="D1552">
        <v>4.2391488552093506</v>
      </c>
      <c r="E1552" t="s">
        <v>10</v>
      </c>
      <c r="F1552" t="s">
        <v>44</v>
      </c>
      <c r="G1552">
        <v>6.2</v>
      </c>
    </row>
    <row r="1553" spans="1:7" x14ac:dyDescent="0.25">
      <c r="A1553" t="s">
        <v>5</v>
      </c>
      <c r="B1553">
        <v>1551</v>
      </c>
      <c r="C1553">
        <v>100</v>
      </c>
      <c r="D1553">
        <v>5.9583985805511475</v>
      </c>
      <c r="E1553" t="s">
        <v>10</v>
      </c>
      <c r="F1553" t="s">
        <v>55</v>
      </c>
      <c r="G1553">
        <v>6.8</v>
      </c>
    </row>
    <row r="1554" spans="1:7" x14ac:dyDescent="0.25">
      <c r="A1554" t="s">
        <v>5</v>
      </c>
      <c r="B1554">
        <v>1552</v>
      </c>
      <c r="C1554">
        <v>100</v>
      </c>
      <c r="D1554">
        <v>10.704454183578491</v>
      </c>
      <c r="E1554" t="s">
        <v>10</v>
      </c>
      <c r="F1554" t="s">
        <v>55</v>
      </c>
      <c r="G1554">
        <v>6.8</v>
      </c>
    </row>
    <row r="1555" spans="1:7" x14ac:dyDescent="0.25">
      <c r="A1555" t="s">
        <v>5</v>
      </c>
      <c r="B1555">
        <v>1553</v>
      </c>
      <c r="C1555">
        <v>37</v>
      </c>
      <c r="D1555">
        <v>3.2211959362030029</v>
      </c>
      <c r="E1555" t="s">
        <v>10</v>
      </c>
      <c r="F1555" t="s">
        <v>55</v>
      </c>
      <c r="G1555">
        <v>6.8</v>
      </c>
    </row>
    <row r="1556" spans="1:7" x14ac:dyDescent="0.25">
      <c r="A1556" t="s">
        <v>5</v>
      </c>
      <c r="B1556">
        <v>1554</v>
      </c>
      <c r="C1556">
        <v>100</v>
      </c>
      <c r="D1556">
        <v>17.734617948532104</v>
      </c>
      <c r="E1556" t="s">
        <v>10</v>
      </c>
      <c r="F1556" t="s">
        <v>55</v>
      </c>
      <c r="G1556">
        <v>6.8</v>
      </c>
    </row>
    <row r="1557" spans="1:7" x14ac:dyDescent="0.25">
      <c r="A1557" t="s">
        <v>5</v>
      </c>
      <c r="B1557">
        <v>1555</v>
      </c>
      <c r="C1557">
        <v>40</v>
      </c>
      <c r="D1557">
        <v>3.0071506500244141</v>
      </c>
      <c r="E1557" t="s">
        <v>10</v>
      </c>
      <c r="F1557" t="s">
        <v>55</v>
      </c>
      <c r="G1557">
        <v>6.8</v>
      </c>
    </row>
    <row r="1558" spans="1:7" x14ac:dyDescent="0.25">
      <c r="A1558" t="s">
        <v>5</v>
      </c>
      <c r="B1558">
        <v>1556</v>
      </c>
      <c r="C1558">
        <v>85</v>
      </c>
      <c r="D1558">
        <v>16.695152521133423</v>
      </c>
      <c r="E1558" t="s">
        <v>10</v>
      </c>
      <c r="F1558" t="s">
        <v>53</v>
      </c>
      <c r="G1558">
        <v>6.8</v>
      </c>
    </row>
    <row r="1559" spans="1:7" x14ac:dyDescent="0.25">
      <c r="A1559" t="s">
        <v>5</v>
      </c>
      <c r="B1559">
        <v>1557</v>
      </c>
      <c r="C1559">
        <v>37</v>
      </c>
      <c r="D1559">
        <v>7.6709320545196533</v>
      </c>
      <c r="E1559" t="s">
        <v>10</v>
      </c>
      <c r="F1559" t="s">
        <v>41</v>
      </c>
      <c r="G1559">
        <v>4.7</v>
      </c>
    </row>
    <row r="1560" spans="1:7" x14ac:dyDescent="0.25">
      <c r="A1560" t="s">
        <v>5</v>
      </c>
      <c r="B1560">
        <v>1558</v>
      </c>
      <c r="C1560">
        <v>27</v>
      </c>
      <c r="D1560">
        <v>5.6006884574890137</v>
      </c>
      <c r="E1560" t="s">
        <v>10</v>
      </c>
      <c r="F1560" t="s">
        <v>41</v>
      </c>
      <c r="G1560">
        <v>4</v>
      </c>
    </row>
    <row r="1561" spans="1:7" x14ac:dyDescent="0.25">
      <c r="A1561" t="s">
        <v>5</v>
      </c>
      <c r="B1561">
        <v>1559</v>
      </c>
      <c r="C1561">
        <v>100</v>
      </c>
      <c r="D1561">
        <v>6.9235808849334717</v>
      </c>
      <c r="E1561" t="s">
        <v>10</v>
      </c>
      <c r="F1561" t="s">
        <v>49</v>
      </c>
      <c r="G1561">
        <v>6.2</v>
      </c>
    </row>
    <row r="1562" spans="1:7" x14ac:dyDescent="0.25">
      <c r="A1562" t="s">
        <v>5</v>
      </c>
      <c r="B1562">
        <v>1560</v>
      </c>
      <c r="C1562">
        <v>90</v>
      </c>
      <c r="D1562">
        <v>7.7197813987731934</v>
      </c>
      <c r="E1562" t="s">
        <v>10</v>
      </c>
      <c r="F1562" t="s">
        <v>49</v>
      </c>
      <c r="G1562">
        <v>6.2</v>
      </c>
    </row>
    <row r="1563" spans="1:7" x14ac:dyDescent="0.25">
      <c r="A1563" t="s">
        <v>5</v>
      </c>
      <c r="B1563">
        <v>1561</v>
      </c>
      <c r="C1563">
        <v>30</v>
      </c>
      <c r="D1563">
        <v>4.0567348003387451</v>
      </c>
      <c r="E1563" t="s">
        <v>10</v>
      </c>
      <c r="F1563" t="s">
        <v>49</v>
      </c>
      <c r="G1563">
        <v>6.2</v>
      </c>
    </row>
    <row r="1564" spans="1:7" x14ac:dyDescent="0.25">
      <c r="A1564" t="s">
        <v>5</v>
      </c>
      <c r="B1564">
        <v>1562</v>
      </c>
      <c r="C1564">
        <v>70</v>
      </c>
      <c r="D1564">
        <v>3.7909824848175049</v>
      </c>
      <c r="E1564" t="s">
        <v>10</v>
      </c>
      <c r="F1564" t="s">
        <v>46</v>
      </c>
      <c r="G1564">
        <v>4</v>
      </c>
    </row>
    <row r="1565" spans="1:7" x14ac:dyDescent="0.25">
      <c r="A1565" t="s">
        <v>5</v>
      </c>
      <c r="B1565">
        <v>1563</v>
      </c>
      <c r="C1565">
        <v>21</v>
      </c>
      <c r="D1565">
        <v>4.6851856708526611</v>
      </c>
      <c r="E1565" t="s">
        <v>10</v>
      </c>
      <c r="F1565" t="s">
        <v>50</v>
      </c>
      <c r="G1565">
        <v>6.2</v>
      </c>
    </row>
    <row r="1566" spans="1:7" x14ac:dyDescent="0.25">
      <c r="A1566" t="s">
        <v>5</v>
      </c>
      <c r="B1566">
        <v>1564</v>
      </c>
      <c r="C1566">
        <v>30</v>
      </c>
      <c r="D1566">
        <v>3.4945344924926758</v>
      </c>
      <c r="E1566" t="s">
        <v>10</v>
      </c>
      <c r="F1566" t="s">
        <v>56</v>
      </c>
      <c r="G1566">
        <v>7.2</v>
      </c>
    </row>
    <row r="1567" spans="1:7" x14ac:dyDescent="0.25">
      <c r="A1567" t="s">
        <v>5</v>
      </c>
      <c r="B1567">
        <v>1565</v>
      </c>
      <c r="C1567">
        <v>27</v>
      </c>
      <c r="D1567">
        <v>3.0985512733459473</v>
      </c>
      <c r="E1567" t="s">
        <v>10</v>
      </c>
      <c r="F1567" t="s">
        <v>39</v>
      </c>
      <c r="G1567">
        <v>6.5</v>
      </c>
    </row>
    <row r="1568" spans="1:7" x14ac:dyDescent="0.25">
      <c r="A1568" t="s">
        <v>5</v>
      </c>
      <c r="B1568">
        <v>1566</v>
      </c>
      <c r="C1568">
        <v>86</v>
      </c>
      <c r="D1568">
        <v>5.6196703910827637</v>
      </c>
      <c r="E1568" t="s">
        <v>10</v>
      </c>
      <c r="F1568" t="s">
        <v>41</v>
      </c>
      <c r="G1568">
        <v>3.5</v>
      </c>
    </row>
    <row r="1569" spans="1:7" x14ac:dyDescent="0.25">
      <c r="A1569" t="s">
        <v>5</v>
      </c>
      <c r="B1569">
        <v>1567</v>
      </c>
      <c r="C1569">
        <v>27</v>
      </c>
      <c r="D1569">
        <v>4.7166438102722168</v>
      </c>
      <c r="E1569" t="s">
        <v>10</v>
      </c>
      <c r="F1569" t="s">
        <v>41</v>
      </c>
      <c r="G1569">
        <v>3.5</v>
      </c>
    </row>
    <row r="1570" spans="1:7" x14ac:dyDescent="0.25">
      <c r="A1570" t="s">
        <v>5</v>
      </c>
      <c r="B1570">
        <v>1568</v>
      </c>
      <c r="C1570">
        <v>47</v>
      </c>
      <c r="D1570">
        <v>7.7210237979888916</v>
      </c>
      <c r="E1570" t="s">
        <v>10</v>
      </c>
      <c r="F1570" t="s">
        <v>46</v>
      </c>
      <c r="G1570">
        <v>4</v>
      </c>
    </row>
    <row r="1571" spans="1:7" x14ac:dyDescent="0.25">
      <c r="A1571" t="s">
        <v>5</v>
      </c>
      <c r="B1571">
        <v>1569</v>
      </c>
      <c r="C1571">
        <v>30</v>
      </c>
      <c r="D1571">
        <v>4.9755632877349854</v>
      </c>
      <c r="E1571" t="s">
        <v>10</v>
      </c>
      <c r="F1571" t="s">
        <v>41</v>
      </c>
      <c r="G1571">
        <v>7.1</v>
      </c>
    </row>
    <row r="1572" spans="1:7" x14ac:dyDescent="0.25">
      <c r="A1572" t="s">
        <v>5</v>
      </c>
      <c r="B1572">
        <v>1570</v>
      </c>
      <c r="C1572">
        <v>21</v>
      </c>
      <c r="D1572">
        <v>3.4450428485870361</v>
      </c>
      <c r="E1572" t="s">
        <v>10</v>
      </c>
      <c r="F1572" t="s">
        <v>45</v>
      </c>
      <c r="G1572">
        <v>3.6</v>
      </c>
    </row>
    <row r="1573" spans="1:7" x14ac:dyDescent="0.25">
      <c r="A1573" t="s">
        <v>5</v>
      </c>
      <c r="B1573">
        <v>1571</v>
      </c>
      <c r="C1573">
        <v>37</v>
      </c>
      <c r="D1573">
        <v>3.8350112438201904</v>
      </c>
      <c r="E1573" t="s">
        <v>10</v>
      </c>
      <c r="F1573" t="s">
        <v>56</v>
      </c>
      <c r="G1573">
        <v>6.9</v>
      </c>
    </row>
    <row r="1574" spans="1:7" x14ac:dyDescent="0.25">
      <c r="A1574" t="s">
        <v>5</v>
      </c>
      <c r="B1574">
        <v>1572</v>
      </c>
      <c r="C1574">
        <v>100</v>
      </c>
      <c r="D1574">
        <v>4.2929718494415283</v>
      </c>
      <c r="E1574" t="s">
        <v>10</v>
      </c>
      <c r="F1574" t="s">
        <v>56</v>
      </c>
      <c r="G1574">
        <v>6.9</v>
      </c>
    </row>
    <row r="1575" spans="1:7" x14ac:dyDescent="0.25">
      <c r="A1575" t="s">
        <v>5</v>
      </c>
      <c r="B1575">
        <v>1573</v>
      </c>
      <c r="C1575">
        <v>100</v>
      </c>
      <c r="D1575">
        <v>4.1868834495544434</v>
      </c>
      <c r="E1575" t="s">
        <v>10</v>
      </c>
      <c r="F1575" t="s">
        <v>56</v>
      </c>
      <c r="G1575">
        <v>6.9</v>
      </c>
    </row>
    <row r="1576" spans="1:7" x14ac:dyDescent="0.25">
      <c r="A1576" t="s">
        <v>5</v>
      </c>
      <c r="B1576">
        <v>1574</v>
      </c>
      <c r="C1576">
        <v>80</v>
      </c>
      <c r="D1576">
        <v>3.8038578033447266</v>
      </c>
      <c r="E1576" t="s">
        <v>10</v>
      </c>
      <c r="F1576" t="s">
        <v>56</v>
      </c>
      <c r="G1576">
        <v>6.9</v>
      </c>
    </row>
    <row r="1577" spans="1:7" x14ac:dyDescent="0.25">
      <c r="A1577" t="s">
        <v>5</v>
      </c>
      <c r="B1577">
        <v>1575</v>
      </c>
      <c r="C1577">
        <v>37</v>
      </c>
      <c r="D1577">
        <v>3.7195570468902588</v>
      </c>
      <c r="E1577" t="s">
        <v>10</v>
      </c>
      <c r="F1577" t="s">
        <v>56</v>
      </c>
      <c r="G1577">
        <v>6.9</v>
      </c>
    </row>
    <row r="1578" spans="1:7" x14ac:dyDescent="0.25">
      <c r="A1578" t="s">
        <v>5</v>
      </c>
      <c r="B1578">
        <v>1576</v>
      </c>
      <c r="C1578">
        <v>16</v>
      </c>
      <c r="D1578">
        <v>5.4359321594238281</v>
      </c>
      <c r="E1578" t="s">
        <v>10</v>
      </c>
      <c r="F1578" t="s">
        <v>43</v>
      </c>
      <c r="G1578">
        <v>1.9</v>
      </c>
    </row>
    <row r="1579" spans="1:7" x14ac:dyDescent="0.25">
      <c r="A1579" t="s">
        <v>5</v>
      </c>
      <c r="B1579">
        <v>1577</v>
      </c>
      <c r="C1579">
        <v>30</v>
      </c>
      <c r="D1579">
        <v>4.0020487308502197</v>
      </c>
      <c r="E1579" t="s">
        <v>10</v>
      </c>
      <c r="F1579" t="s">
        <v>41</v>
      </c>
      <c r="G1579">
        <v>6.2</v>
      </c>
    </row>
    <row r="1580" spans="1:7" x14ac:dyDescent="0.25">
      <c r="A1580" t="s">
        <v>5</v>
      </c>
      <c r="B1580">
        <v>1578</v>
      </c>
      <c r="C1580">
        <v>30</v>
      </c>
      <c r="D1580">
        <v>4.4125685691833496</v>
      </c>
      <c r="E1580" t="s">
        <v>10</v>
      </c>
      <c r="F1580" t="s">
        <v>13</v>
      </c>
      <c r="G1580">
        <v>6.5</v>
      </c>
    </row>
    <row r="1581" spans="1:7" x14ac:dyDescent="0.25">
      <c r="A1581" t="s">
        <v>5</v>
      </c>
      <c r="B1581">
        <v>1579</v>
      </c>
      <c r="C1581">
        <v>100</v>
      </c>
      <c r="D1581">
        <v>10.315843343734741</v>
      </c>
      <c r="E1581" t="s">
        <v>10</v>
      </c>
      <c r="F1581" t="s">
        <v>46</v>
      </c>
      <c r="G1581">
        <v>6.6</v>
      </c>
    </row>
    <row r="1582" spans="1:7" x14ac:dyDescent="0.25">
      <c r="A1582" t="s">
        <v>5</v>
      </c>
      <c r="B1582">
        <v>1580</v>
      </c>
      <c r="C1582">
        <v>30</v>
      </c>
      <c r="D1582">
        <v>4.7238683700561523</v>
      </c>
      <c r="E1582" t="s">
        <v>10</v>
      </c>
      <c r="F1582" t="s">
        <v>41</v>
      </c>
      <c r="G1582">
        <v>4.9000000000000004</v>
      </c>
    </row>
    <row r="1583" spans="1:7" x14ac:dyDescent="0.25">
      <c r="A1583" t="s">
        <v>5</v>
      </c>
      <c r="B1583">
        <v>1581</v>
      </c>
      <c r="C1583">
        <v>21</v>
      </c>
      <c r="D1583">
        <v>5.6893713474273682</v>
      </c>
      <c r="E1583" t="s">
        <v>10</v>
      </c>
      <c r="F1583" t="s">
        <v>41</v>
      </c>
      <c r="G1583">
        <v>4.3</v>
      </c>
    </row>
    <row r="1584" spans="1:7" x14ac:dyDescent="0.25">
      <c r="A1584" t="s">
        <v>5</v>
      </c>
      <c r="B1584">
        <v>1582</v>
      </c>
      <c r="C1584">
        <v>100</v>
      </c>
      <c r="D1584">
        <v>5.4674580097198486</v>
      </c>
      <c r="E1584" t="s">
        <v>10</v>
      </c>
      <c r="F1584" t="s">
        <v>41</v>
      </c>
      <c r="G1584">
        <v>4.3</v>
      </c>
    </row>
    <row r="1585" spans="1:7" x14ac:dyDescent="0.25">
      <c r="A1585" t="s">
        <v>5</v>
      </c>
      <c r="B1585">
        <v>1583</v>
      </c>
      <c r="C1585">
        <v>37</v>
      </c>
      <c r="D1585">
        <v>4.223468542098999</v>
      </c>
      <c r="E1585" t="s">
        <v>10</v>
      </c>
      <c r="F1585" t="s">
        <v>41</v>
      </c>
      <c r="G1585">
        <v>4.3</v>
      </c>
    </row>
    <row r="1586" spans="1:7" x14ac:dyDescent="0.25">
      <c r="A1586" t="s">
        <v>5</v>
      </c>
      <c r="B1586">
        <v>1584</v>
      </c>
      <c r="C1586">
        <v>47</v>
      </c>
      <c r="D1586">
        <v>10.46345043182373</v>
      </c>
      <c r="E1586" t="s">
        <v>10</v>
      </c>
      <c r="F1586" t="s">
        <v>41</v>
      </c>
      <c r="G1586">
        <v>4.3</v>
      </c>
    </row>
    <row r="1587" spans="1:7" x14ac:dyDescent="0.25">
      <c r="A1587" t="s">
        <v>5</v>
      </c>
      <c r="B1587">
        <v>1585</v>
      </c>
      <c r="C1587">
        <v>90</v>
      </c>
      <c r="D1587">
        <v>6.2808458805084229</v>
      </c>
      <c r="E1587" t="s">
        <v>10</v>
      </c>
      <c r="F1587" t="s">
        <v>41</v>
      </c>
      <c r="G1587">
        <v>4.3</v>
      </c>
    </row>
    <row r="1588" spans="1:7" x14ac:dyDescent="0.25">
      <c r="A1588" t="s">
        <v>5</v>
      </c>
      <c r="B1588">
        <v>1586</v>
      </c>
      <c r="C1588">
        <v>100</v>
      </c>
      <c r="D1588">
        <v>6.9389510154724121</v>
      </c>
      <c r="E1588" t="s">
        <v>10</v>
      </c>
      <c r="F1588" t="s">
        <v>41</v>
      </c>
      <c r="G1588">
        <v>4.3</v>
      </c>
    </row>
    <row r="1589" spans="1:7" x14ac:dyDescent="0.25">
      <c r="A1589" t="s">
        <v>5</v>
      </c>
      <c r="B1589">
        <v>1587</v>
      </c>
      <c r="C1589">
        <v>57</v>
      </c>
      <c r="D1589">
        <v>4.1134033203125</v>
      </c>
      <c r="E1589" t="s">
        <v>10</v>
      </c>
      <c r="F1589" t="s">
        <v>41</v>
      </c>
      <c r="G1589">
        <v>4.3</v>
      </c>
    </row>
    <row r="1590" spans="1:7" x14ac:dyDescent="0.25">
      <c r="A1590" t="s">
        <v>5</v>
      </c>
      <c r="B1590">
        <v>1588</v>
      </c>
      <c r="C1590">
        <v>70</v>
      </c>
      <c r="D1590">
        <v>11.139137744903564</v>
      </c>
      <c r="E1590" t="s">
        <v>10</v>
      </c>
      <c r="F1590" t="s">
        <v>41</v>
      </c>
      <c r="G1590">
        <v>4.3</v>
      </c>
    </row>
    <row r="1591" spans="1:7" x14ac:dyDescent="0.25">
      <c r="A1591" t="s">
        <v>5</v>
      </c>
      <c r="B1591">
        <v>1589</v>
      </c>
      <c r="C1591">
        <v>27</v>
      </c>
      <c r="D1591">
        <v>5.7396066188812256</v>
      </c>
      <c r="E1591" t="s">
        <v>10</v>
      </c>
      <c r="F1591" t="s">
        <v>41</v>
      </c>
      <c r="G1591">
        <v>4.3</v>
      </c>
    </row>
    <row r="1592" spans="1:7" x14ac:dyDescent="0.25">
      <c r="A1592" t="s">
        <v>5</v>
      </c>
      <c r="B1592">
        <v>1590</v>
      </c>
      <c r="C1592">
        <v>12</v>
      </c>
      <c r="D1592">
        <v>3.2356047630310059</v>
      </c>
      <c r="E1592" t="s">
        <v>10</v>
      </c>
      <c r="F1592" t="s">
        <v>41</v>
      </c>
      <c r="G1592">
        <v>4.3</v>
      </c>
    </row>
    <row r="1593" spans="1:7" x14ac:dyDescent="0.25">
      <c r="A1593" t="s">
        <v>5</v>
      </c>
      <c r="B1593">
        <v>1591</v>
      </c>
      <c r="C1593">
        <v>100</v>
      </c>
      <c r="D1593">
        <v>4.071709156036377</v>
      </c>
      <c r="E1593" t="s">
        <v>10</v>
      </c>
      <c r="F1593" t="s">
        <v>41</v>
      </c>
      <c r="G1593">
        <v>4.3</v>
      </c>
    </row>
    <row r="1594" spans="1:7" x14ac:dyDescent="0.25">
      <c r="A1594" t="s">
        <v>5</v>
      </c>
      <c r="B1594">
        <v>1592</v>
      </c>
      <c r="C1594">
        <v>100</v>
      </c>
      <c r="D1594">
        <v>9.6397807598114014</v>
      </c>
      <c r="E1594" t="s">
        <v>10</v>
      </c>
      <c r="F1594" t="s">
        <v>41</v>
      </c>
      <c r="G1594">
        <v>4.3</v>
      </c>
    </row>
    <row r="1595" spans="1:7" x14ac:dyDescent="0.25">
      <c r="A1595" t="s">
        <v>5</v>
      </c>
      <c r="B1595">
        <v>1593</v>
      </c>
      <c r="C1595">
        <v>21</v>
      </c>
      <c r="D1595">
        <v>3.2451395988464355</v>
      </c>
      <c r="E1595" t="s">
        <v>10</v>
      </c>
      <c r="F1595" t="s">
        <v>41</v>
      </c>
      <c r="G1595">
        <v>4.3</v>
      </c>
    </row>
    <row r="1596" spans="1:7" x14ac:dyDescent="0.25">
      <c r="A1596" t="s">
        <v>5</v>
      </c>
      <c r="B1596">
        <v>1594</v>
      </c>
      <c r="C1596">
        <v>20</v>
      </c>
      <c r="D1596">
        <v>5.1174705028533936</v>
      </c>
      <c r="E1596" t="s">
        <v>10</v>
      </c>
      <c r="F1596" t="s">
        <v>41</v>
      </c>
      <c r="G1596">
        <v>4.3</v>
      </c>
    </row>
    <row r="1597" spans="1:7" x14ac:dyDescent="0.25">
      <c r="A1597" t="s">
        <v>5</v>
      </c>
      <c r="B1597">
        <v>1595</v>
      </c>
      <c r="C1597">
        <v>27</v>
      </c>
      <c r="D1597">
        <v>5.2890381813049316</v>
      </c>
      <c r="E1597" t="s">
        <v>10</v>
      </c>
      <c r="F1597" t="s">
        <v>41</v>
      </c>
      <c r="G1597">
        <v>4.3</v>
      </c>
    </row>
    <row r="1598" spans="1:7" x14ac:dyDescent="0.25">
      <c r="A1598" t="s">
        <v>5</v>
      </c>
      <c r="B1598">
        <v>1596</v>
      </c>
      <c r="C1598">
        <v>27</v>
      </c>
      <c r="D1598">
        <v>4.2559142112731934</v>
      </c>
      <c r="E1598" t="s">
        <v>10</v>
      </c>
      <c r="F1598" t="s">
        <v>41</v>
      </c>
      <c r="G1598">
        <v>4.3</v>
      </c>
    </row>
    <row r="1599" spans="1:7" x14ac:dyDescent="0.25">
      <c r="A1599" t="s">
        <v>5</v>
      </c>
      <c r="B1599">
        <v>1597</v>
      </c>
      <c r="C1599">
        <v>100</v>
      </c>
      <c r="D1599">
        <v>3.9070558547973633</v>
      </c>
      <c r="E1599" t="s">
        <v>10</v>
      </c>
      <c r="F1599" t="s">
        <v>41</v>
      </c>
      <c r="G1599">
        <v>4.3</v>
      </c>
    </row>
    <row r="1600" spans="1:7" x14ac:dyDescent="0.25">
      <c r="A1600" t="s">
        <v>5</v>
      </c>
      <c r="B1600">
        <v>1598</v>
      </c>
      <c r="C1600">
        <v>27</v>
      </c>
      <c r="D1600">
        <v>5.2625718116760254</v>
      </c>
      <c r="E1600" t="s">
        <v>10</v>
      </c>
      <c r="F1600" t="s">
        <v>41</v>
      </c>
      <c r="G1600">
        <v>4.3</v>
      </c>
    </row>
    <row r="1601" spans="1:7" x14ac:dyDescent="0.25">
      <c r="A1601" t="s">
        <v>5</v>
      </c>
      <c r="B1601">
        <v>1599</v>
      </c>
      <c r="C1601">
        <v>100</v>
      </c>
      <c r="D1601">
        <v>3.6423642635345459</v>
      </c>
      <c r="E1601" t="s">
        <v>10</v>
      </c>
      <c r="F1601" t="s">
        <v>41</v>
      </c>
      <c r="G1601">
        <v>4.3</v>
      </c>
    </row>
    <row r="1602" spans="1:7" x14ac:dyDescent="0.25">
      <c r="A1602" t="s">
        <v>5</v>
      </c>
      <c r="B1602">
        <v>1600</v>
      </c>
      <c r="C1602">
        <v>20</v>
      </c>
      <c r="D1602">
        <v>3.2170829772949219</v>
      </c>
      <c r="E1602" t="s">
        <v>10</v>
      </c>
      <c r="F1602" t="s">
        <v>41</v>
      </c>
      <c r="G1602">
        <v>4.3</v>
      </c>
    </row>
    <row r="1603" spans="1:7" x14ac:dyDescent="0.25">
      <c r="A1603" t="s">
        <v>5</v>
      </c>
      <c r="B1603">
        <v>1601</v>
      </c>
      <c r="C1603">
        <v>100</v>
      </c>
      <c r="D1603">
        <v>5.8647308349609375</v>
      </c>
      <c r="E1603" t="s">
        <v>10</v>
      </c>
      <c r="F1603" t="s">
        <v>41</v>
      </c>
      <c r="G1603">
        <v>4.3</v>
      </c>
    </row>
    <row r="1604" spans="1:7" x14ac:dyDescent="0.25">
      <c r="A1604" t="s">
        <v>5</v>
      </c>
      <c r="B1604">
        <v>1602</v>
      </c>
      <c r="C1604">
        <v>30</v>
      </c>
      <c r="D1604">
        <v>3.3238108158111572</v>
      </c>
      <c r="E1604" t="s">
        <v>10</v>
      </c>
      <c r="F1604" t="s">
        <v>45</v>
      </c>
      <c r="G1604">
        <v>6.2</v>
      </c>
    </row>
    <row r="1605" spans="1:7" x14ac:dyDescent="0.25">
      <c r="A1605" t="s">
        <v>5</v>
      </c>
      <c r="B1605">
        <v>1603</v>
      </c>
      <c r="C1605">
        <v>39</v>
      </c>
      <c r="D1605">
        <v>4.6095502376556396</v>
      </c>
      <c r="E1605" t="s">
        <v>10</v>
      </c>
      <c r="F1605" t="s">
        <v>41</v>
      </c>
      <c r="G1605">
        <v>5.2</v>
      </c>
    </row>
    <row r="1606" spans="1:7" x14ac:dyDescent="0.25">
      <c r="A1606" t="s">
        <v>5</v>
      </c>
      <c r="B1606">
        <v>1604</v>
      </c>
      <c r="C1606">
        <v>21</v>
      </c>
      <c r="D1606">
        <v>4.5696883201599121</v>
      </c>
      <c r="E1606" t="s">
        <v>10</v>
      </c>
      <c r="F1606" t="s">
        <v>41</v>
      </c>
      <c r="G1606">
        <v>5.2</v>
      </c>
    </row>
    <row r="1607" spans="1:7" x14ac:dyDescent="0.25">
      <c r="A1607" t="s">
        <v>5</v>
      </c>
      <c r="B1607">
        <v>1605</v>
      </c>
      <c r="C1607">
        <v>80</v>
      </c>
      <c r="D1607">
        <v>6.7626128196716309</v>
      </c>
      <c r="E1607" t="s">
        <v>10</v>
      </c>
      <c r="F1607" t="s">
        <v>41</v>
      </c>
      <c r="G1607">
        <v>5.2</v>
      </c>
    </row>
    <row r="1608" spans="1:7" x14ac:dyDescent="0.25">
      <c r="A1608" t="s">
        <v>5</v>
      </c>
      <c r="B1608">
        <v>1606</v>
      </c>
      <c r="C1608">
        <v>20</v>
      </c>
      <c r="D1608">
        <v>6.704343318939209</v>
      </c>
      <c r="E1608" t="s">
        <v>10</v>
      </c>
      <c r="F1608" t="s">
        <v>41</v>
      </c>
      <c r="G1608">
        <v>5.2</v>
      </c>
    </row>
    <row r="1609" spans="1:7" x14ac:dyDescent="0.25">
      <c r="A1609" t="s">
        <v>5</v>
      </c>
      <c r="B1609">
        <v>1607</v>
      </c>
      <c r="C1609">
        <v>21</v>
      </c>
      <c r="D1609">
        <v>3.8176109790802002</v>
      </c>
      <c r="E1609" t="s">
        <v>10</v>
      </c>
      <c r="F1609" t="s">
        <v>41</v>
      </c>
      <c r="G1609">
        <v>5.2</v>
      </c>
    </row>
    <row r="1610" spans="1:7" x14ac:dyDescent="0.25">
      <c r="A1610" t="s">
        <v>5</v>
      </c>
      <c r="B1610">
        <v>1608</v>
      </c>
      <c r="C1610">
        <v>100</v>
      </c>
      <c r="D1610">
        <v>4.7455461025238037</v>
      </c>
      <c r="E1610" t="s">
        <v>10</v>
      </c>
      <c r="F1610" t="s">
        <v>41</v>
      </c>
      <c r="G1610">
        <v>5.2</v>
      </c>
    </row>
    <row r="1611" spans="1:7" x14ac:dyDescent="0.25">
      <c r="A1611" t="s">
        <v>5</v>
      </c>
      <c r="B1611">
        <v>1609</v>
      </c>
      <c r="C1611">
        <v>57</v>
      </c>
      <c r="D1611">
        <v>4.3861958980560303</v>
      </c>
      <c r="E1611" t="s">
        <v>10</v>
      </c>
      <c r="F1611" t="s">
        <v>41</v>
      </c>
      <c r="G1611">
        <v>5.2</v>
      </c>
    </row>
    <row r="1612" spans="1:7" x14ac:dyDescent="0.25">
      <c r="A1612" t="s">
        <v>5</v>
      </c>
      <c r="B1612">
        <v>1610</v>
      </c>
      <c r="C1612">
        <v>50</v>
      </c>
      <c r="D1612">
        <v>4.1118531227111816</v>
      </c>
      <c r="E1612" t="s">
        <v>10</v>
      </c>
      <c r="F1612" t="s">
        <v>41</v>
      </c>
      <c r="G1612">
        <v>5.2</v>
      </c>
    </row>
    <row r="1613" spans="1:7" x14ac:dyDescent="0.25">
      <c r="A1613" t="s">
        <v>5</v>
      </c>
      <c r="B1613">
        <v>1611</v>
      </c>
      <c r="C1613">
        <v>100</v>
      </c>
      <c r="D1613">
        <v>12.205379009246826</v>
      </c>
      <c r="E1613" t="s">
        <v>10</v>
      </c>
      <c r="F1613" t="s">
        <v>41</v>
      </c>
      <c r="G1613">
        <v>5.2</v>
      </c>
    </row>
    <row r="1614" spans="1:7" x14ac:dyDescent="0.25">
      <c r="A1614" t="s">
        <v>5</v>
      </c>
      <c r="B1614">
        <v>1612</v>
      </c>
      <c r="C1614">
        <v>20</v>
      </c>
      <c r="D1614">
        <v>3.2255609035491943</v>
      </c>
      <c r="E1614" t="s">
        <v>10</v>
      </c>
      <c r="F1614" t="s">
        <v>46</v>
      </c>
      <c r="G1614">
        <v>5</v>
      </c>
    </row>
    <row r="1615" spans="1:7" x14ac:dyDescent="0.25">
      <c r="A1615" t="s">
        <v>5</v>
      </c>
      <c r="B1615">
        <v>1613</v>
      </c>
      <c r="C1615">
        <v>70</v>
      </c>
      <c r="D1615">
        <v>5.1304914951324463</v>
      </c>
      <c r="E1615" t="s">
        <v>10</v>
      </c>
      <c r="F1615" t="s">
        <v>43</v>
      </c>
      <c r="G1615">
        <v>1.9</v>
      </c>
    </row>
    <row r="1616" spans="1:7" x14ac:dyDescent="0.25">
      <c r="A1616" t="s">
        <v>5</v>
      </c>
      <c r="B1616">
        <v>1614</v>
      </c>
      <c r="C1616">
        <v>100</v>
      </c>
      <c r="D1616">
        <v>4.3546516895294189</v>
      </c>
      <c r="E1616" t="s">
        <v>10</v>
      </c>
      <c r="F1616" t="s">
        <v>43</v>
      </c>
      <c r="G1616">
        <v>1.9</v>
      </c>
    </row>
    <row r="1617" spans="1:7" x14ac:dyDescent="0.25">
      <c r="A1617" t="s">
        <v>5</v>
      </c>
      <c r="B1617">
        <v>1615</v>
      </c>
      <c r="C1617">
        <v>85</v>
      </c>
      <c r="D1617">
        <v>12.692705392837524</v>
      </c>
      <c r="E1617" t="s">
        <v>10</v>
      </c>
      <c r="F1617" t="s">
        <v>43</v>
      </c>
      <c r="G1617">
        <v>1.9</v>
      </c>
    </row>
    <row r="1618" spans="1:7" x14ac:dyDescent="0.25">
      <c r="A1618" t="s">
        <v>5</v>
      </c>
      <c r="B1618">
        <v>1616</v>
      </c>
      <c r="C1618">
        <v>100</v>
      </c>
      <c r="D1618">
        <v>5.3945083618164063</v>
      </c>
      <c r="E1618" t="s">
        <v>10</v>
      </c>
      <c r="F1618" t="s">
        <v>43</v>
      </c>
      <c r="G1618">
        <v>1.9</v>
      </c>
    </row>
    <row r="1619" spans="1:7" x14ac:dyDescent="0.25">
      <c r="A1619" t="s">
        <v>5</v>
      </c>
      <c r="B1619">
        <v>1617</v>
      </c>
      <c r="C1619">
        <v>47</v>
      </c>
      <c r="D1619">
        <v>3.2769296169281006</v>
      </c>
      <c r="E1619" t="s">
        <v>10</v>
      </c>
      <c r="F1619" t="s">
        <v>43</v>
      </c>
      <c r="G1619">
        <v>1.9</v>
      </c>
    </row>
    <row r="1620" spans="1:7" x14ac:dyDescent="0.25">
      <c r="A1620" t="s">
        <v>5</v>
      </c>
      <c r="B1620">
        <v>1618</v>
      </c>
      <c r="C1620">
        <v>30</v>
      </c>
      <c r="D1620">
        <v>4.9938914775848389</v>
      </c>
      <c r="E1620" t="s">
        <v>10</v>
      </c>
      <c r="F1620" t="s">
        <v>43</v>
      </c>
      <c r="G1620">
        <v>1.9</v>
      </c>
    </row>
    <row r="1621" spans="1:7" x14ac:dyDescent="0.25">
      <c r="A1621" t="s">
        <v>5</v>
      </c>
      <c r="B1621">
        <v>1619</v>
      </c>
      <c r="C1621">
        <v>47</v>
      </c>
      <c r="D1621">
        <v>4.6910374164581299</v>
      </c>
      <c r="E1621" t="s">
        <v>10</v>
      </c>
      <c r="F1621" t="s">
        <v>43</v>
      </c>
      <c r="G1621">
        <v>1.9</v>
      </c>
    </row>
    <row r="1622" spans="1:7" x14ac:dyDescent="0.25">
      <c r="A1622" t="s">
        <v>5</v>
      </c>
      <c r="B1622">
        <v>1620</v>
      </c>
      <c r="C1622">
        <v>100</v>
      </c>
      <c r="D1622">
        <v>4.3623979091644287</v>
      </c>
      <c r="E1622" t="s">
        <v>10</v>
      </c>
      <c r="F1622" t="s">
        <v>43</v>
      </c>
      <c r="G1622">
        <v>1.9</v>
      </c>
    </row>
    <row r="1623" spans="1:7" x14ac:dyDescent="0.25">
      <c r="A1623" t="s">
        <v>5</v>
      </c>
      <c r="B1623">
        <v>1621</v>
      </c>
      <c r="C1623">
        <v>100</v>
      </c>
      <c r="D1623">
        <v>4.4333622455596924</v>
      </c>
      <c r="E1623" t="s">
        <v>10</v>
      </c>
      <c r="F1623" t="s">
        <v>43</v>
      </c>
      <c r="G1623">
        <v>1.9</v>
      </c>
    </row>
    <row r="1624" spans="1:7" x14ac:dyDescent="0.25">
      <c r="A1624" t="s">
        <v>5</v>
      </c>
      <c r="B1624">
        <v>1622</v>
      </c>
      <c r="C1624">
        <v>97</v>
      </c>
      <c r="D1624">
        <v>10.526021480560303</v>
      </c>
      <c r="E1624" t="s">
        <v>10</v>
      </c>
      <c r="F1624" t="s">
        <v>43</v>
      </c>
      <c r="G1624">
        <v>1.9</v>
      </c>
    </row>
    <row r="1625" spans="1:7" x14ac:dyDescent="0.25">
      <c r="A1625" t="s">
        <v>5</v>
      </c>
      <c r="B1625">
        <v>1623</v>
      </c>
      <c r="C1625">
        <v>17</v>
      </c>
      <c r="D1625">
        <v>6.4037208557128906</v>
      </c>
      <c r="E1625" t="s">
        <v>10</v>
      </c>
      <c r="F1625" t="s">
        <v>43</v>
      </c>
      <c r="G1625">
        <v>1.9</v>
      </c>
    </row>
    <row r="1626" spans="1:7" x14ac:dyDescent="0.25">
      <c r="A1626" t="s">
        <v>5</v>
      </c>
      <c r="B1626">
        <v>1624</v>
      </c>
      <c r="C1626">
        <v>30</v>
      </c>
      <c r="D1626">
        <v>3.5318922996520996</v>
      </c>
      <c r="E1626" t="s">
        <v>10</v>
      </c>
      <c r="F1626" t="s">
        <v>43</v>
      </c>
      <c r="G1626">
        <v>1.9</v>
      </c>
    </row>
    <row r="1627" spans="1:7" x14ac:dyDescent="0.25">
      <c r="A1627" t="s">
        <v>5</v>
      </c>
      <c r="B1627">
        <v>1625</v>
      </c>
      <c r="C1627">
        <v>21</v>
      </c>
      <c r="D1627">
        <v>3.492142915725708</v>
      </c>
      <c r="E1627" t="s">
        <v>10</v>
      </c>
      <c r="F1627" t="s">
        <v>43</v>
      </c>
      <c r="G1627">
        <v>1.9</v>
      </c>
    </row>
    <row r="1628" spans="1:7" x14ac:dyDescent="0.25">
      <c r="A1628" t="s">
        <v>5</v>
      </c>
      <c r="B1628">
        <v>1626</v>
      </c>
      <c r="C1628">
        <v>21</v>
      </c>
      <c r="D1628">
        <v>3.2820959091186523</v>
      </c>
      <c r="E1628" t="s">
        <v>10</v>
      </c>
      <c r="F1628" t="s">
        <v>43</v>
      </c>
      <c r="G1628">
        <v>2.1</v>
      </c>
    </row>
    <row r="1629" spans="1:7" x14ac:dyDescent="0.25">
      <c r="A1629" t="s">
        <v>5</v>
      </c>
      <c r="B1629">
        <v>1627</v>
      </c>
      <c r="C1629">
        <v>47</v>
      </c>
      <c r="D1629">
        <v>3.4476478099822998</v>
      </c>
      <c r="E1629" t="s">
        <v>10</v>
      </c>
      <c r="F1629" t="s">
        <v>43</v>
      </c>
      <c r="G1629">
        <v>2.1</v>
      </c>
    </row>
    <row r="1630" spans="1:7" x14ac:dyDescent="0.25">
      <c r="A1630" t="s">
        <v>5</v>
      </c>
      <c r="B1630">
        <v>1628</v>
      </c>
      <c r="C1630">
        <v>57</v>
      </c>
      <c r="D1630">
        <v>3.2910270690917969</v>
      </c>
      <c r="E1630" t="s">
        <v>10</v>
      </c>
      <c r="F1630" t="s">
        <v>43</v>
      </c>
      <c r="G1630">
        <v>2.1</v>
      </c>
    </row>
    <row r="1631" spans="1:7" x14ac:dyDescent="0.25">
      <c r="A1631" t="s">
        <v>5</v>
      </c>
      <c r="B1631">
        <v>1629</v>
      </c>
      <c r="C1631">
        <v>100</v>
      </c>
      <c r="D1631">
        <v>4.90248703956604</v>
      </c>
      <c r="E1631" t="s">
        <v>10</v>
      </c>
      <c r="F1631" t="s">
        <v>41</v>
      </c>
      <c r="G1631">
        <v>4</v>
      </c>
    </row>
    <row r="1632" spans="1:7" x14ac:dyDescent="0.25">
      <c r="A1632" t="s">
        <v>5</v>
      </c>
      <c r="B1632">
        <v>1630</v>
      </c>
      <c r="C1632">
        <v>60</v>
      </c>
      <c r="D1632">
        <v>11.748887062072754</v>
      </c>
      <c r="E1632" t="s">
        <v>10</v>
      </c>
      <c r="F1632" t="s">
        <v>41</v>
      </c>
      <c r="G1632">
        <v>4</v>
      </c>
    </row>
    <row r="1633" spans="1:7" x14ac:dyDescent="0.25">
      <c r="A1633" t="s">
        <v>5</v>
      </c>
      <c r="B1633">
        <v>1631</v>
      </c>
      <c r="C1633">
        <v>70</v>
      </c>
      <c r="D1633">
        <v>5.3722946643829346</v>
      </c>
      <c r="E1633" t="s">
        <v>10</v>
      </c>
      <c r="F1633" t="s">
        <v>41</v>
      </c>
      <c r="G1633">
        <v>4</v>
      </c>
    </row>
    <row r="1634" spans="1:7" x14ac:dyDescent="0.25">
      <c r="A1634" t="s">
        <v>5</v>
      </c>
      <c r="B1634">
        <v>1632</v>
      </c>
      <c r="C1634">
        <v>90</v>
      </c>
      <c r="D1634">
        <v>16.664772272109985</v>
      </c>
      <c r="E1634" t="s">
        <v>10</v>
      </c>
      <c r="F1634" t="s">
        <v>41</v>
      </c>
      <c r="G1634">
        <v>4</v>
      </c>
    </row>
    <row r="1635" spans="1:7" x14ac:dyDescent="0.25">
      <c r="A1635" t="s">
        <v>5</v>
      </c>
      <c r="B1635">
        <v>1633</v>
      </c>
      <c r="C1635">
        <v>47</v>
      </c>
      <c r="D1635">
        <v>8.6378943920135498</v>
      </c>
      <c r="E1635" t="s">
        <v>10</v>
      </c>
      <c r="F1635" t="s">
        <v>43</v>
      </c>
      <c r="G1635">
        <v>2.1</v>
      </c>
    </row>
    <row r="1636" spans="1:7" x14ac:dyDescent="0.25">
      <c r="A1636" t="s">
        <v>5</v>
      </c>
      <c r="B1636">
        <v>1634</v>
      </c>
      <c r="C1636">
        <v>27</v>
      </c>
      <c r="D1636">
        <v>8.3631331920623779</v>
      </c>
      <c r="E1636" t="s">
        <v>10</v>
      </c>
      <c r="F1636" t="s">
        <v>43</v>
      </c>
      <c r="G1636">
        <v>2.1</v>
      </c>
    </row>
    <row r="1637" spans="1:7" x14ac:dyDescent="0.25">
      <c r="A1637" t="s">
        <v>5</v>
      </c>
      <c r="B1637">
        <v>1635</v>
      </c>
      <c r="C1637">
        <v>30</v>
      </c>
      <c r="D1637">
        <v>3.4241516590118408</v>
      </c>
      <c r="E1637" t="s">
        <v>10</v>
      </c>
      <c r="F1637" t="s">
        <v>43</v>
      </c>
      <c r="G1637">
        <v>2.1</v>
      </c>
    </row>
    <row r="1638" spans="1:7" x14ac:dyDescent="0.25">
      <c r="A1638" t="s">
        <v>5</v>
      </c>
      <c r="B1638">
        <v>1636</v>
      </c>
      <c r="C1638">
        <v>80</v>
      </c>
      <c r="D1638">
        <v>4.8826563358306885</v>
      </c>
      <c r="E1638" t="s">
        <v>10</v>
      </c>
      <c r="F1638" t="s">
        <v>39</v>
      </c>
      <c r="G1638">
        <v>5</v>
      </c>
    </row>
    <row r="1639" spans="1:7" x14ac:dyDescent="0.25">
      <c r="A1639" t="s">
        <v>5</v>
      </c>
      <c r="B1639">
        <v>1637</v>
      </c>
      <c r="C1639">
        <v>70</v>
      </c>
      <c r="D1639">
        <v>4.7274370193481445</v>
      </c>
      <c r="E1639" t="s">
        <v>10</v>
      </c>
      <c r="F1639" t="s">
        <v>39</v>
      </c>
      <c r="G1639">
        <v>5</v>
      </c>
    </row>
    <row r="1640" spans="1:7" x14ac:dyDescent="0.25">
      <c r="A1640" t="s">
        <v>5</v>
      </c>
      <c r="B1640">
        <v>1638</v>
      </c>
      <c r="C1640">
        <v>21</v>
      </c>
      <c r="D1640">
        <v>4.1569259166717529</v>
      </c>
      <c r="E1640" t="s">
        <v>10</v>
      </c>
      <c r="F1640" t="s">
        <v>39</v>
      </c>
      <c r="G1640">
        <v>5</v>
      </c>
    </row>
    <row r="1641" spans="1:7" x14ac:dyDescent="0.25">
      <c r="A1641" t="s">
        <v>5</v>
      </c>
      <c r="B1641">
        <v>1639</v>
      </c>
      <c r="C1641">
        <v>14</v>
      </c>
      <c r="D1641">
        <v>3.9295461177825928</v>
      </c>
      <c r="E1641" t="s">
        <v>10</v>
      </c>
      <c r="F1641" t="s">
        <v>39</v>
      </c>
      <c r="G1641">
        <v>5</v>
      </c>
    </row>
    <row r="1642" spans="1:7" x14ac:dyDescent="0.25">
      <c r="A1642" t="s">
        <v>5</v>
      </c>
      <c r="B1642">
        <v>1640</v>
      </c>
      <c r="C1642">
        <v>40</v>
      </c>
      <c r="D1642">
        <v>8.7810425758361816</v>
      </c>
      <c r="E1642" t="s">
        <v>10</v>
      </c>
      <c r="F1642" t="s">
        <v>46</v>
      </c>
      <c r="G1642">
        <v>5.2</v>
      </c>
    </row>
    <row r="1643" spans="1:7" x14ac:dyDescent="0.25">
      <c r="A1643" t="s">
        <v>5</v>
      </c>
      <c r="B1643">
        <v>1641</v>
      </c>
      <c r="C1643">
        <v>100</v>
      </c>
      <c r="D1643">
        <v>8.5830590724945068</v>
      </c>
      <c r="E1643" t="s">
        <v>10</v>
      </c>
      <c r="F1643" t="s">
        <v>46</v>
      </c>
      <c r="G1643">
        <v>5.2</v>
      </c>
    </row>
    <row r="1644" spans="1:7" x14ac:dyDescent="0.25">
      <c r="A1644" t="s">
        <v>5</v>
      </c>
      <c r="B1644">
        <v>1642</v>
      </c>
      <c r="C1644">
        <v>100</v>
      </c>
      <c r="D1644">
        <v>6.9046652317047119</v>
      </c>
      <c r="E1644" t="s">
        <v>10</v>
      </c>
      <c r="F1644" t="s">
        <v>41</v>
      </c>
      <c r="G1644">
        <v>4.3</v>
      </c>
    </row>
    <row r="1645" spans="1:7" x14ac:dyDescent="0.25">
      <c r="A1645" t="s">
        <v>5</v>
      </c>
      <c r="B1645">
        <v>1643</v>
      </c>
      <c r="C1645">
        <v>37</v>
      </c>
      <c r="D1645">
        <v>4.5797138214111328</v>
      </c>
      <c r="E1645" t="s">
        <v>10</v>
      </c>
      <c r="F1645" t="s">
        <v>53</v>
      </c>
      <c r="G1645">
        <v>6.8</v>
      </c>
    </row>
    <row r="1646" spans="1:7" x14ac:dyDescent="0.25">
      <c r="A1646" t="s">
        <v>5</v>
      </c>
      <c r="B1646">
        <v>1644</v>
      </c>
      <c r="C1646">
        <v>87</v>
      </c>
      <c r="D1646">
        <v>13.722325563430786</v>
      </c>
      <c r="E1646" t="s">
        <v>10</v>
      </c>
      <c r="F1646" t="s">
        <v>41</v>
      </c>
      <c r="G1646">
        <v>7.1</v>
      </c>
    </row>
    <row r="1647" spans="1:7" x14ac:dyDescent="0.25">
      <c r="A1647" t="s">
        <v>5</v>
      </c>
      <c r="B1647">
        <v>1645</v>
      </c>
      <c r="C1647">
        <v>37</v>
      </c>
      <c r="D1647">
        <v>7.5510232448577881</v>
      </c>
      <c r="E1647" t="s">
        <v>10</v>
      </c>
      <c r="F1647" t="s">
        <v>41</v>
      </c>
      <c r="G1647">
        <v>4</v>
      </c>
    </row>
    <row r="1648" spans="1:7" x14ac:dyDescent="0.25">
      <c r="A1648" t="s">
        <v>5</v>
      </c>
      <c r="B1648">
        <v>1646</v>
      </c>
      <c r="C1648">
        <v>70</v>
      </c>
      <c r="D1648">
        <v>11.635858058929443</v>
      </c>
      <c r="E1648" t="s">
        <v>10</v>
      </c>
      <c r="F1648" t="s">
        <v>46</v>
      </c>
      <c r="G1648">
        <v>1.9</v>
      </c>
    </row>
    <row r="1649" spans="1:7" x14ac:dyDescent="0.25">
      <c r="A1649" t="s">
        <v>5</v>
      </c>
      <c r="B1649">
        <v>1647</v>
      </c>
      <c r="C1649">
        <v>100</v>
      </c>
      <c r="D1649">
        <v>4.8195953369140625</v>
      </c>
      <c r="E1649" t="s">
        <v>10</v>
      </c>
      <c r="F1649" t="s">
        <v>46</v>
      </c>
      <c r="G1649">
        <v>1.9</v>
      </c>
    </row>
    <row r="1650" spans="1:7" x14ac:dyDescent="0.25">
      <c r="A1650" t="s">
        <v>5</v>
      </c>
      <c r="B1650">
        <v>1648</v>
      </c>
      <c r="C1650">
        <v>47</v>
      </c>
      <c r="D1650">
        <v>5.404738187789917</v>
      </c>
      <c r="E1650" t="s">
        <v>10</v>
      </c>
      <c r="F1650" t="s">
        <v>46</v>
      </c>
      <c r="G1650">
        <v>1.9</v>
      </c>
    </row>
    <row r="1651" spans="1:7" x14ac:dyDescent="0.25">
      <c r="A1651" t="s">
        <v>5</v>
      </c>
      <c r="B1651">
        <v>1649</v>
      </c>
      <c r="C1651">
        <v>30</v>
      </c>
      <c r="D1651">
        <v>8.4518327713012695</v>
      </c>
      <c r="E1651" t="s">
        <v>10</v>
      </c>
      <c r="F1651" t="s">
        <v>46</v>
      </c>
      <c r="G1651">
        <v>1.9</v>
      </c>
    </row>
    <row r="1652" spans="1:7" x14ac:dyDescent="0.25">
      <c r="A1652" t="s">
        <v>5</v>
      </c>
      <c r="B1652">
        <v>1650</v>
      </c>
      <c r="C1652">
        <v>13</v>
      </c>
      <c r="D1652">
        <v>3.4217784404754639</v>
      </c>
      <c r="E1652" t="s">
        <v>10</v>
      </c>
      <c r="F1652" t="s">
        <v>46</v>
      </c>
      <c r="G1652">
        <v>1.9</v>
      </c>
    </row>
    <row r="1653" spans="1:7" x14ac:dyDescent="0.25">
      <c r="A1653" t="s">
        <v>5</v>
      </c>
      <c r="B1653">
        <v>1651</v>
      </c>
      <c r="C1653">
        <v>27</v>
      </c>
      <c r="D1653">
        <v>4.6496646404266357</v>
      </c>
      <c r="E1653" t="s">
        <v>10</v>
      </c>
      <c r="F1653" t="s">
        <v>46</v>
      </c>
      <c r="G1653">
        <v>1.9</v>
      </c>
    </row>
    <row r="1654" spans="1:7" x14ac:dyDescent="0.25">
      <c r="A1654" t="s">
        <v>5</v>
      </c>
      <c r="B1654">
        <v>1652</v>
      </c>
      <c r="C1654">
        <v>100</v>
      </c>
      <c r="D1654">
        <v>5.5676107406616211</v>
      </c>
      <c r="E1654" t="s">
        <v>10</v>
      </c>
      <c r="F1654" t="s">
        <v>41</v>
      </c>
      <c r="G1654">
        <v>4.3</v>
      </c>
    </row>
    <row r="1655" spans="1:7" x14ac:dyDescent="0.25">
      <c r="A1655" t="s">
        <v>5</v>
      </c>
      <c r="B1655">
        <v>1653</v>
      </c>
      <c r="C1655">
        <v>70</v>
      </c>
      <c r="D1655">
        <v>11.211621046066284</v>
      </c>
      <c r="E1655" t="s">
        <v>10</v>
      </c>
      <c r="F1655" t="s">
        <v>41</v>
      </c>
      <c r="G1655">
        <v>4</v>
      </c>
    </row>
    <row r="1656" spans="1:7" x14ac:dyDescent="0.25">
      <c r="A1656" t="s">
        <v>5</v>
      </c>
      <c r="B1656">
        <v>1654</v>
      </c>
      <c r="C1656">
        <v>85</v>
      </c>
      <c r="D1656">
        <v>14.214846611022949</v>
      </c>
      <c r="E1656" t="s">
        <v>10</v>
      </c>
      <c r="F1656" t="s">
        <v>41</v>
      </c>
      <c r="G1656">
        <v>4</v>
      </c>
    </row>
    <row r="1657" spans="1:7" x14ac:dyDescent="0.25">
      <c r="A1657" t="s">
        <v>5</v>
      </c>
      <c r="B1657">
        <v>1655</v>
      </c>
      <c r="C1657">
        <v>30</v>
      </c>
      <c r="D1657">
        <v>6.9966590404510498</v>
      </c>
      <c r="E1657" t="s">
        <v>10</v>
      </c>
      <c r="F1657" t="s">
        <v>41</v>
      </c>
      <c r="G1657">
        <v>4.5999999999999996</v>
      </c>
    </row>
    <row r="1658" spans="1:7" x14ac:dyDescent="0.25">
      <c r="A1658" t="s">
        <v>5</v>
      </c>
      <c r="B1658">
        <v>1656</v>
      </c>
      <c r="C1658">
        <v>25</v>
      </c>
      <c r="D1658">
        <v>4.5803730487823486</v>
      </c>
      <c r="E1658" t="s">
        <v>10</v>
      </c>
      <c r="F1658" t="s">
        <v>13</v>
      </c>
      <c r="G1658">
        <v>6.2</v>
      </c>
    </row>
    <row r="1659" spans="1:7" x14ac:dyDescent="0.25">
      <c r="A1659" t="s">
        <v>5</v>
      </c>
      <c r="B1659">
        <v>1657</v>
      </c>
      <c r="C1659">
        <v>21</v>
      </c>
      <c r="D1659">
        <v>4.0299851894378662</v>
      </c>
      <c r="E1659" t="s">
        <v>10</v>
      </c>
      <c r="F1659" t="s">
        <v>41</v>
      </c>
      <c r="G1659">
        <v>4.9000000000000004</v>
      </c>
    </row>
    <row r="1660" spans="1:7" x14ac:dyDescent="0.25">
      <c r="A1660" t="s">
        <v>5</v>
      </c>
      <c r="B1660">
        <v>1658</v>
      </c>
      <c r="C1660">
        <v>100</v>
      </c>
      <c r="D1660">
        <v>6.5810599327087402</v>
      </c>
      <c r="E1660" t="s">
        <v>10</v>
      </c>
      <c r="F1660" t="s">
        <v>41</v>
      </c>
      <c r="G1660">
        <v>4.9000000000000004</v>
      </c>
    </row>
    <row r="1661" spans="1:7" x14ac:dyDescent="0.25">
      <c r="A1661" t="s">
        <v>5</v>
      </c>
      <c r="B1661">
        <v>1659</v>
      </c>
      <c r="C1661">
        <v>100</v>
      </c>
      <c r="D1661">
        <v>4.7865049839019775</v>
      </c>
      <c r="E1661" t="s">
        <v>10</v>
      </c>
      <c r="F1661" t="s">
        <v>41</v>
      </c>
      <c r="G1661">
        <v>4.9000000000000004</v>
      </c>
    </row>
    <row r="1662" spans="1:7" x14ac:dyDescent="0.25">
      <c r="A1662" t="s">
        <v>5</v>
      </c>
      <c r="B1662">
        <v>1660</v>
      </c>
      <c r="C1662">
        <v>30</v>
      </c>
      <c r="D1662">
        <v>10.35622763633728</v>
      </c>
      <c r="E1662" t="s">
        <v>10</v>
      </c>
      <c r="F1662" t="s">
        <v>41</v>
      </c>
      <c r="G1662">
        <v>7.8</v>
      </c>
    </row>
    <row r="1663" spans="1:7" x14ac:dyDescent="0.25">
      <c r="A1663" t="s">
        <v>5</v>
      </c>
      <c r="B1663">
        <v>1661</v>
      </c>
      <c r="C1663">
        <v>70</v>
      </c>
      <c r="D1663">
        <v>9.8041727542877197</v>
      </c>
      <c r="E1663" t="s">
        <v>10</v>
      </c>
      <c r="F1663" t="s">
        <v>41</v>
      </c>
      <c r="G1663">
        <v>4.9000000000000004</v>
      </c>
    </row>
    <row r="1664" spans="1:7" x14ac:dyDescent="0.25">
      <c r="A1664" t="s">
        <v>5</v>
      </c>
      <c r="B1664">
        <v>1662</v>
      </c>
      <c r="C1664">
        <v>30</v>
      </c>
      <c r="D1664">
        <v>5.0848004817962646</v>
      </c>
      <c r="E1664" t="s">
        <v>10</v>
      </c>
      <c r="F1664" t="s">
        <v>41</v>
      </c>
      <c r="G1664">
        <v>4.9000000000000004</v>
      </c>
    </row>
    <row r="1665" spans="1:7" x14ac:dyDescent="0.25">
      <c r="A1665" t="s">
        <v>5</v>
      </c>
      <c r="B1665">
        <v>1663</v>
      </c>
      <c r="C1665">
        <v>37</v>
      </c>
      <c r="D1665">
        <v>4.5007920265197754</v>
      </c>
      <c r="E1665" t="s">
        <v>10</v>
      </c>
      <c r="F1665" t="s">
        <v>41</v>
      </c>
      <c r="G1665">
        <v>4.9000000000000004</v>
      </c>
    </row>
    <row r="1666" spans="1:7" x14ac:dyDescent="0.25">
      <c r="A1666" t="s">
        <v>5</v>
      </c>
      <c r="B1666">
        <v>1664</v>
      </c>
      <c r="C1666">
        <v>37</v>
      </c>
      <c r="D1666">
        <v>8.0662131309509277</v>
      </c>
      <c r="E1666" t="s">
        <v>10</v>
      </c>
      <c r="F1666" t="s">
        <v>41</v>
      </c>
      <c r="G1666">
        <v>4.9000000000000004</v>
      </c>
    </row>
    <row r="1667" spans="1:7" x14ac:dyDescent="0.25">
      <c r="A1667" t="s">
        <v>5</v>
      </c>
      <c r="B1667">
        <v>1665</v>
      </c>
      <c r="C1667">
        <v>40</v>
      </c>
      <c r="D1667">
        <v>3.56980299949646</v>
      </c>
      <c r="E1667" t="s">
        <v>10</v>
      </c>
      <c r="F1667" t="s">
        <v>45</v>
      </c>
      <c r="G1667">
        <v>3.3</v>
      </c>
    </row>
    <row r="1668" spans="1:7" x14ac:dyDescent="0.25">
      <c r="A1668" t="s">
        <v>5</v>
      </c>
      <c r="B1668">
        <v>1666</v>
      </c>
      <c r="C1668">
        <v>100</v>
      </c>
      <c r="D1668">
        <v>8.1575522422790527</v>
      </c>
      <c r="E1668" t="s">
        <v>10</v>
      </c>
      <c r="F1668" t="s">
        <v>45</v>
      </c>
      <c r="G1668">
        <v>3.3</v>
      </c>
    </row>
    <row r="1669" spans="1:7" x14ac:dyDescent="0.25">
      <c r="A1669" t="s">
        <v>5</v>
      </c>
      <c r="B1669">
        <v>1667</v>
      </c>
      <c r="C1669">
        <v>24</v>
      </c>
      <c r="D1669">
        <v>3.6346573829650879</v>
      </c>
      <c r="E1669" t="s">
        <v>10</v>
      </c>
      <c r="F1669" t="s">
        <v>13</v>
      </c>
      <c r="G1669">
        <v>3.6</v>
      </c>
    </row>
    <row r="1670" spans="1:7" x14ac:dyDescent="0.25">
      <c r="A1670" t="s">
        <v>5</v>
      </c>
      <c r="B1670">
        <v>1668</v>
      </c>
      <c r="C1670">
        <v>13</v>
      </c>
      <c r="D1670">
        <v>4.0662553310394287</v>
      </c>
      <c r="E1670" t="s">
        <v>10</v>
      </c>
      <c r="F1670" t="s">
        <v>13</v>
      </c>
      <c r="G1670">
        <v>3.6</v>
      </c>
    </row>
    <row r="1671" spans="1:7" x14ac:dyDescent="0.25">
      <c r="A1671" t="s">
        <v>5</v>
      </c>
      <c r="B1671">
        <v>1669</v>
      </c>
      <c r="C1671">
        <v>100</v>
      </c>
      <c r="D1671">
        <v>5.8399608135223389</v>
      </c>
      <c r="E1671" t="s">
        <v>10</v>
      </c>
      <c r="F1671" t="s">
        <v>53</v>
      </c>
      <c r="G1671">
        <v>7.5</v>
      </c>
    </row>
    <row r="1672" spans="1:7" x14ac:dyDescent="0.25">
      <c r="A1672" t="s">
        <v>5</v>
      </c>
      <c r="B1672">
        <v>1670</v>
      </c>
      <c r="C1672">
        <v>20</v>
      </c>
      <c r="D1672">
        <v>3.0421047210693359</v>
      </c>
      <c r="E1672" t="s">
        <v>10</v>
      </c>
      <c r="F1672" t="s">
        <v>45</v>
      </c>
      <c r="G1672">
        <v>1.9</v>
      </c>
    </row>
    <row r="1673" spans="1:7" x14ac:dyDescent="0.25">
      <c r="A1673" t="s">
        <v>5</v>
      </c>
      <c r="B1673">
        <v>1671</v>
      </c>
      <c r="C1673">
        <v>75</v>
      </c>
      <c r="D1673">
        <v>291.53439950942993</v>
      </c>
      <c r="E1673" t="s">
        <v>10</v>
      </c>
      <c r="F1673" t="s">
        <v>41</v>
      </c>
      <c r="G1673">
        <v>5</v>
      </c>
    </row>
    <row r="1674" spans="1:7" x14ac:dyDescent="0.25">
      <c r="A1674" t="s">
        <v>5</v>
      </c>
      <c r="B1674">
        <v>1672</v>
      </c>
      <c r="C1674">
        <v>47</v>
      </c>
      <c r="D1674">
        <v>5.0247929096221924</v>
      </c>
      <c r="E1674" t="s">
        <v>10</v>
      </c>
      <c r="F1674" t="s">
        <v>41</v>
      </c>
      <c r="G1674">
        <v>4.9000000000000004</v>
      </c>
    </row>
    <row r="1675" spans="1:7" x14ac:dyDescent="0.25">
      <c r="A1675" t="s">
        <v>5</v>
      </c>
      <c r="B1675">
        <v>1673</v>
      </c>
      <c r="C1675">
        <v>100</v>
      </c>
      <c r="D1675">
        <v>7.7335307598114014</v>
      </c>
      <c r="E1675" t="s">
        <v>10</v>
      </c>
      <c r="F1675" t="s">
        <v>59</v>
      </c>
      <c r="G1675">
        <v>2.1</v>
      </c>
    </row>
    <row r="1676" spans="1:7" x14ac:dyDescent="0.25">
      <c r="A1676" t="s">
        <v>5</v>
      </c>
      <c r="B1676">
        <v>1674</v>
      </c>
      <c r="C1676">
        <v>14</v>
      </c>
      <c r="D1676">
        <v>3.4358313083648682</v>
      </c>
      <c r="E1676" t="s">
        <v>10</v>
      </c>
      <c r="F1676" t="s">
        <v>56</v>
      </c>
      <c r="G1676">
        <v>7.2</v>
      </c>
    </row>
    <row r="1677" spans="1:7" x14ac:dyDescent="0.25">
      <c r="A1677" t="s">
        <v>5</v>
      </c>
      <c r="B1677">
        <v>1675</v>
      </c>
      <c r="C1677">
        <v>20</v>
      </c>
      <c r="D1677">
        <v>6.9245893955230713</v>
      </c>
      <c r="E1677" t="s">
        <v>10</v>
      </c>
      <c r="F1677" t="s">
        <v>56</v>
      </c>
      <c r="G1677">
        <v>7.2</v>
      </c>
    </row>
    <row r="1678" spans="1:7" x14ac:dyDescent="0.25">
      <c r="A1678" t="s">
        <v>5</v>
      </c>
      <c r="B1678">
        <v>1676</v>
      </c>
      <c r="C1678">
        <v>80</v>
      </c>
      <c r="D1678">
        <v>5.8012955188751221</v>
      </c>
      <c r="E1678" t="s">
        <v>10</v>
      </c>
      <c r="F1678" t="s">
        <v>46</v>
      </c>
      <c r="G1678">
        <v>5</v>
      </c>
    </row>
    <row r="1679" spans="1:7" x14ac:dyDescent="0.25">
      <c r="A1679" t="s">
        <v>5</v>
      </c>
      <c r="B1679">
        <v>1677</v>
      </c>
      <c r="C1679">
        <v>15</v>
      </c>
      <c r="D1679">
        <v>3.914994478225708</v>
      </c>
      <c r="E1679" t="s">
        <v>10</v>
      </c>
      <c r="F1679" t="s">
        <v>49</v>
      </c>
      <c r="G1679">
        <v>6.1</v>
      </c>
    </row>
    <row r="1680" spans="1:7" x14ac:dyDescent="0.25">
      <c r="A1680" t="s">
        <v>5</v>
      </c>
      <c r="B1680">
        <v>1678</v>
      </c>
      <c r="C1680">
        <v>21</v>
      </c>
      <c r="D1680">
        <v>5.3538796901702881</v>
      </c>
      <c r="E1680" t="s">
        <v>10</v>
      </c>
      <c r="F1680" t="s">
        <v>43</v>
      </c>
      <c r="G1680">
        <v>5</v>
      </c>
    </row>
    <row r="1681" spans="1:7" x14ac:dyDescent="0.25">
      <c r="A1681" t="s">
        <v>5</v>
      </c>
      <c r="B1681">
        <v>1679</v>
      </c>
      <c r="C1681">
        <v>8</v>
      </c>
      <c r="D1681">
        <v>15.778091907501221</v>
      </c>
      <c r="E1681" t="s">
        <v>10</v>
      </c>
      <c r="F1681" t="s">
        <v>41</v>
      </c>
      <c r="G1681">
        <v>4.9000000000000004</v>
      </c>
    </row>
    <row r="1682" spans="1:7" x14ac:dyDescent="0.25">
      <c r="A1682" t="s">
        <v>5</v>
      </c>
      <c r="B1682">
        <v>1680</v>
      </c>
      <c r="C1682">
        <v>25</v>
      </c>
      <c r="D1682">
        <v>6.5168831348419189</v>
      </c>
      <c r="E1682" t="s">
        <v>10</v>
      </c>
      <c r="F1682" t="s">
        <v>41</v>
      </c>
      <c r="G1682">
        <v>4.5999999999999996</v>
      </c>
    </row>
    <row r="1683" spans="1:7" x14ac:dyDescent="0.25">
      <c r="A1683" t="s">
        <v>5</v>
      </c>
      <c r="B1683">
        <v>1681</v>
      </c>
      <c r="C1683">
        <v>20</v>
      </c>
      <c r="D1683">
        <v>3.4622588157653809</v>
      </c>
      <c r="E1683" t="s">
        <v>10</v>
      </c>
      <c r="F1683" t="s">
        <v>41</v>
      </c>
      <c r="G1683">
        <v>4.5999999999999996</v>
      </c>
    </row>
    <row r="1684" spans="1:7" x14ac:dyDescent="0.25">
      <c r="A1684" t="s">
        <v>5</v>
      </c>
      <c r="B1684">
        <v>1682</v>
      </c>
      <c r="C1684">
        <v>37</v>
      </c>
      <c r="D1684">
        <v>3.8841621875762939</v>
      </c>
      <c r="E1684" t="s">
        <v>10</v>
      </c>
      <c r="F1684" t="s">
        <v>45</v>
      </c>
      <c r="G1684">
        <v>2.1</v>
      </c>
    </row>
    <row r="1685" spans="1:7" x14ac:dyDescent="0.25">
      <c r="A1685" t="s">
        <v>5</v>
      </c>
      <c r="B1685">
        <v>1683</v>
      </c>
      <c r="C1685">
        <v>67</v>
      </c>
      <c r="D1685">
        <v>3.5882246494293213</v>
      </c>
      <c r="E1685" t="s">
        <v>10</v>
      </c>
      <c r="F1685" t="s">
        <v>45</v>
      </c>
      <c r="G1685">
        <v>2.1</v>
      </c>
    </row>
    <row r="1686" spans="1:7" x14ac:dyDescent="0.25">
      <c r="A1686" t="s">
        <v>5</v>
      </c>
      <c r="B1686">
        <v>1684</v>
      </c>
      <c r="C1686">
        <v>100</v>
      </c>
      <c r="D1686">
        <v>11.418168783187866</v>
      </c>
      <c r="E1686" t="s">
        <v>10</v>
      </c>
      <c r="F1686" t="s">
        <v>41</v>
      </c>
      <c r="G1686">
        <v>5</v>
      </c>
    </row>
    <row r="1687" spans="1:7" x14ac:dyDescent="0.25">
      <c r="A1687" t="s">
        <v>5</v>
      </c>
      <c r="B1687">
        <v>1685</v>
      </c>
      <c r="C1687">
        <v>8</v>
      </c>
      <c r="D1687">
        <v>16.065513134002686</v>
      </c>
      <c r="E1687" t="s">
        <v>10</v>
      </c>
      <c r="F1687" t="s">
        <v>41</v>
      </c>
      <c r="G1687">
        <v>5</v>
      </c>
    </row>
    <row r="1688" spans="1:7" x14ac:dyDescent="0.25">
      <c r="A1688" t="s">
        <v>5</v>
      </c>
      <c r="B1688">
        <v>1686</v>
      </c>
      <c r="C1688">
        <v>47</v>
      </c>
      <c r="D1688">
        <v>7.5696671009063721</v>
      </c>
      <c r="E1688" t="s">
        <v>10</v>
      </c>
      <c r="F1688" t="s">
        <v>45</v>
      </c>
      <c r="G1688">
        <v>4.3</v>
      </c>
    </row>
    <row r="1689" spans="1:7" x14ac:dyDescent="0.25">
      <c r="A1689" t="s">
        <v>5</v>
      </c>
      <c r="B1689">
        <v>1687</v>
      </c>
      <c r="C1689">
        <v>10</v>
      </c>
      <c r="D1689">
        <v>3.9007575511932373</v>
      </c>
      <c r="E1689" t="s">
        <v>10</v>
      </c>
      <c r="F1689" t="s">
        <v>45</v>
      </c>
      <c r="G1689">
        <v>4.3</v>
      </c>
    </row>
    <row r="1690" spans="1:7" x14ac:dyDescent="0.25">
      <c r="A1690" t="s">
        <v>5</v>
      </c>
      <c r="B1690">
        <v>1688</v>
      </c>
      <c r="C1690">
        <v>25</v>
      </c>
      <c r="D1690">
        <v>3.3722589015960693</v>
      </c>
      <c r="E1690" t="s">
        <v>10</v>
      </c>
      <c r="F1690" t="s">
        <v>41</v>
      </c>
      <c r="G1690">
        <v>4.9000000000000004</v>
      </c>
    </row>
    <row r="1691" spans="1:7" x14ac:dyDescent="0.25">
      <c r="A1691" t="s">
        <v>5</v>
      </c>
      <c r="B1691">
        <v>1689</v>
      </c>
      <c r="C1691">
        <v>100</v>
      </c>
      <c r="D1691">
        <v>12.860585927963257</v>
      </c>
      <c r="E1691" t="s">
        <v>10</v>
      </c>
      <c r="F1691" t="s">
        <v>41</v>
      </c>
      <c r="G1691">
        <v>5</v>
      </c>
    </row>
    <row r="1692" spans="1:7" x14ac:dyDescent="0.25">
      <c r="A1692" t="s">
        <v>5</v>
      </c>
      <c r="B1692">
        <v>1690</v>
      </c>
      <c r="C1692">
        <v>47</v>
      </c>
      <c r="D1692">
        <v>4.6050479412078857</v>
      </c>
      <c r="E1692" t="s">
        <v>10</v>
      </c>
      <c r="F1692" t="s">
        <v>50</v>
      </c>
      <c r="G1692">
        <v>4.5999999999999996</v>
      </c>
    </row>
    <row r="1693" spans="1:7" x14ac:dyDescent="0.25">
      <c r="A1693" t="s">
        <v>5</v>
      </c>
      <c r="B1693">
        <v>1691</v>
      </c>
      <c r="C1693">
        <v>20</v>
      </c>
      <c r="D1693">
        <v>4.4107656478881836</v>
      </c>
      <c r="E1693" t="s">
        <v>10</v>
      </c>
      <c r="F1693" t="s">
        <v>50</v>
      </c>
      <c r="G1693">
        <v>4.5999999999999996</v>
      </c>
    </row>
    <row r="1694" spans="1:7" x14ac:dyDescent="0.25">
      <c r="A1694" t="s">
        <v>5</v>
      </c>
      <c r="B1694">
        <v>1692</v>
      </c>
      <c r="C1694">
        <v>37</v>
      </c>
      <c r="D1694">
        <v>4.1480908393859863</v>
      </c>
      <c r="E1694" t="s">
        <v>10</v>
      </c>
      <c r="F1694" t="s">
        <v>50</v>
      </c>
      <c r="G1694">
        <v>4.5999999999999996</v>
      </c>
    </row>
    <row r="1695" spans="1:7" x14ac:dyDescent="0.25">
      <c r="A1695" t="s">
        <v>5</v>
      </c>
      <c r="B1695">
        <v>1693</v>
      </c>
      <c r="C1695">
        <v>37</v>
      </c>
      <c r="D1695">
        <v>4.2487220764160156</v>
      </c>
      <c r="E1695" t="s">
        <v>10</v>
      </c>
      <c r="F1695" t="s">
        <v>50</v>
      </c>
      <c r="G1695">
        <v>4.5999999999999996</v>
      </c>
    </row>
    <row r="1696" spans="1:7" x14ac:dyDescent="0.25">
      <c r="A1696" t="s">
        <v>5</v>
      </c>
      <c r="B1696">
        <v>1694</v>
      </c>
      <c r="C1696">
        <v>37</v>
      </c>
      <c r="D1696">
        <v>3.0151708126068115</v>
      </c>
      <c r="E1696" t="s">
        <v>10</v>
      </c>
      <c r="F1696" t="s">
        <v>43</v>
      </c>
      <c r="G1696">
        <v>6.4</v>
      </c>
    </row>
    <row r="1697" spans="1:7" x14ac:dyDescent="0.25">
      <c r="A1697" t="s">
        <v>5</v>
      </c>
      <c r="B1697">
        <v>1695</v>
      </c>
      <c r="C1697">
        <v>37</v>
      </c>
      <c r="D1697">
        <v>3.0802459716796875</v>
      </c>
      <c r="E1697" t="s">
        <v>10</v>
      </c>
      <c r="F1697" t="s">
        <v>43</v>
      </c>
      <c r="G1697">
        <v>6.4</v>
      </c>
    </row>
    <row r="1698" spans="1:7" x14ac:dyDescent="0.25">
      <c r="A1698" t="s">
        <v>5</v>
      </c>
      <c r="B1698">
        <v>1696</v>
      </c>
      <c r="C1698">
        <v>30</v>
      </c>
      <c r="D1698">
        <v>5.2033283710479736</v>
      </c>
      <c r="E1698" t="s">
        <v>10</v>
      </c>
      <c r="F1698" t="s">
        <v>41</v>
      </c>
      <c r="G1698">
        <v>4.9000000000000004</v>
      </c>
    </row>
    <row r="1699" spans="1:7" x14ac:dyDescent="0.25">
      <c r="A1699" t="s">
        <v>5</v>
      </c>
      <c r="B1699">
        <v>1697</v>
      </c>
      <c r="C1699">
        <v>27</v>
      </c>
      <c r="D1699">
        <v>8.0132758617401123</v>
      </c>
      <c r="E1699" t="s">
        <v>10</v>
      </c>
      <c r="F1699" t="s">
        <v>41</v>
      </c>
      <c r="G1699">
        <v>7.8</v>
      </c>
    </row>
    <row r="1700" spans="1:7" x14ac:dyDescent="0.25">
      <c r="A1700" t="s">
        <v>5</v>
      </c>
      <c r="B1700">
        <v>1698</v>
      </c>
      <c r="C1700">
        <v>20</v>
      </c>
      <c r="D1700">
        <v>3.4017324447631836</v>
      </c>
      <c r="E1700" t="s">
        <v>10</v>
      </c>
      <c r="F1700" t="s">
        <v>41</v>
      </c>
      <c r="G1700">
        <v>7.1</v>
      </c>
    </row>
    <row r="1701" spans="1:7" x14ac:dyDescent="0.25">
      <c r="A1701" t="s">
        <v>5</v>
      </c>
      <c r="B1701">
        <v>1699</v>
      </c>
      <c r="C1701">
        <v>17</v>
      </c>
      <c r="D1701">
        <v>4.4804205894470215</v>
      </c>
      <c r="E1701" t="s">
        <v>10</v>
      </c>
      <c r="F1701" t="s">
        <v>41</v>
      </c>
      <c r="G1701">
        <v>7.1</v>
      </c>
    </row>
    <row r="1702" spans="1:7" x14ac:dyDescent="0.25">
      <c r="A1702" t="s">
        <v>5</v>
      </c>
      <c r="B1702">
        <v>1700</v>
      </c>
      <c r="C1702">
        <v>91</v>
      </c>
      <c r="D1702">
        <v>4.2161328792572021</v>
      </c>
      <c r="E1702" t="s">
        <v>10</v>
      </c>
      <c r="F1702" t="s">
        <v>41</v>
      </c>
      <c r="G1702">
        <v>7.1</v>
      </c>
    </row>
    <row r="1703" spans="1:7" x14ac:dyDescent="0.25">
      <c r="A1703" t="s">
        <v>5</v>
      </c>
      <c r="B1703">
        <v>1701</v>
      </c>
      <c r="C1703">
        <v>67</v>
      </c>
      <c r="D1703">
        <v>8.839832067489624</v>
      </c>
      <c r="E1703" t="s">
        <v>10</v>
      </c>
      <c r="F1703" t="s">
        <v>41</v>
      </c>
      <c r="G1703">
        <v>7.1</v>
      </c>
    </row>
    <row r="1704" spans="1:7" x14ac:dyDescent="0.25">
      <c r="A1704" t="s">
        <v>5</v>
      </c>
      <c r="B1704">
        <v>1702</v>
      </c>
      <c r="C1704">
        <v>85</v>
      </c>
      <c r="D1704">
        <v>15.345928430557251</v>
      </c>
      <c r="E1704" t="s">
        <v>10</v>
      </c>
      <c r="F1704" t="s">
        <v>41</v>
      </c>
      <c r="G1704">
        <v>4.7</v>
      </c>
    </row>
    <row r="1705" spans="1:7" x14ac:dyDescent="0.25">
      <c r="A1705" t="s">
        <v>5</v>
      </c>
      <c r="B1705">
        <v>1703</v>
      </c>
      <c r="C1705">
        <v>100</v>
      </c>
      <c r="D1705">
        <v>10.246563911437988</v>
      </c>
      <c r="E1705" t="s">
        <v>10</v>
      </c>
      <c r="F1705" t="s">
        <v>39</v>
      </c>
      <c r="G1705">
        <v>7.5</v>
      </c>
    </row>
    <row r="1706" spans="1:7" x14ac:dyDescent="0.25">
      <c r="A1706" t="s">
        <v>5</v>
      </c>
      <c r="B1706">
        <v>1704</v>
      </c>
      <c r="C1706">
        <v>37</v>
      </c>
      <c r="D1706">
        <v>3.946850061416626</v>
      </c>
      <c r="E1706" t="s">
        <v>10</v>
      </c>
      <c r="F1706" t="s">
        <v>41</v>
      </c>
      <c r="G1706">
        <v>4</v>
      </c>
    </row>
    <row r="1707" spans="1:7" x14ac:dyDescent="0.25">
      <c r="A1707" t="s">
        <v>5</v>
      </c>
      <c r="B1707">
        <v>1705</v>
      </c>
      <c r="C1707">
        <v>90</v>
      </c>
      <c r="D1707">
        <v>13.983476161956787</v>
      </c>
      <c r="E1707" t="s">
        <v>10</v>
      </c>
      <c r="F1707" t="s">
        <v>41</v>
      </c>
      <c r="G1707">
        <v>4</v>
      </c>
    </row>
    <row r="1708" spans="1:7" x14ac:dyDescent="0.25">
      <c r="A1708" t="s">
        <v>5</v>
      </c>
      <c r="B1708">
        <v>1706</v>
      </c>
      <c r="C1708">
        <v>30</v>
      </c>
      <c r="D1708">
        <v>3.1396663188934326</v>
      </c>
      <c r="E1708" t="s">
        <v>10</v>
      </c>
      <c r="F1708" t="s">
        <v>41</v>
      </c>
      <c r="G1708">
        <v>4</v>
      </c>
    </row>
    <row r="1709" spans="1:7" x14ac:dyDescent="0.25">
      <c r="A1709" t="s">
        <v>5</v>
      </c>
      <c r="B1709">
        <v>1707</v>
      </c>
      <c r="C1709">
        <v>100</v>
      </c>
      <c r="D1709">
        <v>16.548843145370483</v>
      </c>
      <c r="E1709" t="s">
        <v>10</v>
      </c>
      <c r="F1709" t="s">
        <v>41</v>
      </c>
      <c r="G1709">
        <v>4</v>
      </c>
    </row>
    <row r="1710" spans="1:7" x14ac:dyDescent="0.25">
      <c r="A1710" t="s">
        <v>5</v>
      </c>
      <c r="B1710">
        <v>1708</v>
      </c>
      <c r="C1710">
        <v>51</v>
      </c>
      <c r="D1710">
        <v>7.2931380271911621</v>
      </c>
      <c r="E1710" t="s">
        <v>10</v>
      </c>
      <c r="F1710" t="s">
        <v>41</v>
      </c>
      <c r="G1710">
        <v>3.5</v>
      </c>
    </row>
    <row r="1711" spans="1:7" x14ac:dyDescent="0.25">
      <c r="A1711" t="s">
        <v>5</v>
      </c>
      <c r="B1711">
        <v>1709</v>
      </c>
      <c r="C1711">
        <v>83</v>
      </c>
      <c r="D1711">
        <v>9.7436702251434326</v>
      </c>
      <c r="E1711" t="s">
        <v>10</v>
      </c>
      <c r="F1711" t="s">
        <v>41</v>
      </c>
      <c r="G1711">
        <v>3.5</v>
      </c>
    </row>
    <row r="1712" spans="1:7" x14ac:dyDescent="0.25">
      <c r="A1712" t="s">
        <v>5</v>
      </c>
      <c r="B1712">
        <v>1710</v>
      </c>
      <c r="C1712">
        <v>100</v>
      </c>
      <c r="D1712">
        <v>4.88004469871521</v>
      </c>
      <c r="E1712" t="s">
        <v>10</v>
      </c>
      <c r="F1712" t="s">
        <v>41</v>
      </c>
      <c r="G1712">
        <v>3.5</v>
      </c>
    </row>
    <row r="1713" spans="1:7" x14ac:dyDescent="0.25">
      <c r="A1713" t="s">
        <v>5</v>
      </c>
      <c r="B1713">
        <v>1711</v>
      </c>
      <c r="C1713">
        <v>37</v>
      </c>
      <c r="D1713">
        <v>9.232243537902832</v>
      </c>
      <c r="E1713" t="s">
        <v>10</v>
      </c>
      <c r="F1713" t="s">
        <v>13</v>
      </c>
      <c r="G1713">
        <v>2.1</v>
      </c>
    </row>
    <row r="1714" spans="1:7" x14ac:dyDescent="0.25">
      <c r="A1714" t="s">
        <v>5</v>
      </c>
      <c r="B1714">
        <v>1712</v>
      </c>
      <c r="C1714">
        <v>90</v>
      </c>
      <c r="D1714">
        <v>8.6625142097473145</v>
      </c>
      <c r="E1714" t="s">
        <v>10</v>
      </c>
      <c r="F1714" t="s">
        <v>41</v>
      </c>
      <c r="G1714">
        <v>4.3</v>
      </c>
    </row>
    <row r="1715" spans="1:7" x14ac:dyDescent="0.25">
      <c r="A1715" t="s">
        <v>5</v>
      </c>
      <c r="B1715">
        <v>1713</v>
      </c>
      <c r="C1715">
        <v>100</v>
      </c>
      <c r="D1715">
        <v>3.7066764831542969</v>
      </c>
      <c r="E1715" t="s">
        <v>10</v>
      </c>
      <c r="F1715" t="s">
        <v>41</v>
      </c>
      <c r="G1715">
        <v>4.3</v>
      </c>
    </row>
    <row r="1716" spans="1:7" x14ac:dyDescent="0.25">
      <c r="A1716" t="s">
        <v>5</v>
      </c>
      <c r="B1716">
        <v>1714</v>
      </c>
      <c r="C1716">
        <v>37</v>
      </c>
      <c r="D1716">
        <v>3.8957998752593994</v>
      </c>
      <c r="E1716" t="s">
        <v>10</v>
      </c>
      <c r="F1716" t="s">
        <v>41</v>
      </c>
      <c r="G1716">
        <v>4.3</v>
      </c>
    </row>
    <row r="1717" spans="1:7" x14ac:dyDescent="0.25">
      <c r="A1717" t="s">
        <v>5</v>
      </c>
      <c r="B1717">
        <v>1715</v>
      </c>
      <c r="C1717">
        <v>30</v>
      </c>
      <c r="D1717">
        <v>5.285874605178833</v>
      </c>
      <c r="E1717" t="s">
        <v>10</v>
      </c>
      <c r="F1717" t="s">
        <v>41</v>
      </c>
      <c r="G1717">
        <v>4.3</v>
      </c>
    </row>
    <row r="1718" spans="1:7" x14ac:dyDescent="0.25">
      <c r="A1718" t="s">
        <v>5</v>
      </c>
      <c r="B1718">
        <v>1716</v>
      </c>
      <c r="C1718">
        <v>25</v>
      </c>
      <c r="D1718">
        <v>6.2498595714569092</v>
      </c>
      <c r="E1718" t="s">
        <v>10</v>
      </c>
      <c r="F1718" t="s">
        <v>50</v>
      </c>
      <c r="G1718">
        <v>6</v>
      </c>
    </row>
    <row r="1719" spans="1:7" x14ac:dyDescent="0.25">
      <c r="A1719" t="s">
        <v>5</v>
      </c>
      <c r="B1719">
        <v>1717</v>
      </c>
      <c r="C1719">
        <v>80</v>
      </c>
      <c r="D1719">
        <v>4.5549123287200928</v>
      </c>
      <c r="E1719" t="s">
        <v>10</v>
      </c>
      <c r="F1719" t="s">
        <v>50</v>
      </c>
      <c r="G1719">
        <v>6</v>
      </c>
    </row>
    <row r="1720" spans="1:7" x14ac:dyDescent="0.25">
      <c r="A1720" t="s">
        <v>5</v>
      </c>
      <c r="B1720">
        <v>1718</v>
      </c>
      <c r="C1720">
        <v>20</v>
      </c>
      <c r="D1720">
        <v>4.7089900970458984</v>
      </c>
      <c r="E1720" t="s">
        <v>10</v>
      </c>
      <c r="F1720" t="s">
        <v>50</v>
      </c>
      <c r="G1720">
        <v>6</v>
      </c>
    </row>
    <row r="1721" spans="1:7" x14ac:dyDescent="0.25">
      <c r="A1721" t="s">
        <v>5</v>
      </c>
      <c r="B1721">
        <v>1719</v>
      </c>
      <c r="C1721">
        <v>47</v>
      </c>
      <c r="D1721">
        <v>3.856644868850708</v>
      </c>
      <c r="E1721" t="s">
        <v>10</v>
      </c>
      <c r="F1721" t="s">
        <v>45</v>
      </c>
      <c r="G1721">
        <v>7.2</v>
      </c>
    </row>
    <row r="1722" spans="1:7" x14ac:dyDescent="0.25">
      <c r="A1722" t="s">
        <v>5</v>
      </c>
      <c r="B1722">
        <v>1720</v>
      </c>
      <c r="C1722">
        <v>30</v>
      </c>
      <c r="D1722">
        <v>7.8769910335540771</v>
      </c>
      <c r="E1722" t="s">
        <v>10</v>
      </c>
      <c r="F1722" t="s">
        <v>41</v>
      </c>
      <c r="G1722">
        <v>5.4</v>
      </c>
    </row>
    <row r="1723" spans="1:7" x14ac:dyDescent="0.25">
      <c r="A1723" t="s">
        <v>5</v>
      </c>
      <c r="B1723">
        <v>1721</v>
      </c>
      <c r="C1723">
        <v>47</v>
      </c>
      <c r="D1723">
        <v>5.53885817527771</v>
      </c>
      <c r="E1723" t="s">
        <v>10</v>
      </c>
      <c r="F1723" t="s">
        <v>41</v>
      </c>
      <c r="G1723">
        <v>6.2</v>
      </c>
    </row>
    <row r="1724" spans="1:7" x14ac:dyDescent="0.25">
      <c r="A1724" t="s">
        <v>5</v>
      </c>
      <c r="B1724">
        <v>1722</v>
      </c>
      <c r="C1724">
        <v>70</v>
      </c>
      <c r="D1724">
        <v>5.0725381374359131</v>
      </c>
      <c r="E1724" t="s">
        <v>10</v>
      </c>
      <c r="F1724" t="s">
        <v>56</v>
      </c>
      <c r="G1724">
        <v>6.9</v>
      </c>
    </row>
    <row r="1725" spans="1:7" x14ac:dyDescent="0.25">
      <c r="A1725" t="s">
        <v>5</v>
      </c>
      <c r="B1725">
        <v>1723</v>
      </c>
      <c r="C1725">
        <v>37</v>
      </c>
      <c r="D1725">
        <v>5.1044867038726807</v>
      </c>
      <c r="E1725" t="s">
        <v>10</v>
      </c>
      <c r="F1725" t="s">
        <v>56</v>
      </c>
      <c r="G1725">
        <v>6.9</v>
      </c>
    </row>
    <row r="1726" spans="1:7" x14ac:dyDescent="0.25">
      <c r="A1726" t="s">
        <v>5</v>
      </c>
      <c r="B1726">
        <v>1724</v>
      </c>
      <c r="C1726">
        <v>100</v>
      </c>
      <c r="D1726">
        <v>5.900869607925415</v>
      </c>
      <c r="E1726" t="s">
        <v>10</v>
      </c>
      <c r="F1726" t="s">
        <v>45</v>
      </c>
      <c r="G1726">
        <v>6.8</v>
      </c>
    </row>
    <row r="1727" spans="1:7" x14ac:dyDescent="0.25">
      <c r="A1727" t="s">
        <v>5</v>
      </c>
      <c r="B1727">
        <v>1725</v>
      </c>
      <c r="C1727">
        <v>100</v>
      </c>
      <c r="D1727">
        <v>6.3705785274505615</v>
      </c>
      <c r="E1727" t="s">
        <v>10</v>
      </c>
      <c r="F1727" t="s">
        <v>41</v>
      </c>
      <c r="G1727">
        <v>5</v>
      </c>
    </row>
    <row r="1728" spans="1:7" x14ac:dyDescent="0.25">
      <c r="A1728" t="s">
        <v>5</v>
      </c>
      <c r="B1728">
        <v>1726</v>
      </c>
      <c r="C1728">
        <v>40</v>
      </c>
      <c r="D1728">
        <v>3.5041487216949463</v>
      </c>
      <c r="E1728" t="s">
        <v>10</v>
      </c>
      <c r="F1728" t="s">
        <v>46</v>
      </c>
      <c r="G1728">
        <v>4.9000000000000004</v>
      </c>
    </row>
    <row r="1729" spans="1:7" x14ac:dyDescent="0.25">
      <c r="A1729" t="s">
        <v>5</v>
      </c>
      <c r="B1729">
        <v>1727</v>
      </c>
      <c r="C1729">
        <v>87</v>
      </c>
      <c r="D1729">
        <v>8.909639835357666</v>
      </c>
      <c r="E1729" t="s">
        <v>10</v>
      </c>
      <c r="F1729" t="s">
        <v>63</v>
      </c>
      <c r="G1729">
        <v>4.9000000000000004</v>
      </c>
    </row>
    <row r="1730" spans="1:7" x14ac:dyDescent="0.25">
      <c r="A1730" t="s">
        <v>5</v>
      </c>
      <c r="B1730">
        <v>1728</v>
      </c>
      <c r="C1730">
        <v>16</v>
      </c>
      <c r="D1730">
        <v>4.3969426155090332</v>
      </c>
      <c r="E1730" t="s">
        <v>10</v>
      </c>
      <c r="F1730" t="s">
        <v>44</v>
      </c>
      <c r="G1730">
        <v>6.6</v>
      </c>
    </row>
    <row r="1731" spans="1:7" x14ac:dyDescent="0.25">
      <c r="A1731" t="s">
        <v>5</v>
      </c>
      <c r="B1731">
        <v>1729</v>
      </c>
      <c r="C1731">
        <v>15</v>
      </c>
      <c r="D1731">
        <v>4.3696627616882324</v>
      </c>
      <c r="E1731" t="s">
        <v>10</v>
      </c>
      <c r="F1731" t="s">
        <v>44</v>
      </c>
      <c r="G1731">
        <v>6.6</v>
      </c>
    </row>
    <row r="1732" spans="1:7" x14ac:dyDescent="0.25">
      <c r="A1732" t="s">
        <v>5</v>
      </c>
      <c r="B1732">
        <v>1730</v>
      </c>
      <c r="C1732">
        <v>100</v>
      </c>
      <c r="D1732">
        <v>4.6306376457214355</v>
      </c>
      <c r="E1732" t="s">
        <v>10</v>
      </c>
      <c r="F1732" t="s">
        <v>44</v>
      </c>
      <c r="G1732">
        <v>6.6</v>
      </c>
    </row>
    <row r="1733" spans="1:7" x14ac:dyDescent="0.25">
      <c r="A1733" t="s">
        <v>5</v>
      </c>
      <c r="B1733">
        <v>1731</v>
      </c>
      <c r="C1733">
        <v>30</v>
      </c>
      <c r="D1733">
        <v>6.3633706569671631</v>
      </c>
      <c r="E1733" t="s">
        <v>10</v>
      </c>
      <c r="F1733" t="s">
        <v>44</v>
      </c>
      <c r="G1733">
        <v>6.6</v>
      </c>
    </row>
    <row r="1734" spans="1:7" x14ac:dyDescent="0.25">
      <c r="A1734" t="s">
        <v>5</v>
      </c>
      <c r="B1734">
        <v>1732</v>
      </c>
      <c r="C1734">
        <v>21</v>
      </c>
      <c r="D1734">
        <v>8.4953458309173584</v>
      </c>
      <c r="E1734" t="s">
        <v>10</v>
      </c>
      <c r="F1734" t="s">
        <v>43</v>
      </c>
      <c r="G1734">
        <v>4.7</v>
      </c>
    </row>
    <row r="1735" spans="1:7" x14ac:dyDescent="0.25">
      <c r="A1735" t="s">
        <v>5</v>
      </c>
      <c r="B1735">
        <v>1733</v>
      </c>
      <c r="C1735">
        <v>25</v>
      </c>
      <c r="D1735">
        <v>2.7579386234283447</v>
      </c>
      <c r="E1735" t="s">
        <v>10</v>
      </c>
      <c r="F1735" t="s">
        <v>43</v>
      </c>
      <c r="G1735">
        <v>4.7</v>
      </c>
    </row>
    <row r="1736" spans="1:7" x14ac:dyDescent="0.25">
      <c r="A1736" t="s">
        <v>5</v>
      </c>
      <c r="B1736">
        <v>1734</v>
      </c>
      <c r="C1736">
        <v>23</v>
      </c>
      <c r="D1736">
        <v>3.4847393035888672</v>
      </c>
      <c r="E1736" t="s">
        <v>10</v>
      </c>
      <c r="F1736" t="s">
        <v>43</v>
      </c>
      <c r="G1736">
        <v>4.7</v>
      </c>
    </row>
    <row r="1737" spans="1:7" x14ac:dyDescent="0.25">
      <c r="A1737" t="s">
        <v>5</v>
      </c>
      <c r="B1737">
        <v>1735</v>
      </c>
      <c r="C1737">
        <v>100</v>
      </c>
      <c r="D1737">
        <v>4.3585474491119385</v>
      </c>
      <c r="E1737" t="s">
        <v>10</v>
      </c>
      <c r="F1737" t="s">
        <v>43</v>
      </c>
      <c r="G1737">
        <v>4.7</v>
      </c>
    </row>
    <row r="1738" spans="1:7" x14ac:dyDescent="0.25">
      <c r="A1738" t="s">
        <v>5</v>
      </c>
      <c r="B1738">
        <v>1736</v>
      </c>
      <c r="C1738">
        <v>100</v>
      </c>
      <c r="D1738">
        <v>7.1853377819061279</v>
      </c>
      <c r="E1738" t="s">
        <v>10</v>
      </c>
      <c r="F1738" t="s">
        <v>43</v>
      </c>
      <c r="G1738">
        <v>4.7</v>
      </c>
    </row>
    <row r="1739" spans="1:7" x14ac:dyDescent="0.25">
      <c r="A1739" t="s">
        <v>5</v>
      </c>
      <c r="B1739">
        <v>1737</v>
      </c>
      <c r="C1739">
        <v>37</v>
      </c>
      <c r="D1739">
        <v>7.5711305141448975</v>
      </c>
      <c r="E1739" t="s">
        <v>10</v>
      </c>
      <c r="F1739" t="s">
        <v>53</v>
      </c>
      <c r="G1739">
        <v>5</v>
      </c>
    </row>
    <row r="1740" spans="1:7" x14ac:dyDescent="0.25">
      <c r="A1740" t="s">
        <v>5</v>
      </c>
      <c r="B1740">
        <v>1738</v>
      </c>
      <c r="C1740">
        <v>40</v>
      </c>
      <c r="D1740">
        <v>12.742665529251099</v>
      </c>
      <c r="E1740" t="s">
        <v>10</v>
      </c>
      <c r="F1740" t="s">
        <v>53</v>
      </c>
      <c r="G1740">
        <v>5</v>
      </c>
    </row>
    <row r="1741" spans="1:7" x14ac:dyDescent="0.25">
      <c r="A1741" t="s">
        <v>5</v>
      </c>
      <c r="B1741">
        <v>1739</v>
      </c>
      <c r="C1741">
        <v>47</v>
      </c>
      <c r="D1741">
        <v>12.194942235946655</v>
      </c>
      <c r="E1741" t="s">
        <v>10</v>
      </c>
      <c r="F1741" t="s">
        <v>41</v>
      </c>
      <c r="G1741">
        <v>4.3</v>
      </c>
    </row>
    <row r="1742" spans="1:7" x14ac:dyDescent="0.25">
      <c r="A1742" t="s">
        <v>5</v>
      </c>
      <c r="B1742">
        <v>1740</v>
      </c>
      <c r="C1742">
        <v>47</v>
      </c>
      <c r="D1742">
        <v>4.5108380317687988</v>
      </c>
      <c r="E1742" t="s">
        <v>10</v>
      </c>
      <c r="F1742" t="s">
        <v>47</v>
      </c>
      <c r="G1742">
        <v>10</v>
      </c>
    </row>
    <row r="1743" spans="1:7" x14ac:dyDescent="0.25">
      <c r="A1743" t="s">
        <v>5</v>
      </c>
      <c r="B1743">
        <v>1741</v>
      </c>
      <c r="C1743">
        <v>100</v>
      </c>
      <c r="D1743">
        <v>9.8493857383728027</v>
      </c>
      <c r="E1743" t="s">
        <v>10</v>
      </c>
      <c r="F1743" t="s">
        <v>47</v>
      </c>
      <c r="G1743">
        <v>10</v>
      </c>
    </row>
    <row r="1744" spans="1:7" x14ac:dyDescent="0.25">
      <c r="A1744" t="s">
        <v>5</v>
      </c>
      <c r="B1744">
        <v>1742</v>
      </c>
      <c r="C1744">
        <v>100</v>
      </c>
      <c r="D1744">
        <v>11.434190273284912</v>
      </c>
      <c r="E1744" t="s">
        <v>10</v>
      </c>
      <c r="F1744" t="s">
        <v>47</v>
      </c>
      <c r="G1744">
        <v>10</v>
      </c>
    </row>
    <row r="1745" spans="1:7" x14ac:dyDescent="0.25">
      <c r="A1745" t="s">
        <v>5</v>
      </c>
      <c r="B1745">
        <v>1743</v>
      </c>
      <c r="C1745">
        <v>100</v>
      </c>
      <c r="D1745">
        <v>5.5162365436553955</v>
      </c>
      <c r="E1745" t="s">
        <v>10</v>
      </c>
      <c r="F1745" t="s">
        <v>47</v>
      </c>
      <c r="G1745">
        <v>10</v>
      </c>
    </row>
    <row r="1746" spans="1:7" x14ac:dyDescent="0.25">
      <c r="A1746" t="s">
        <v>5</v>
      </c>
      <c r="B1746">
        <v>1744</v>
      </c>
      <c r="C1746">
        <v>37</v>
      </c>
      <c r="D1746">
        <v>4.5645182132720947</v>
      </c>
      <c r="E1746" t="s">
        <v>10</v>
      </c>
      <c r="F1746" t="s">
        <v>47</v>
      </c>
      <c r="G1746">
        <v>10</v>
      </c>
    </row>
    <row r="1747" spans="1:7" x14ac:dyDescent="0.25">
      <c r="A1747" t="s">
        <v>5</v>
      </c>
      <c r="B1747">
        <v>1745</v>
      </c>
      <c r="C1747">
        <v>100</v>
      </c>
      <c r="D1747">
        <v>6.9529392719268799</v>
      </c>
      <c r="E1747" t="s">
        <v>10</v>
      </c>
      <c r="F1747" t="s">
        <v>39</v>
      </c>
      <c r="G1747">
        <v>8.5</v>
      </c>
    </row>
    <row r="1748" spans="1:7" x14ac:dyDescent="0.25">
      <c r="A1748" t="s">
        <v>5</v>
      </c>
      <c r="B1748">
        <v>1746</v>
      </c>
      <c r="C1748">
        <v>80</v>
      </c>
      <c r="D1748">
        <v>5.4987943172454834</v>
      </c>
      <c r="E1748" t="s">
        <v>10</v>
      </c>
      <c r="F1748" t="s">
        <v>41</v>
      </c>
      <c r="G1748">
        <v>7.8</v>
      </c>
    </row>
    <row r="1749" spans="1:7" x14ac:dyDescent="0.25">
      <c r="A1749" t="s">
        <v>5</v>
      </c>
      <c r="B1749">
        <v>1747</v>
      </c>
      <c r="C1749">
        <v>37</v>
      </c>
      <c r="D1749">
        <v>4.8219304084777832</v>
      </c>
      <c r="E1749" t="s">
        <v>10</v>
      </c>
      <c r="F1749" t="s">
        <v>64</v>
      </c>
      <c r="G1749">
        <v>7.6</v>
      </c>
    </row>
    <row r="1750" spans="1:7" x14ac:dyDescent="0.25">
      <c r="A1750" t="s">
        <v>5</v>
      </c>
      <c r="B1750">
        <v>1748</v>
      </c>
      <c r="C1750">
        <v>75</v>
      </c>
      <c r="D1750">
        <v>11.727647066116333</v>
      </c>
      <c r="E1750" t="s">
        <v>10</v>
      </c>
      <c r="F1750" t="s">
        <v>46</v>
      </c>
      <c r="G1750">
        <v>5</v>
      </c>
    </row>
    <row r="1751" spans="1:7" x14ac:dyDescent="0.25">
      <c r="A1751" t="s">
        <v>5</v>
      </c>
      <c r="B1751">
        <v>1749</v>
      </c>
      <c r="C1751">
        <v>82</v>
      </c>
      <c r="D1751">
        <v>17.155567407608032</v>
      </c>
      <c r="E1751" t="s">
        <v>10</v>
      </c>
      <c r="F1751" t="s">
        <v>46</v>
      </c>
      <c r="G1751">
        <v>5</v>
      </c>
    </row>
    <row r="1752" spans="1:7" x14ac:dyDescent="0.25">
      <c r="A1752" t="s">
        <v>5</v>
      </c>
      <c r="B1752">
        <v>1750</v>
      </c>
      <c r="C1752">
        <v>100</v>
      </c>
      <c r="D1752">
        <v>15.185696840286255</v>
      </c>
      <c r="E1752" t="s">
        <v>10</v>
      </c>
      <c r="F1752" t="s">
        <v>39</v>
      </c>
      <c r="G1752">
        <v>5.0999999999999996</v>
      </c>
    </row>
    <row r="1753" spans="1:7" x14ac:dyDescent="0.25">
      <c r="A1753" t="s">
        <v>5</v>
      </c>
      <c r="B1753">
        <v>1751</v>
      </c>
      <c r="C1753">
        <v>90</v>
      </c>
      <c r="D1753">
        <v>6.2452397346496582</v>
      </c>
      <c r="E1753" t="s">
        <v>10</v>
      </c>
      <c r="F1753" t="s">
        <v>43</v>
      </c>
      <c r="G1753">
        <v>2.2999999999999998</v>
      </c>
    </row>
    <row r="1754" spans="1:7" x14ac:dyDescent="0.25">
      <c r="A1754" t="s">
        <v>5</v>
      </c>
      <c r="B1754">
        <v>1752</v>
      </c>
      <c r="C1754">
        <v>100</v>
      </c>
      <c r="D1754">
        <v>4.2809536457061768</v>
      </c>
      <c r="E1754" t="s">
        <v>10</v>
      </c>
      <c r="F1754" t="s">
        <v>43</v>
      </c>
      <c r="G1754">
        <v>2.2999999999999998</v>
      </c>
    </row>
    <row r="1755" spans="1:7" x14ac:dyDescent="0.25">
      <c r="A1755" t="s">
        <v>5</v>
      </c>
      <c r="B1755">
        <v>1753</v>
      </c>
      <c r="C1755">
        <v>100</v>
      </c>
      <c r="D1755">
        <v>5.1249139308929443</v>
      </c>
      <c r="E1755" t="s">
        <v>10</v>
      </c>
      <c r="F1755" t="s">
        <v>45</v>
      </c>
      <c r="G1755">
        <v>6.2</v>
      </c>
    </row>
    <row r="1756" spans="1:7" x14ac:dyDescent="0.25">
      <c r="A1756" t="s">
        <v>5</v>
      </c>
      <c r="B1756">
        <v>1754</v>
      </c>
      <c r="C1756">
        <v>10</v>
      </c>
      <c r="D1756">
        <v>4.0208432674407959</v>
      </c>
      <c r="E1756" t="s">
        <v>10</v>
      </c>
      <c r="F1756" t="s">
        <v>45</v>
      </c>
      <c r="G1756">
        <v>6.2</v>
      </c>
    </row>
    <row r="1757" spans="1:7" x14ac:dyDescent="0.25">
      <c r="A1757" t="s">
        <v>5</v>
      </c>
      <c r="B1757">
        <v>1755</v>
      </c>
      <c r="C1757">
        <v>30</v>
      </c>
      <c r="D1757">
        <v>2.6111364364624023</v>
      </c>
      <c r="E1757" t="s">
        <v>10</v>
      </c>
      <c r="F1757" t="s">
        <v>45</v>
      </c>
      <c r="G1757">
        <v>6.2</v>
      </c>
    </row>
    <row r="1758" spans="1:7" x14ac:dyDescent="0.25">
      <c r="A1758" t="s">
        <v>5</v>
      </c>
      <c r="B1758">
        <v>1756</v>
      </c>
      <c r="C1758">
        <v>21</v>
      </c>
      <c r="D1758">
        <v>2.8747975826263428</v>
      </c>
      <c r="E1758" t="s">
        <v>10</v>
      </c>
      <c r="F1758" t="s">
        <v>45</v>
      </c>
      <c r="G1758">
        <v>6.2</v>
      </c>
    </row>
    <row r="1759" spans="1:7" x14ac:dyDescent="0.25">
      <c r="A1759" t="s">
        <v>5</v>
      </c>
      <c r="B1759">
        <v>1757</v>
      </c>
      <c r="C1759">
        <v>100</v>
      </c>
      <c r="D1759">
        <v>4.1089577674865723</v>
      </c>
      <c r="E1759" t="s">
        <v>10</v>
      </c>
      <c r="F1759" t="s">
        <v>45</v>
      </c>
      <c r="G1759">
        <v>6.2</v>
      </c>
    </row>
    <row r="1760" spans="1:7" x14ac:dyDescent="0.25">
      <c r="A1760" t="s">
        <v>5</v>
      </c>
      <c r="B1760">
        <v>1758</v>
      </c>
      <c r="C1760">
        <v>100</v>
      </c>
      <c r="D1760">
        <v>16.495934009552002</v>
      </c>
      <c r="E1760" t="s">
        <v>10</v>
      </c>
      <c r="F1760" t="s">
        <v>45</v>
      </c>
      <c r="G1760">
        <v>6.2</v>
      </c>
    </row>
    <row r="1761" spans="1:7" x14ac:dyDescent="0.25">
      <c r="A1761" t="s">
        <v>5</v>
      </c>
      <c r="B1761">
        <v>1759</v>
      </c>
      <c r="C1761">
        <v>21</v>
      </c>
      <c r="D1761">
        <v>2.5307660102844238</v>
      </c>
      <c r="E1761" t="s">
        <v>10</v>
      </c>
      <c r="F1761" t="s">
        <v>45</v>
      </c>
      <c r="G1761">
        <v>6.2</v>
      </c>
    </row>
    <row r="1762" spans="1:7" x14ac:dyDescent="0.25">
      <c r="A1762" t="s">
        <v>5</v>
      </c>
      <c r="B1762">
        <v>1760</v>
      </c>
      <c r="C1762">
        <v>70</v>
      </c>
      <c r="D1762">
        <v>10.806250810623169</v>
      </c>
      <c r="E1762" t="s">
        <v>10</v>
      </c>
      <c r="F1762" t="s">
        <v>46</v>
      </c>
      <c r="G1762">
        <v>5</v>
      </c>
    </row>
    <row r="1763" spans="1:7" x14ac:dyDescent="0.25">
      <c r="A1763" t="s">
        <v>5</v>
      </c>
      <c r="B1763">
        <v>1761</v>
      </c>
      <c r="C1763">
        <v>27</v>
      </c>
      <c r="D1763">
        <v>4.7518541812896729</v>
      </c>
      <c r="E1763" t="s">
        <v>10</v>
      </c>
      <c r="F1763" t="s">
        <v>56</v>
      </c>
      <c r="G1763">
        <v>4.5999999999999996</v>
      </c>
    </row>
    <row r="1764" spans="1:7" x14ac:dyDescent="0.25">
      <c r="A1764" t="s">
        <v>5</v>
      </c>
      <c r="B1764">
        <v>1762</v>
      </c>
      <c r="C1764">
        <v>100</v>
      </c>
      <c r="D1764">
        <v>4.4138305187225342</v>
      </c>
      <c r="E1764" t="s">
        <v>10</v>
      </c>
      <c r="F1764" t="s">
        <v>56</v>
      </c>
      <c r="G1764">
        <v>4.5999999999999996</v>
      </c>
    </row>
    <row r="1765" spans="1:7" x14ac:dyDescent="0.25">
      <c r="A1765" t="s">
        <v>5</v>
      </c>
      <c r="B1765">
        <v>1763</v>
      </c>
      <c r="C1765">
        <v>32</v>
      </c>
      <c r="D1765">
        <v>13.192321538925171</v>
      </c>
      <c r="E1765" t="s">
        <v>10</v>
      </c>
      <c r="F1765" t="s">
        <v>41</v>
      </c>
      <c r="G1765">
        <v>5</v>
      </c>
    </row>
    <row r="1766" spans="1:7" x14ac:dyDescent="0.25">
      <c r="A1766" t="s">
        <v>5</v>
      </c>
      <c r="B1766">
        <v>1764</v>
      </c>
      <c r="C1766">
        <v>70</v>
      </c>
      <c r="D1766">
        <v>5.910830020904541</v>
      </c>
      <c r="E1766" t="s">
        <v>10</v>
      </c>
      <c r="F1766" t="s">
        <v>41</v>
      </c>
      <c r="G1766">
        <v>4.9000000000000004</v>
      </c>
    </row>
    <row r="1767" spans="1:7" x14ac:dyDescent="0.25">
      <c r="A1767" t="s">
        <v>5</v>
      </c>
      <c r="B1767">
        <v>1765</v>
      </c>
      <c r="C1767">
        <v>83</v>
      </c>
      <c r="D1767">
        <v>16.604813098907471</v>
      </c>
      <c r="E1767" t="s">
        <v>10</v>
      </c>
      <c r="F1767" t="s">
        <v>41</v>
      </c>
      <c r="G1767">
        <v>4.9000000000000004</v>
      </c>
    </row>
    <row r="1768" spans="1:7" x14ac:dyDescent="0.25">
      <c r="A1768" t="s">
        <v>5</v>
      </c>
      <c r="B1768">
        <v>1766</v>
      </c>
      <c r="C1768">
        <v>100</v>
      </c>
      <c r="D1768">
        <v>4.8253002166748047</v>
      </c>
      <c r="E1768" t="s">
        <v>10</v>
      </c>
      <c r="F1768" t="s">
        <v>41</v>
      </c>
      <c r="G1768">
        <v>5</v>
      </c>
    </row>
    <row r="1769" spans="1:7" x14ac:dyDescent="0.25">
      <c r="A1769" t="s">
        <v>5</v>
      </c>
      <c r="B1769">
        <v>1767</v>
      </c>
      <c r="C1769">
        <v>23</v>
      </c>
      <c r="D1769">
        <v>2.8001339435577393</v>
      </c>
      <c r="E1769" t="s">
        <v>10</v>
      </c>
      <c r="F1769" t="s">
        <v>41</v>
      </c>
      <c r="G1769">
        <v>5</v>
      </c>
    </row>
    <row r="1770" spans="1:7" x14ac:dyDescent="0.25">
      <c r="A1770" t="s">
        <v>5</v>
      </c>
      <c r="B1770">
        <v>1768</v>
      </c>
      <c r="C1770">
        <v>100</v>
      </c>
      <c r="D1770">
        <v>3.1704850196838379</v>
      </c>
      <c r="E1770" t="s">
        <v>10</v>
      </c>
      <c r="F1770" t="s">
        <v>41</v>
      </c>
      <c r="G1770">
        <v>7.8</v>
      </c>
    </row>
    <row r="1771" spans="1:7" x14ac:dyDescent="0.25">
      <c r="A1771" t="s">
        <v>5</v>
      </c>
      <c r="B1771">
        <v>1769</v>
      </c>
      <c r="C1771">
        <v>100</v>
      </c>
      <c r="D1771">
        <v>6.9720251560211182</v>
      </c>
      <c r="E1771" t="s">
        <v>10</v>
      </c>
      <c r="F1771" t="s">
        <v>41</v>
      </c>
      <c r="G1771">
        <v>7.8</v>
      </c>
    </row>
    <row r="1772" spans="1:7" x14ac:dyDescent="0.25">
      <c r="A1772" t="s">
        <v>5</v>
      </c>
      <c r="B1772">
        <v>1770</v>
      </c>
      <c r="C1772">
        <v>100</v>
      </c>
      <c r="D1772">
        <v>4.298828125</v>
      </c>
      <c r="E1772" t="s">
        <v>10</v>
      </c>
      <c r="F1772" t="s">
        <v>41</v>
      </c>
      <c r="G1772">
        <v>7.8</v>
      </c>
    </row>
    <row r="1773" spans="1:7" x14ac:dyDescent="0.25">
      <c r="A1773" t="s">
        <v>5</v>
      </c>
      <c r="B1773">
        <v>1771</v>
      </c>
      <c r="C1773">
        <v>100</v>
      </c>
      <c r="D1773">
        <v>11.117094755172729</v>
      </c>
      <c r="E1773" t="s">
        <v>10</v>
      </c>
      <c r="F1773" t="s">
        <v>41</v>
      </c>
      <c r="G1773">
        <v>7.8</v>
      </c>
    </row>
    <row r="1774" spans="1:7" x14ac:dyDescent="0.25">
      <c r="A1774" t="s">
        <v>5</v>
      </c>
      <c r="B1774">
        <v>1772</v>
      </c>
      <c r="C1774">
        <v>45</v>
      </c>
      <c r="D1774">
        <v>11.110032558441162</v>
      </c>
      <c r="E1774" t="s">
        <v>10</v>
      </c>
      <c r="F1774" t="s">
        <v>41</v>
      </c>
      <c r="G1774">
        <v>7.8</v>
      </c>
    </row>
    <row r="1775" spans="1:7" x14ac:dyDescent="0.25">
      <c r="A1775" t="s">
        <v>5</v>
      </c>
      <c r="B1775">
        <v>1773</v>
      </c>
      <c r="C1775">
        <v>100</v>
      </c>
      <c r="D1775">
        <v>10.979256629943848</v>
      </c>
      <c r="E1775" t="s">
        <v>10</v>
      </c>
      <c r="F1775" t="s">
        <v>41</v>
      </c>
      <c r="G1775">
        <v>2.1</v>
      </c>
    </row>
    <row r="1776" spans="1:7" x14ac:dyDescent="0.25">
      <c r="A1776" t="s">
        <v>5</v>
      </c>
      <c r="B1776">
        <v>1774</v>
      </c>
      <c r="C1776">
        <v>100</v>
      </c>
      <c r="D1776">
        <v>3.4921455383300781</v>
      </c>
      <c r="E1776" t="s">
        <v>10</v>
      </c>
      <c r="F1776" t="s">
        <v>41</v>
      </c>
      <c r="G1776">
        <v>2.1</v>
      </c>
    </row>
    <row r="1777" spans="1:7" x14ac:dyDescent="0.25">
      <c r="A1777" t="s">
        <v>5</v>
      </c>
      <c r="B1777">
        <v>1775</v>
      </c>
      <c r="C1777">
        <v>23</v>
      </c>
      <c r="D1777">
        <v>3.1608345508575439</v>
      </c>
      <c r="E1777" t="s">
        <v>10</v>
      </c>
      <c r="F1777" t="s">
        <v>41</v>
      </c>
      <c r="G1777">
        <v>2.1</v>
      </c>
    </row>
    <row r="1778" spans="1:7" x14ac:dyDescent="0.25">
      <c r="A1778" t="s">
        <v>5</v>
      </c>
      <c r="B1778">
        <v>1776</v>
      </c>
      <c r="C1778">
        <v>60</v>
      </c>
      <c r="D1778">
        <v>3.9378607273101807</v>
      </c>
      <c r="E1778" t="s">
        <v>10</v>
      </c>
      <c r="F1778" t="s">
        <v>41</v>
      </c>
      <c r="G1778">
        <v>2.1</v>
      </c>
    </row>
    <row r="1779" spans="1:7" x14ac:dyDescent="0.25">
      <c r="A1779" t="s">
        <v>5</v>
      </c>
      <c r="B1779">
        <v>1777</v>
      </c>
      <c r="C1779">
        <v>40</v>
      </c>
      <c r="D1779">
        <v>2.7680644989013672</v>
      </c>
      <c r="E1779" t="s">
        <v>10</v>
      </c>
      <c r="F1779" t="s">
        <v>41</v>
      </c>
      <c r="G1779">
        <v>2.1</v>
      </c>
    </row>
    <row r="1780" spans="1:7" x14ac:dyDescent="0.25">
      <c r="A1780" t="s">
        <v>5</v>
      </c>
      <c r="B1780">
        <v>1778</v>
      </c>
      <c r="C1780">
        <v>30</v>
      </c>
      <c r="D1780">
        <v>6.0849528312683105</v>
      </c>
      <c r="E1780" t="s">
        <v>10</v>
      </c>
      <c r="F1780" t="s">
        <v>41</v>
      </c>
      <c r="G1780">
        <v>2.1</v>
      </c>
    </row>
    <row r="1781" spans="1:7" x14ac:dyDescent="0.25">
      <c r="A1781" t="s">
        <v>5</v>
      </c>
      <c r="B1781">
        <v>1779</v>
      </c>
      <c r="C1781">
        <v>20</v>
      </c>
      <c r="D1781">
        <v>8.030099630355835</v>
      </c>
      <c r="E1781" t="s">
        <v>10</v>
      </c>
      <c r="F1781" t="s">
        <v>41</v>
      </c>
      <c r="G1781">
        <v>2.1</v>
      </c>
    </row>
    <row r="1782" spans="1:7" x14ac:dyDescent="0.25">
      <c r="A1782" t="s">
        <v>5</v>
      </c>
      <c r="B1782">
        <v>1780</v>
      </c>
      <c r="C1782">
        <v>30</v>
      </c>
      <c r="D1782">
        <v>10.298064947128296</v>
      </c>
      <c r="E1782" t="s">
        <v>10</v>
      </c>
      <c r="F1782" t="s">
        <v>41</v>
      </c>
      <c r="G1782">
        <v>2.1</v>
      </c>
    </row>
    <row r="1783" spans="1:7" x14ac:dyDescent="0.25">
      <c r="A1783" t="s">
        <v>5</v>
      </c>
      <c r="B1783">
        <v>1781</v>
      </c>
      <c r="C1783">
        <v>40</v>
      </c>
      <c r="D1783">
        <v>8.6927673816680908</v>
      </c>
      <c r="E1783" t="s">
        <v>10</v>
      </c>
      <c r="F1783" t="s">
        <v>41</v>
      </c>
      <c r="G1783">
        <v>2.1</v>
      </c>
    </row>
    <row r="1784" spans="1:7" x14ac:dyDescent="0.25">
      <c r="A1784" t="s">
        <v>5</v>
      </c>
      <c r="B1784">
        <v>1782</v>
      </c>
      <c r="C1784">
        <v>16</v>
      </c>
      <c r="D1784">
        <v>14.58954119682312</v>
      </c>
      <c r="E1784" t="s">
        <v>10</v>
      </c>
      <c r="F1784" t="s">
        <v>41</v>
      </c>
      <c r="G1784">
        <v>7.2</v>
      </c>
    </row>
    <row r="1785" spans="1:7" x14ac:dyDescent="0.25">
      <c r="A1785" t="s">
        <v>5</v>
      </c>
      <c r="B1785">
        <v>1783</v>
      </c>
      <c r="C1785">
        <v>20</v>
      </c>
      <c r="D1785">
        <v>2.9747512340545654</v>
      </c>
      <c r="E1785" t="s">
        <v>10</v>
      </c>
      <c r="F1785" t="s">
        <v>41</v>
      </c>
      <c r="G1785">
        <v>4.9000000000000004</v>
      </c>
    </row>
    <row r="1786" spans="1:7" x14ac:dyDescent="0.25">
      <c r="A1786" t="s">
        <v>5</v>
      </c>
      <c r="B1786">
        <v>1784</v>
      </c>
      <c r="C1786">
        <v>27</v>
      </c>
      <c r="D1786">
        <v>3.7452685832977295</v>
      </c>
      <c r="E1786" t="s">
        <v>10</v>
      </c>
      <c r="F1786" t="s">
        <v>41</v>
      </c>
      <c r="G1786">
        <v>4.9000000000000004</v>
      </c>
    </row>
    <row r="1787" spans="1:7" x14ac:dyDescent="0.25">
      <c r="A1787" t="s">
        <v>5</v>
      </c>
      <c r="B1787">
        <v>1785</v>
      </c>
      <c r="C1787">
        <v>27</v>
      </c>
      <c r="D1787">
        <v>3.8864054679870605</v>
      </c>
      <c r="E1787" t="s">
        <v>10</v>
      </c>
      <c r="F1787" t="s">
        <v>41</v>
      </c>
      <c r="G1787">
        <v>4.9000000000000004</v>
      </c>
    </row>
    <row r="1788" spans="1:7" x14ac:dyDescent="0.25">
      <c r="A1788" t="s">
        <v>5</v>
      </c>
      <c r="B1788">
        <v>1786</v>
      </c>
      <c r="C1788">
        <v>100</v>
      </c>
      <c r="D1788">
        <v>2.5649566650390625</v>
      </c>
      <c r="E1788" t="s">
        <v>10</v>
      </c>
      <c r="F1788" t="s">
        <v>41</v>
      </c>
      <c r="G1788">
        <v>4.9000000000000004</v>
      </c>
    </row>
    <row r="1789" spans="1:7" x14ac:dyDescent="0.25">
      <c r="A1789" t="s">
        <v>5</v>
      </c>
      <c r="B1789">
        <v>1787</v>
      </c>
      <c r="C1789">
        <v>74</v>
      </c>
      <c r="D1789">
        <v>6.426480770111084</v>
      </c>
      <c r="E1789" t="s">
        <v>10</v>
      </c>
      <c r="F1789" t="s">
        <v>55</v>
      </c>
      <c r="G1789">
        <v>4.3</v>
      </c>
    </row>
    <row r="1790" spans="1:7" x14ac:dyDescent="0.25">
      <c r="A1790" t="s">
        <v>5</v>
      </c>
      <c r="B1790">
        <v>1788</v>
      </c>
      <c r="C1790">
        <v>14</v>
      </c>
      <c r="D1790">
        <v>2.6572513580322266</v>
      </c>
      <c r="E1790" t="s">
        <v>10</v>
      </c>
      <c r="F1790" t="s">
        <v>55</v>
      </c>
      <c r="G1790">
        <v>4.3</v>
      </c>
    </row>
    <row r="1791" spans="1:7" x14ac:dyDescent="0.25">
      <c r="A1791" t="s">
        <v>5</v>
      </c>
      <c r="B1791">
        <v>1789</v>
      </c>
      <c r="C1791">
        <v>37</v>
      </c>
      <c r="D1791">
        <v>14.261529922485352</v>
      </c>
      <c r="E1791" t="s">
        <v>10</v>
      </c>
      <c r="F1791" t="s">
        <v>39</v>
      </c>
      <c r="G1791">
        <v>6.8</v>
      </c>
    </row>
    <row r="1792" spans="1:7" x14ac:dyDescent="0.25">
      <c r="A1792" t="s">
        <v>5</v>
      </c>
      <c r="B1792">
        <v>1790</v>
      </c>
      <c r="C1792">
        <v>0</v>
      </c>
      <c r="D1792">
        <v>15.281318187713623</v>
      </c>
      <c r="E1792" t="s">
        <v>10</v>
      </c>
      <c r="F1792" t="s">
        <v>39</v>
      </c>
      <c r="G1792">
        <v>6.8</v>
      </c>
    </row>
    <row r="1793" spans="1:7" x14ac:dyDescent="0.25">
      <c r="A1793" t="s">
        <v>5</v>
      </c>
      <c r="B1793">
        <v>1791</v>
      </c>
      <c r="C1793">
        <v>42</v>
      </c>
      <c r="D1793">
        <v>6.5956366062164307</v>
      </c>
      <c r="E1793" t="s">
        <v>10</v>
      </c>
      <c r="F1793" t="s">
        <v>41</v>
      </c>
      <c r="G1793">
        <v>5</v>
      </c>
    </row>
    <row r="1794" spans="1:7" x14ac:dyDescent="0.25">
      <c r="A1794" t="s">
        <v>5</v>
      </c>
      <c r="B1794">
        <v>1792</v>
      </c>
      <c r="C1794">
        <v>70</v>
      </c>
      <c r="D1794">
        <v>5.1011309623718262</v>
      </c>
      <c r="E1794" t="s">
        <v>10</v>
      </c>
      <c r="F1794" t="s">
        <v>41</v>
      </c>
      <c r="G1794">
        <v>5</v>
      </c>
    </row>
    <row r="1795" spans="1:7" x14ac:dyDescent="0.25">
      <c r="A1795" t="s">
        <v>5</v>
      </c>
      <c r="B1795">
        <v>1793</v>
      </c>
      <c r="C1795">
        <v>100</v>
      </c>
      <c r="D1795">
        <v>17.426250696182251</v>
      </c>
      <c r="E1795" t="s">
        <v>10</v>
      </c>
      <c r="F1795" t="s">
        <v>41</v>
      </c>
      <c r="G1795">
        <v>5</v>
      </c>
    </row>
    <row r="1796" spans="1:7" x14ac:dyDescent="0.25">
      <c r="A1796" t="s">
        <v>5</v>
      </c>
      <c r="B1796">
        <v>1794</v>
      </c>
      <c r="C1796">
        <v>55</v>
      </c>
      <c r="D1796">
        <v>12.467190504074097</v>
      </c>
      <c r="E1796" t="s">
        <v>10</v>
      </c>
      <c r="F1796" t="s">
        <v>41</v>
      </c>
      <c r="G1796">
        <v>5</v>
      </c>
    </row>
    <row r="1797" spans="1:7" x14ac:dyDescent="0.25">
      <c r="A1797" t="s">
        <v>5</v>
      </c>
      <c r="B1797">
        <v>1795</v>
      </c>
      <c r="C1797">
        <v>99</v>
      </c>
      <c r="D1797">
        <v>7.546849250793457</v>
      </c>
      <c r="E1797" t="s">
        <v>10</v>
      </c>
      <c r="F1797" t="s">
        <v>41</v>
      </c>
      <c r="G1797">
        <v>5</v>
      </c>
    </row>
    <row r="1798" spans="1:7" x14ac:dyDescent="0.25">
      <c r="A1798" t="s">
        <v>5</v>
      </c>
      <c r="B1798">
        <v>1796</v>
      </c>
      <c r="C1798">
        <v>78</v>
      </c>
      <c r="D1798">
        <v>8.946547269821167</v>
      </c>
      <c r="E1798" t="s">
        <v>10</v>
      </c>
      <c r="F1798" t="s">
        <v>41</v>
      </c>
      <c r="G1798">
        <v>5</v>
      </c>
    </row>
    <row r="1799" spans="1:7" x14ac:dyDescent="0.25">
      <c r="A1799" t="s">
        <v>5</v>
      </c>
      <c r="B1799">
        <v>1797</v>
      </c>
      <c r="C1799">
        <v>80</v>
      </c>
      <c r="D1799">
        <v>15.250695705413818</v>
      </c>
      <c r="E1799" t="s">
        <v>10</v>
      </c>
      <c r="F1799" t="s">
        <v>41</v>
      </c>
      <c r="G1799">
        <v>5</v>
      </c>
    </row>
    <row r="1800" spans="1:7" x14ac:dyDescent="0.25">
      <c r="A1800" t="s">
        <v>5</v>
      </c>
      <c r="B1800">
        <v>1798</v>
      </c>
      <c r="C1800">
        <v>25</v>
      </c>
      <c r="D1800">
        <v>6.6448309421539307</v>
      </c>
      <c r="E1800" t="s">
        <v>10</v>
      </c>
      <c r="F1800" t="s">
        <v>56</v>
      </c>
      <c r="G1800">
        <v>7.2</v>
      </c>
    </row>
    <row r="1801" spans="1:7" x14ac:dyDescent="0.25">
      <c r="A1801" t="s">
        <v>5</v>
      </c>
      <c r="B1801">
        <v>1799</v>
      </c>
      <c r="C1801">
        <v>90</v>
      </c>
      <c r="D1801">
        <v>6.5155394077301025</v>
      </c>
      <c r="E1801" t="s">
        <v>10</v>
      </c>
      <c r="F1801" t="s">
        <v>56</v>
      </c>
      <c r="G1801">
        <v>7.2</v>
      </c>
    </row>
    <row r="1802" spans="1:7" x14ac:dyDescent="0.25">
      <c r="A1802" t="s">
        <v>5</v>
      </c>
      <c r="B1802">
        <v>1800</v>
      </c>
      <c r="C1802">
        <v>7</v>
      </c>
      <c r="D1802">
        <v>16.118113279342651</v>
      </c>
      <c r="E1802" t="s">
        <v>10</v>
      </c>
      <c r="F1802" t="s">
        <v>41</v>
      </c>
      <c r="G1802">
        <v>4.3</v>
      </c>
    </row>
    <row r="1803" spans="1:7" x14ac:dyDescent="0.25">
      <c r="A1803" t="s">
        <v>5</v>
      </c>
      <c r="B1803">
        <v>1801</v>
      </c>
      <c r="C1803">
        <v>57</v>
      </c>
      <c r="D1803">
        <v>4.0189878940582275</v>
      </c>
      <c r="E1803" t="s">
        <v>10</v>
      </c>
      <c r="F1803" t="s">
        <v>41</v>
      </c>
      <c r="G1803">
        <v>4.3</v>
      </c>
    </row>
    <row r="1804" spans="1:7" x14ac:dyDescent="0.25">
      <c r="A1804" t="s">
        <v>5</v>
      </c>
      <c r="B1804">
        <v>1802</v>
      </c>
      <c r="C1804">
        <v>20</v>
      </c>
      <c r="D1804">
        <v>3.7029154300689697</v>
      </c>
      <c r="E1804" t="s">
        <v>10</v>
      </c>
      <c r="F1804" t="s">
        <v>41</v>
      </c>
      <c r="G1804">
        <v>4.3</v>
      </c>
    </row>
    <row r="1805" spans="1:7" x14ac:dyDescent="0.25">
      <c r="A1805" t="s">
        <v>5</v>
      </c>
      <c r="B1805">
        <v>1803</v>
      </c>
      <c r="C1805">
        <v>47</v>
      </c>
      <c r="D1805">
        <v>12.474856615066528</v>
      </c>
      <c r="E1805" t="s">
        <v>10</v>
      </c>
      <c r="F1805" t="s">
        <v>46</v>
      </c>
      <c r="G1805">
        <v>5</v>
      </c>
    </row>
    <row r="1806" spans="1:7" x14ac:dyDescent="0.25">
      <c r="A1806" t="s">
        <v>5</v>
      </c>
      <c r="B1806">
        <v>1804</v>
      </c>
      <c r="C1806">
        <v>47</v>
      </c>
      <c r="D1806">
        <v>4.1536815166473389</v>
      </c>
      <c r="E1806" t="s">
        <v>10</v>
      </c>
      <c r="F1806" t="s">
        <v>39</v>
      </c>
      <c r="G1806">
        <v>6.9</v>
      </c>
    </row>
    <row r="1807" spans="1:7" x14ac:dyDescent="0.25">
      <c r="A1807" t="s">
        <v>5</v>
      </c>
      <c r="B1807">
        <v>1805</v>
      </c>
      <c r="C1807">
        <v>100</v>
      </c>
      <c r="D1807">
        <v>5.7609362602233887</v>
      </c>
      <c r="E1807" t="s">
        <v>10</v>
      </c>
      <c r="F1807" t="s">
        <v>60</v>
      </c>
      <c r="G1807">
        <v>6.9</v>
      </c>
    </row>
    <row r="1808" spans="1:7" x14ac:dyDescent="0.25">
      <c r="A1808" t="s">
        <v>5</v>
      </c>
      <c r="B1808">
        <v>1806</v>
      </c>
      <c r="C1808">
        <v>45</v>
      </c>
      <c r="D1808">
        <v>3.0801360607147217</v>
      </c>
      <c r="E1808" t="s">
        <v>10</v>
      </c>
      <c r="F1808" t="s">
        <v>46</v>
      </c>
      <c r="G1808">
        <v>4.7</v>
      </c>
    </row>
    <row r="1809" spans="1:7" x14ac:dyDescent="0.25">
      <c r="A1809" t="s">
        <v>5</v>
      </c>
      <c r="B1809">
        <v>1807</v>
      </c>
      <c r="C1809">
        <v>13</v>
      </c>
      <c r="D1809">
        <v>6.7420737743377686</v>
      </c>
      <c r="E1809" t="s">
        <v>10</v>
      </c>
      <c r="F1809" t="s">
        <v>46</v>
      </c>
      <c r="G1809">
        <v>4.7</v>
      </c>
    </row>
    <row r="1810" spans="1:7" x14ac:dyDescent="0.25">
      <c r="A1810" t="s">
        <v>5</v>
      </c>
      <c r="B1810">
        <v>1808</v>
      </c>
      <c r="C1810">
        <v>24</v>
      </c>
      <c r="D1810">
        <v>9.1140682697296143</v>
      </c>
      <c r="E1810" t="s">
        <v>10</v>
      </c>
      <c r="F1810" t="s">
        <v>46</v>
      </c>
      <c r="G1810">
        <v>4.7</v>
      </c>
    </row>
    <row r="1811" spans="1:7" x14ac:dyDescent="0.25">
      <c r="A1811" t="s">
        <v>5</v>
      </c>
      <c r="B1811">
        <v>1809</v>
      </c>
      <c r="C1811">
        <v>100</v>
      </c>
      <c r="D1811">
        <v>3.0391478538513184</v>
      </c>
      <c r="E1811" t="s">
        <v>10</v>
      </c>
      <c r="F1811" t="s">
        <v>46</v>
      </c>
      <c r="G1811">
        <v>4.7</v>
      </c>
    </row>
    <row r="1812" spans="1:7" x14ac:dyDescent="0.25">
      <c r="A1812" t="s">
        <v>5</v>
      </c>
      <c r="B1812">
        <v>1810</v>
      </c>
      <c r="C1812">
        <v>21</v>
      </c>
      <c r="D1812">
        <v>3.3715982437133789</v>
      </c>
      <c r="E1812" t="s">
        <v>10</v>
      </c>
      <c r="F1812" t="s">
        <v>46</v>
      </c>
      <c r="G1812">
        <v>4.7</v>
      </c>
    </row>
    <row r="1813" spans="1:7" x14ac:dyDescent="0.25">
      <c r="A1813" t="s">
        <v>5</v>
      </c>
      <c r="B1813">
        <v>1811</v>
      </c>
      <c r="C1813">
        <v>80</v>
      </c>
      <c r="D1813">
        <v>3.366480827331543</v>
      </c>
      <c r="E1813" t="s">
        <v>10</v>
      </c>
      <c r="F1813" t="s">
        <v>46</v>
      </c>
      <c r="G1813">
        <v>4.7</v>
      </c>
    </row>
    <row r="1814" spans="1:7" x14ac:dyDescent="0.25">
      <c r="A1814" t="s">
        <v>5</v>
      </c>
      <c r="B1814">
        <v>1812</v>
      </c>
      <c r="C1814">
        <v>15</v>
      </c>
      <c r="D1814">
        <v>3.7220096588134766</v>
      </c>
      <c r="E1814" t="s">
        <v>10</v>
      </c>
      <c r="F1814" t="s">
        <v>39</v>
      </c>
      <c r="G1814">
        <v>6.9</v>
      </c>
    </row>
    <row r="1815" spans="1:7" x14ac:dyDescent="0.25">
      <c r="A1815" t="s">
        <v>5</v>
      </c>
      <c r="B1815">
        <v>1813</v>
      </c>
      <c r="C1815">
        <v>70</v>
      </c>
      <c r="D1815">
        <v>6.1974043846130371</v>
      </c>
      <c r="E1815" t="s">
        <v>10</v>
      </c>
      <c r="F1815" t="s">
        <v>39</v>
      </c>
      <c r="G1815">
        <v>6.9</v>
      </c>
    </row>
    <row r="1816" spans="1:7" x14ac:dyDescent="0.25">
      <c r="A1816" t="s">
        <v>5</v>
      </c>
      <c r="B1816">
        <v>1814</v>
      </c>
      <c r="C1816">
        <v>75</v>
      </c>
      <c r="D1816">
        <v>8.0845041275024414</v>
      </c>
      <c r="E1816" t="s">
        <v>10</v>
      </c>
      <c r="F1816" t="s">
        <v>39</v>
      </c>
      <c r="G1816">
        <v>6.9</v>
      </c>
    </row>
    <row r="1817" spans="1:7" x14ac:dyDescent="0.25">
      <c r="A1817" t="s">
        <v>5</v>
      </c>
      <c r="B1817">
        <v>1815</v>
      </c>
      <c r="C1817">
        <v>70</v>
      </c>
      <c r="D1817">
        <v>6.8230319023132324</v>
      </c>
      <c r="E1817" t="s">
        <v>10</v>
      </c>
      <c r="F1817" t="s">
        <v>39</v>
      </c>
      <c r="G1817">
        <v>6.9</v>
      </c>
    </row>
    <row r="1818" spans="1:7" x14ac:dyDescent="0.25">
      <c r="A1818" t="s">
        <v>5</v>
      </c>
      <c r="B1818">
        <v>1816</v>
      </c>
      <c r="C1818">
        <v>87</v>
      </c>
      <c r="D1818">
        <v>11.269186496734619</v>
      </c>
      <c r="E1818" t="s">
        <v>10</v>
      </c>
      <c r="F1818" t="s">
        <v>47</v>
      </c>
      <c r="G1818">
        <v>7.5</v>
      </c>
    </row>
    <row r="1819" spans="1:7" x14ac:dyDescent="0.25">
      <c r="A1819" t="s">
        <v>5</v>
      </c>
      <c r="B1819">
        <v>1817</v>
      </c>
      <c r="C1819">
        <v>100</v>
      </c>
      <c r="D1819">
        <v>10.014629125595093</v>
      </c>
      <c r="E1819" t="s">
        <v>10</v>
      </c>
      <c r="F1819" t="s">
        <v>56</v>
      </c>
      <c r="G1819">
        <v>7.2</v>
      </c>
    </row>
    <row r="1820" spans="1:7" x14ac:dyDescent="0.25">
      <c r="A1820" t="s">
        <v>5</v>
      </c>
      <c r="B1820">
        <v>1818</v>
      </c>
      <c r="C1820">
        <v>100</v>
      </c>
      <c r="D1820">
        <v>10.607148170471191</v>
      </c>
      <c r="E1820" t="s">
        <v>10</v>
      </c>
      <c r="F1820" t="s">
        <v>56</v>
      </c>
      <c r="G1820">
        <v>7.2</v>
      </c>
    </row>
    <row r="1821" spans="1:7" x14ac:dyDescent="0.25">
      <c r="A1821" t="s">
        <v>5</v>
      </c>
      <c r="B1821">
        <v>1819</v>
      </c>
      <c r="C1821">
        <v>47</v>
      </c>
      <c r="D1821">
        <v>3.2270340919494629</v>
      </c>
      <c r="E1821" t="s">
        <v>10</v>
      </c>
      <c r="F1821" t="s">
        <v>41</v>
      </c>
      <c r="G1821">
        <v>4.9000000000000004</v>
      </c>
    </row>
    <row r="1822" spans="1:7" x14ac:dyDescent="0.25">
      <c r="A1822" t="s">
        <v>5</v>
      </c>
      <c r="B1822">
        <v>1820</v>
      </c>
      <c r="C1822">
        <v>100</v>
      </c>
      <c r="D1822">
        <v>3.383427619934082</v>
      </c>
      <c r="E1822" t="s">
        <v>10</v>
      </c>
      <c r="F1822" t="s">
        <v>41</v>
      </c>
      <c r="G1822">
        <v>4.9000000000000004</v>
      </c>
    </row>
    <row r="1823" spans="1:7" x14ac:dyDescent="0.25">
      <c r="A1823" t="s">
        <v>5</v>
      </c>
      <c r="B1823">
        <v>1821</v>
      </c>
      <c r="C1823">
        <v>21</v>
      </c>
      <c r="D1823">
        <v>2.9433767795562744</v>
      </c>
      <c r="E1823" t="s">
        <v>10</v>
      </c>
      <c r="F1823" t="s">
        <v>41</v>
      </c>
      <c r="G1823">
        <v>4.9000000000000004</v>
      </c>
    </row>
    <row r="1824" spans="1:7" x14ac:dyDescent="0.25">
      <c r="A1824" t="s">
        <v>5</v>
      </c>
      <c r="B1824">
        <v>1822</v>
      </c>
      <c r="C1824">
        <v>20</v>
      </c>
      <c r="D1824">
        <v>3.6407344341278076</v>
      </c>
      <c r="E1824" t="s">
        <v>10</v>
      </c>
      <c r="F1824" t="s">
        <v>41</v>
      </c>
      <c r="G1824">
        <v>4.9000000000000004</v>
      </c>
    </row>
    <row r="1825" spans="1:7" x14ac:dyDescent="0.25">
      <c r="A1825" t="s">
        <v>5</v>
      </c>
      <c r="B1825">
        <v>1823</v>
      </c>
      <c r="C1825">
        <v>87</v>
      </c>
      <c r="D1825">
        <v>7.7479116916656494</v>
      </c>
      <c r="E1825" t="s">
        <v>10</v>
      </c>
      <c r="F1825" t="s">
        <v>41</v>
      </c>
      <c r="G1825">
        <v>4.9000000000000004</v>
      </c>
    </row>
    <row r="1826" spans="1:7" x14ac:dyDescent="0.25">
      <c r="A1826" t="s">
        <v>5</v>
      </c>
      <c r="B1826">
        <v>1824</v>
      </c>
      <c r="C1826">
        <v>100</v>
      </c>
      <c r="D1826">
        <v>7.9335172176361084</v>
      </c>
      <c r="E1826" t="s">
        <v>10</v>
      </c>
      <c r="F1826" t="s">
        <v>50</v>
      </c>
      <c r="G1826">
        <v>4.5999999999999996</v>
      </c>
    </row>
    <row r="1827" spans="1:7" x14ac:dyDescent="0.25">
      <c r="A1827" t="s">
        <v>5</v>
      </c>
      <c r="B1827">
        <v>1825</v>
      </c>
      <c r="C1827">
        <v>15</v>
      </c>
      <c r="D1827">
        <v>3.1573212146759033</v>
      </c>
      <c r="E1827" t="s">
        <v>10</v>
      </c>
      <c r="F1827" t="s">
        <v>41</v>
      </c>
      <c r="G1827">
        <v>4.5999999999999996</v>
      </c>
    </row>
    <row r="1828" spans="1:7" x14ac:dyDescent="0.25">
      <c r="A1828" t="s">
        <v>5</v>
      </c>
      <c r="B1828">
        <v>1826</v>
      </c>
      <c r="C1828">
        <v>90</v>
      </c>
      <c r="D1828">
        <v>7.8444726467132568</v>
      </c>
      <c r="E1828" t="s">
        <v>10</v>
      </c>
      <c r="F1828" t="s">
        <v>41</v>
      </c>
      <c r="G1828">
        <v>4.5999999999999996</v>
      </c>
    </row>
    <row r="1829" spans="1:7" x14ac:dyDescent="0.25">
      <c r="A1829" t="s">
        <v>5</v>
      </c>
      <c r="B1829">
        <v>1827</v>
      </c>
      <c r="C1829">
        <v>30</v>
      </c>
      <c r="D1829">
        <v>5.9511065483093262</v>
      </c>
      <c r="E1829" t="s">
        <v>10</v>
      </c>
      <c r="F1829" t="s">
        <v>41</v>
      </c>
      <c r="G1829">
        <v>7.1</v>
      </c>
    </row>
    <row r="1830" spans="1:7" x14ac:dyDescent="0.25">
      <c r="A1830" t="s">
        <v>5</v>
      </c>
      <c r="B1830">
        <v>1828</v>
      </c>
      <c r="C1830">
        <v>47</v>
      </c>
      <c r="D1830">
        <v>9.6285021305084229</v>
      </c>
      <c r="E1830" t="s">
        <v>10</v>
      </c>
      <c r="F1830" t="s">
        <v>41</v>
      </c>
      <c r="G1830">
        <v>7.1</v>
      </c>
    </row>
    <row r="1831" spans="1:7" x14ac:dyDescent="0.25">
      <c r="A1831" t="s">
        <v>5</v>
      </c>
      <c r="B1831">
        <v>1829</v>
      </c>
      <c r="C1831">
        <v>10</v>
      </c>
      <c r="D1831">
        <v>6.1564109325408936</v>
      </c>
      <c r="E1831" t="s">
        <v>10</v>
      </c>
      <c r="F1831" t="s">
        <v>41</v>
      </c>
      <c r="G1831">
        <v>7.1</v>
      </c>
    </row>
    <row r="1832" spans="1:7" x14ac:dyDescent="0.25">
      <c r="A1832" t="s">
        <v>5</v>
      </c>
      <c r="B1832">
        <v>1830</v>
      </c>
      <c r="C1832">
        <v>21</v>
      </c>
      <c r="D1832">
        <v>2.7433619499206543</v>
      </c>
      <c r="E1832" t="s">
        <v>10</v>
      </c>
      <c r="F1832" t="s">
        <v>41</v>
      </c>
      <c r="G1832">
        <v>4.7</v>
      </c>
    </row>
    <row r="1833" spans="1:7" x14ac:dyDescent="0.25">
      <c r="A1833" t="s">
        <v>5</v>
      </c>
      <c r="B1833">
        <v>1831</v>
      </c>
      <c r="C1833">
        <v>67</v>
      </c>
      <c r="D1833">
        <v>3.7901287078857422</v>
      </c>
      <c r="E1833" t="s">
        <v>10</v>
      </c>
      <c r="F1833" t="s">
        <v>41</v>
      </c>
      <c r="G1833">
        <v>7.1</v>
      </c>
    </row>
    <row r="1834" spans="1:7" x14ac:dyDescent="0.25">
      <c r="A1834" t="s">
        <v>5</v>
      </c>
      <c r="B1834">
        <v>1832</v>
      </c>
      <c r="C1834">
        <v>80</v>
      </c>
      <c r="D1834">
        <v>6.4809517860412598</v>
      </c>
      <c r="E1834" t="s">
        <v>10</v>
      </c>
      <c r="F1834" t="s">
        <v>47</v>
      </c>
      <c r="G1834">
        <v>6.5</v>
      </c>
    </row>
    <row r="1835" spans="1:7" x14ac:dyDescent="0.25">
      <c r="A1835" t="s">
        <v>5</v>
      </c>
      <c r="B1835">
        <v>1833</v>
      </c>
      <c r="C1835">
        <v>100</v>
      </c>
      <c r="D1835">
        <v>6.7863900661468506</v>
      </c>
      <c r="E1835" t="s">
        <v>10</v>
      </c>
      <c r="F1835" t="s">
        <v>47</v>
      </c>
      <c r="G1835">
        <v>6.5</v>
      </c>
    </row>
    <row r="1836" spans="1:7" x14ac:dyDescent="0.25">
      <c r="A1836" t="s">
        <v>5</v>
      </c>
      <c r="B1836">
        <v>1834</v>
      </c>
      <c r="C1836">
        <v>90</v>
      </c>
      <c r="D1836">
        <v>8.6962668895721436</v>
      </c>
      <c r="E1836" t="s">
        <v>10</v>
      </c>
      <c r="F1836" t="s">
        <v>47</v>
      </c>
      <c r="G1836">
        <v>6.5</v>
      </c>
    </row>
    <row r="1837" spans="1:7" x14ac:dyDescent="0.25">
      <c r="A1837" t="s">
        <v>5</v>
      </c>
      <c r="B1837">
        <v>1835</v>
      </c>
      <c r="C1837">
        <v>15</v>
      </c>
      <c r="D1837">
        <v>4.766521692276001</v>
      </c>
      <c r="E1837" t="s">
        <v>10</v>
      </c>
      <c r="F1837" t="s">
        <v>47</v>
      </c>
      <c r="G1837">
        <v>6.5</v>
      </c>
    </row>
    <row r="1838" spans="1:7" x14ac:dyDescent="0.25">
      <c r="A1838" t="s">
        <v>5</v>
      </c>
      <c r="B1838">
        <v>1836</v>
      </c>
      <c r="C1838">
        <v>27</v>
      </c>
      <c r="D1838">
        <v>4.2777829170227051</v>
      </c>
      <c r="E1838" t="s">
        <v>10</v>
      </c>
      <c r="F1838" t="s">
        <v>47</v>
      </c>
      <c r="G1838">
        <v>6.5</v>
      </c>
    </row>
    <row r="1839" spans="1:7" x14ac:dyDescent="0.25">
      <c r="A1839" t="s">
        <v>5</v>
      </c>
      <c r="B1839">
        <v>1837</v>
      </c>
      <c r="C1839">
        <v>100</v>
      </c>
      <c r="D1839">
        <v>4.9044721126556396</v>
      </c>
      <c r="E1839" t="s">
        <v>10</v>
      </c>
      <c r="F1839" t="s">
        <v>47</v>
      </c>
      <c r="G1839">
        <v>6.5</v>
      </c>
    </row>
    <row r="1840" spans="1:7" x14ac:dyDescent="0.25">
      <c r="A1840" t="s">
        <v>5</v>
      </c>
      <c r="B1840">
        <v>1838</v>
      </c>
      <c r="C1840">
        <v>100</v>
      </c>
      <c r="D1840">
        <v>4.9215729236602783</v>
      </c>
      <c r="E1840" t="s">
        <v>10</v>
      </c>
      <c r="F1840" t="s">
        <v>47</v>
      </c>
      <c r="G1840">
        <v>6.5</v>
      </c>
    </row>
    <row r="1841" spans="1:7" x14ac:dyDescent="0.25">
      <c r="A1841" t="s">
        <v>5</v>
      </c>
      <c r="B1841">
        <v>1839</v>
      </c>
      <c r="C1841">
        <v>14</v>
      </c>
      <c r="D1841">
        <v>3.6596386432647705</v>
      </c>
      <c r="E1841" t="s">
        <v>10</v>
      </c>
      <c r="F1841" t="s">
        <v>47</v>
      </c>
      <c r="G1841">
        <v>6.5</v>
      </c>
    </row>
    <row r="1842" spans="1:7" x14ac:dyDescent="0.25">
      <c r="A1842" t="s">
        <v>5</v>
      </c>
      <c r="B1842">
        <v>1840</v>
      </c>
      <c r="C1842">
        <v>70</v>
      </c>
      <c r="D1842">
        <v>13.605766296386719</v>
      </c>
      <c r="E1842" t="s">
        <v>10</v>
      </c>
      <c r="F1842" t="s">
        <v>47</v>
      </c>
      <c r="G1842">
        <v>6.5</v>
      </c>
    </row>
    <row r="1843" spans="1:7" x14ac:dyDescent="0.25">
      <c r="A1843" t="s">
        <v>5</v>
      </c>
      <c r="B1843">
        <v>1841</v>
      </c>
      <c r="C1843">
        <v>75</v>
      </c>
      <c r="D1843">
        <v>7.1142890453338623</v>
      </c>
      <c r="E1843" t="s">
        <v>10</v>
      </c>
      <c r="F1843" t="s">
        <v>47</v>
      </c>
      <c r="G1843">
        <v>6.5</v>
      </c>
    </row>
    <row r="1844" spans="1:7" x14ac:dyDescent="0.25">
      <c r="A1844" t="s">
        <v>5</v>
      </c>
      <c r="B1844">
        <v>1842</v>
      </c>
      <c r="C1844">
        <v>10</v>
      </c>
      <c r="D1844">
        <v>3.3437290191650391</v>
      </c>
      <c r="E1844" t="s">
        <v>10</v>
      </c>
      <c r="F1844" t="s">
        <v>47</v>
      </c>
      <c r="G1844">
        <v>6.5</v>
      </c>
    </row>
    <row r="1845" spans="1:7" x14ac:dyDescent="0.25">
      <c r="A1845" t="s">
        <v>5</v>
      </c>
      <c r="B1845">
        <v>1843</v>
      </c>
      <c r="C1845">
        <v>100</v>
      </c>
      <c r="D1845">
        <v>5.5844006538391113</v>
      </c>
      <c r="E1845" t="s">
        <v>10</v>
      </c>
      <c r="F1845" t="s">
        <v>47</v>
      </c>
      <c r="G1845">
        <v>6.5</v>
      </c>
    </row>
    <row r="1846" spans="1:7" x14ac:dyDescent="0.25">
      <c r="A1846" t="s">
        <v>5</v>
      </c>
      <c r="B1846">
        <v>1844</v>
      </c>
      <c r="C1846">
        <v>70</v>
      </c>
      <c r="D1846">
        <v>5.1135199069976807</v>
      </c>
      <c r="E1846" t="s">
        <v>10</v>
      </c>
      <c r="F1846" t="s">
        <v>47</v>
      </c>
      <c r="G1846">
        <v>6.5</v>
      </c>
    </row>
    <row r="1847" spans="1:7" x14ac:dyDescent="0.25">
      <c r="A1847" t="s">
        <v>5</v>
      </c>
      <c r="B1847">
        <v>1845</v>
      </c>
      <c r="C1847">
        <v>70</v>
      </c>
      <c r="D1847">
        <v>4.7815454006195068</v>
      </c>
      <c r="E1847" t="s">
        <v>10</v>
      </c>
      <c r="F1847" t="s">
        <v>47</v>
      </c>
      <c r="G1847">
        <v>6.5</v>
      </c>
    </row>
    <row r="1848" spans="1:7" x14ac:dyDescent="0.25">
      <c r="A1848" t="s">
        <v>5</v>
      </c>
      <c r="B1848">
        <v>1846</v>
      </c>
      <c r="C1848">
        <v>100</v>
      </c>
      <c r="D1848">
        <v>3.632638692855835</v>
      </c>
      <c r="E1848" t="s">
        <v>10</v>
      </c>
      <c r="F1848" t="s">
        <v>47</v>
      </c>
      <c r="G1848">
        <v>6.5</v>
      </c>
    </row>
    <row r="1849" spans="1:7" x14ac:dyDescent="0.25">
      <c r="A1849" t="s">
        <v>5</v>
      </c>
      <c r="B1849">
        <v>1847</v>
      </c>
      <c r="C1849">
        <v>80</v>
      </c>
      <c r="D1849">
        <v>3.9294922351837158</v>
      </c>
      <c r="E1849" t="s">
        <v>10</v>
      </c>
      <c r="F1849" t="s">
        <v>47</v>
      </c>
      <c r="G1849">
        <v>6.5</v>
      </c>
    </row>
    <row r="1850" spans="1:7" x14ac:dyDescent="0.25">
      <c r="A1850" t="s">
        <v>5</v>
      </c>
      <c r="B1850">
        <v>1848</v>
      </c>
      <c r="C1850">
        <v>15</v>
      </c>
      <c r="D1850">
        <v>3.5166411399841309</v>
      </c>
      <c r="E1850" t="s">
        <v>10</v>
      </c>
      <c r="F1850" t="s">
        <v>47</v>
      </c>
      <c r="G1850">
        <v>6.5</v>
      </c>
    </row>
    <row r="1851" spans="1:7" x14ac:dyDescent="0.25">
      <c r="A1851" t="s">
        <v>5</v>
      </c>
      <c r="B1851">
        <v>1849</v>
      </c>
      <c r="C1851">
        <v>100</v>
      </c>
      <c r="D1851">
        <v>6.3162477016448975</v>
      </c>
      <c r="E1851" t="s">
        <v>10</v>
      </c>
      <c r="F1851" t="s">
        <v>47</v>
      </c>
      <c r="G1851">
        <v>6.5</v>
      </c>
    </row>
    <row r="1852" spans="1:7" x14ac:dyDescent="0.25">
      <c r="A1852" t="s">
        <v>5</v>
      </c>
      <c r="B1852">
        <v>1850</v>
      </c>
      <c r="C1852">
        <v>17</v>
      </c>
      <c r="D1852">
        <v>3.1534028053283691</v>
      </c>
      <c r="E1852" t="s">
        <v>10</v>
      </c>
      <c r="F1852" t="s">
        <v>47</v>
      </c>
      <c r="G1852">
        <v>6.5</v>
      </c>
    </row>
    <row r="1853" spans="1:7" x14ac:dyDescent="0.25">
      <c r="A1853" t="s">
        <v>5</v>
      </c>
      <c r="B1853">
        <v>1851</v>
      </c>
      <c r="C1853">
        <v>14</v>
      </c>
      <c r="D1853">
        <v>3.749924898147583</v>
      </c>
      <c r="E1853" t="s">
        <v>10</v>
      </c>
      <c r="F1853" t="s">
        <v>47</v>
      </c>
      <c r="G1853">
        <v>6.5</v>
      </c>
    </row>
    <row r="1854" spans="1:7" x14ac:dyDescent="0.25">
      <c r="A1854" t="s">
        <v>5</v>
      </c>
      <c r="B1854">
        <v>1852</v>
      </c>
      <c r="C1854">
        <v>40</v>
      </c>
      <c r="D1854">
        <v>4.6778156757354736</v>
      </c>
      <c r="E1854" t="s">
        <v>10</v>
      </c>
      <c r="F1854" t="s">
        <v>47</v>
      </c>
      <c r="G1854">
        <v>6.5</v>
      </c>
    </row>
    <row r="1855" spans="1:7" x14ac:dyDescent="0.25">
      <c r="A1855" t="s">
        <v>5</v>
      </c>
      <c r="B1855">
        <v>1853</v>
      </c>
      <c r="C1855">
        <v>30</v>
      </c>
      <c r="D1855">
        <v>4.6352314949035645</v>
      </c>
      <c r="E1855" t="s">
        <v>10</v>
      </c>
      <c r="F1855" t="s">
        <v>47</v>
      </c>
      <c r="G1855">
        <v>6.5</v>
      </c>
    </row>
    <row r="1856" spans="1:7" x14ac:dyDescent="0.25">
      <c r="A1856" t="s">
        <v>5</v>
      </c>
      <c r="B1856">
        <v>1854</v>
      </c>
      <c r="C1856">
        <v>27</v>
      </c>
      <c r="D1856">
        <v>8.3326079845428467</v>
      </c>
      <c r="E1856" t="s">
        <v>10</v>
      </c>
      <c r="F1856" t="s">
        <v>47</v>
      </c>
      <c r="G1856">
        <v>6.5</v>
      </c>
    </row>
    <row r="1857" spans="1:7" x14ac:dyDescent="0.25">
      <c r="A1857" t="s">
        <v>5</v>
      </c>
      <c r="B1857">
        <v>1855</v>
      </c>
      <c r="C1857">
        <v>70</v>
      </c>
      <c r="D1857">
        <v>7.9000039100646973</v>
      </c>
      <c r="E1857" t="s">
        <v>10</v>
      </c>
      <c r="F1857" t="s">
        <v>47</v>
      </c>
      <c r="G1857">
        <v>6.5</v>
      </c>
    </row>
    <row r="1858" spans="1:7" x14ac:dyDescent="0.25">
      <c r="A1858" t="s">
        <v>5</v>
      </c>
      <c r="B1858">
        <v>1856</v>
      </c>
      <c r="C1858">
        <v>37</v>
      </c>
      <c r="D1858">
        <v>4.9939990043640137</v>
      </c>
      <c r="E1858" t="s">
        <v>10</v>
      </c>
      <c r="F1858" t="s">
        <v>54</v>
      </c>
      <c r="G1858">
        <v>10</v>
      </c>
    </row>
    <row r="1859" spans="1:7" x14ac:dyDescent="0.25">
      <c r="A1859" t="s">
        <v>5</v>
      </c>
      <c r="B1859">
        <v>1857</v>
      </c>
      <c r="C1859">
        <v>14</v>
      </c>
      <c r="D1859">
        <v>4.8497967720031738</v>
      </c>
      <c r="E1859" t="s">
        <v>10</v>
      </c>
      <c r="F1859" t="s">
        <v>54</v>
      </c>
      <c r="G1859">
        <v>10</v>
      </c>
    </row>
    <row r="1860" spans="1:7" x14ac:dyDescent="0.25">
      <c r="A1860" t="s">
        <v>5</v>
      </c>
      <c r="B1860">
        <v>1858</v>
      </c>
      <c r="C1860">
        <v>100</v>
      </c>
      <c r="D1860">
        <v>8.2504041194915771</v>
      </c>
      <c r="E1860" t="s">
        <v>10</v>
      </c>
      <c r="F1860" t="s">
        <v>54</v>
      </c>
      <c r="G1860">
        <v>10</v>
      </c>
    </row>
    <row r="1861" spans="1:7" x14ac:dyDescent="0.25">
      <c r="A1861" t="s">
        <v>5</v>
      </c>
      <c r="B1861">
        <v>1859</v>
      </c>
      <c r="C1861">
        <v>65</v>
      </c>
      <c r="D1861">
        <v>8.6606805324554443</v>
      </c>
      <c r="E1861" t="s">
        <v>10</v>
      </c>
      <c r="F1861" t="s">
        <v>46</v>
      </c>
      <c r="G1861">
        <v>4.3</v>
      </c>
    </row>
    <row r="1862" spans="1:7" x14ac:dyDescent="0.25">
      <c r="A1862" t="s">
        <v>5</v>
      </c>
      <c r="B1862">
        <v>1860</v>
      </c>
      <c r="C1862">
        <v>47</v>
      </c>
      <c r="D1862">
        <v>3.5220499038696289</v>
      </c>
      <c r="E1862" t="s">
        <v>10</v>
      </c>
      <c r="F1862" t="s">
        <v>43</v>
      </c>
      <c r="G1862">
        <v>3.7</v>
      </c>
    </row>
    <row r="1863" spans="1:7" x14ac:dyDescent="0.25">
      <c r="A1863" t="s">
        <v>5</v>
      </c>
      <c r="B1863">
        <v>1861</v>
      </c>
      <c r="C1863">
        <v>80</v>
      </c>
      <c r="D1863">
        <v>3.7318704128265381</v>
      </c>
      <c r="E1863" t="s">
        <v>10</v>
      </c>
      <c r="F1863" t="s">
        <v>43</v>
      </c>
      <c r="G1863">
        <v>5</v>
      </c>
    </row>
    <row r="1864" spans="1:7" x14ac:dyDescent="0.25">
      <c r="A1864" t="s">
        <v>5</v>
      </c>
      <c r="B1864">
        <v>1862</v>
      </c>
      <c r="C1864">
        <v>80</v>
      </c>
      <c r="D1864">
        <v>5.6551427841186523</v>
      </c>
      <c r="E1864" t="s">
        <v>10</v>
      </c>
      <c r="F1864" t="s">
        <v>43</v>
      </c>
      <c r="G1864">
        <v>5</v>
      </c>
    </row>
    <row r="1865" spans="1:7" x14ac:dyDescent="0.25">
      <c r="A1865" t="s">
        <v>5</v>
      </c>
      <c r="B1865">
        <v>1863</v>
      </c>
      <c r="C1865">
        <v>50</v>
      </c>
      <c r="D1865">
        <v>4.9400851726531982</v>
      </c>
      <c r="E1865" t="s">
        <v>10</v>
      </c>
      <c r="F1865" t="s">
        <v>43</v>
      </c>
      <c r="G1865">
        <v>5</v>
      </c>
    </row>
    <row r="1866" spans="1:7" x14ac:dyDescent="0.25">
      <c r="A1866" t="s">
        <v>5</v>
      </c>
      <c r="B1866">
        <v>1864</v>
      </c>
      <c r="C1866">
        <v>47</v>
      </c>
      <c r="D1866">
        <v>7.4176480770111084</v>
      </c>
      <c r="E1866" t="s">
        <v>10</v>
      </c>
      <c r="F1866" t="s">
        <v>43</v>
      </c>
      <c r="G1866">
        <v>5</v>
      </c>
    </row>
    <row r="1867" spans="1:7" x14ac:dyDescent="0.25">
      <c r="A1867" t="s">
        <v>5</v>
      </c>
      <c r="B1867">
        <v>1865</v>
      </c>
      <c r="C1867">
        <v>100</v>
      </c>
      <c r="D1867">
        <v>6.0791447162628174</v>
      </c>
      <c r="E1867" t="s">
        <v>10</v>
      </c>
      <c r="F1867" t="s">
        <v>43</v>
      </c>
      <c r="G1867">
        <v>5</v>
      </c>
    </row>
    <row r="1868" spans="1:7" x14ac:dyDescent="0.25">
      <c r="A1868" t="s">
        <v>5</v>
      </c>
      <c r="B1868">
        <v>1866</v>
      </c>
      <c r="C1868">
        <v>37</v>
      </c>
      <c r="D1868">
        <v>5.2680745124816895</v>
      </c>
      <c r="E1868" t="s">
        <v>10</v>
      </c>
      <c r="F1868" t="s">
        <v>43</v>
      </c>
      <c r="G1868">
        <v>5</v>
      </c>
    </row>
    <row r="1869" spans="1:7" x14ac:dyDescent="0.25">
      <c r="A1869" t="s">
        <v>5</v>
      </c>
      <c r="B1869">
        <v>1867</v>
      </c>
      <c r="C1869">
        <v>50</v>
      </c>
      <c r="D1869">
        <v>5.954167366027832</v>
      </c>
      <c r="E1869" t="s">
        <v>10</v>
      </c>
      <c r="F1869" t="s">
        <v>43</v>
      </c>
      <c r="G1869">
        <v>5</v>
      </c>
    </row>
    <row r="1870" spans="1:7" x14ac:dyDescent="0.25">
      <c r="A1870" t="s">
        <v>5</v>
      </c>
      <c r="B1870">
        <v>1868</v>
      </c>
      <c r="C1870">
        <v>90</v>
      </c>
      <c r="D1870">
        <v>4.8991603851318359</v>
      </c>
      <c r="E1870" t="s">
        <v>10</v>
      </c>
      <c r="F1870" t="s">
        <v>41</v>
      </c>
      <c r="G1870">
        <v>4.4000000000000004</v>
      </c>
    </row>
    <row r="1871" spans="1:7" x14ac:dyDescent="0.25">
      <c r="A1871" t="s">
        <v>5</v>
      </c>
      <c r="B1871">
        <v>1869</v>
      </c>
      <c r="C1871">
        <v>100</v>
      </c>
      <c r="D1871">
        <v>4.0478196144104004</v>
      </c>
      <c r="E1871" t="s">
        <v>10</v>
      </c>
      <c r="F1871" t="s">
        <v>43</v>
      </c>
      <c r="G1871">
        <v>1.7</v>
      </c>
    </row>
    <row r="1872" spans="1:7" x14ac:dyDescent="0.25">
      <c r="A1872" t="s">
        <v>5</v>
      </c>
      <c r="B1872">
        <v>1870</v>
      </c>
      <c r="C1872">
        <v>37</v>
      </c>
      <c r="D1872">
        <v>3.4408068656921387</v>
      </c>
      <c r="E1872" t="s">
        <v>10</v>
      </c>
      <c r="F1872" t="s">
        <v>43</v>
      </c>
      <c r="G1872">
        <v>4.9000000000000004</v>
      </c>
    </row>
    <row r="1873" spans="1:7" x14ac:dyDescent="0.25">
      <c r="A1873" t="s">
        <v>5</v>
      </c>
      <c r="B1873">
        <v>1871</v>
      </c>
      <c r="C1873">
        <v>21</v>
      </c>
      <c r="D1873">
        <v>5.5156519412994385</v>
      </c>
      <c r="E1873" t="s">
        <v>10</v>
      </c>
      <c r="F1873" t="s">
        <v>56</v>
      </c>
      <c r="G1873">
        <v>7.2</v>
      </c>
    </row>
    <row r="1874" spans="1:7" x14ac:dyDescent="0.25">
      <c r="A1874" t="s">
        <v>5</v>
      </c>
      <c r="B1874">
        <v>1872</v>
      </c>
      <c r="C1874">
        <v>100</v>
      </c>
      <c r="D1874">
        <v>4.9023144245147705</v>
      </c>
      <c r="E1874" t="s">
        <v>10</v>
      </c>
      <c r="F1874" t="s">
        <v>61</v>
      </c>
      <c r="G1874">
        <v>2.6</v>
      </c>
    </row>
    <row r="1875" spans="1:7" x14ac:dyDescent="0.25">
      <c r="A1875" t="s">
        <v>5</v>
      </c>
      <c r="B1875">
        <v>1873</v>
      </c>
      <c r="C1875">
        <v>91</v>
      </c>
      <c r="D1875">
        <v>9.9192256927490234</v>
      </c>
      <c r="E1875" t="s">
        <v>10</v>
      </c>
      <c r="F1875" t="s">
        <v>43</v>
      </c>
      <c r="G1875">
        <v>1.9</v>
      </c>
    </row>
    <row r="1876" spans="1:7" x14ac:dyDescent="0.25">
      <c r="A1876" t="s">
        <v>5</v>
      </c>
      <c r="B1876">
        <v>1874</v>
      </c>
      <c r="C1876">
        <v>37</v>
      </c>
      <c r="D1876">
        <v>4.6311178207397461</v>
      </c>
      <c r="E1876" t="s">
        <v>10</v>
      </c>
      <c r="F1876" t="s">
        <v>43</v>
      </c>
      <c r="G1876">
        <v>2.1</v>
      </c>
    </row>
    <row r="1877" spans="1:7" x14ac:dyDescent="0.25">
      <c r="A1877" t="s">
        <v>5</v>
      </c>
      <c r="B1877">
        <v>1875</v>
      </c>
      <c r="C1877">
        <v>100</v>
      </c>
      <c r="D1877">
        <v>5.1801774501800537</v>
      </c>
      <c r="E1877" t="s">
        <v>10</v>
      </c>
      <c r="F1877" t="s">
        <v>43</v>
      </c>
      <c r="G1877">
        <v>1.7</v>
      </c>
    </row>
    <row r="1878" spans="1:7" x14ac:dyDescent="0.25">
      <c r="A1878" t="s">
        <v>5</v>
      </c>
      <c r="B1878">
        <v>1876</v>
      </c>
      <c r="C1878">
        <v>47</v>
      </c>
      <c r="D1878">
        <v>3.3297216892242432</v>
      </c>
      <c r="E1878" t="s">
        <v>10</v>
      </c>
      <c r="F1878" t="s">
        <v>46</v>
      </c>
      <c r="G1878">
        <v>6.8</v>
      </c>
    </row>
    <row r="1879" spans="1:7" x14ac:dyDescent="0.25">
      <c r="A1879" t="s">
        <v>5</v>
      </c>
      <c r="B1879">
        <v>1877</v>
      </c>
      <c r="C1879">
        <v>31</v>
      </c>
      <c r="D1879">
        <v>14.829257249832153</v>
      </c>
      <c r="E1879" t="s">
        <v>10</v>
      </c>
      <c r="F1879" t="s">
        <v>42</v>
      </c>
      <c r="G1879">
        <v>10</v>
      </c>
    </row>
    <row r="1880" spans="1:7" x14ac:dyDescent="0.25">
      <c r="A1880" t="s">
        <v>5</v>
      </c>
      <c r="B1880">
        <v>1878</v>
      </c>
      <c r="C1880">
        <v>57</v>
      </c>
      <c r="D1880">
        <v>14.319273710250854</v>
      </c>
      <c r="E1880" t="s">
        <v>10</v>
      </c>
      <c r="F1880" t="s">
        <v>46</v>
      </c>
      <c r="G1880">
        <v>5</v>
      </c>
    </row>
    <row r="1881" spans="1:7" x14ac:dyDescent="0.25">
      <c r="A1881" t="s">
        <v>5</v>
      </c>
      <c r="B1881">
        <v>1879</v>
      </c>
      <c r="C1881">
        <v>80</v>
      </c>
      <c r="D1881">
        <v>4.7673263549804688</v>
      </c>
      <c r="E1881" t="s">
        <v>10</v>
      </c>
      <c r="F1881" t="s">
        <v>41</v>
      </c>
      <c r="G1881">
        <v>5</v>
      </c>
    </row>
    <row r="1882" spans="1:7" x14ac:dyDescent="0.25">
      <c r="A1882" t="s">
        <v>5</v>
      </c>
      <c r="B1882">
        <v>1880</v>
      </c>
      <c r="C1882">
        <v>20</v>
      </c>
      <c r="D1882">
        <v>3.438936710357666</v>
      </c>
      <c r="E1882" t="s">
        <v>10</v>
      </c>
      <c r="F1882" t="s">
        <v>46</v>
      </c>
      <c r="G1882">
        <v>4.3</v>
      </c>
    </row>
    <row r="1883" spans="1:7" x14ac:dyDescent="0.25">
      <c r="A1883" t="s">
        <v>5</v>
      </c>
      <c r="B1883">
        <v>1881</v>
      </c>
      <c r="C1883">
        <v>100</v>
      </c>
      <c r="D1883">
        <v>8.531031608581543</v>
      </c>
      <c r="E1883" t="s">
        <v>10</v>
      </c>
      <c r="F1883" t="s">
        <v>46</v>
      </c>
      <c r="G1883">
        <v>4.3</v>
      </c>
    </row>
    <row r="1884" spans="1:7" x14ac:dyDescent="0.25">
      <c r="A1884" t="s">
        <v>5</v>
      </c>
      <c r="B1884">
        <v>1882</v>
      </c>
      <c r="C1884">
        <v>100</v>
      </c>
      <c r="D1884">
        <v>5.4149012565612793</v>
      </c>
      <c r="E1884" t="s">
        <v>10</v>
      </c>
      <c r="F1884" t="s">
        <v>46</v>
      </c>
      <c r="G1884">
        <v>4.3</v>
      </c>
    </row>
    <row r="1885" spans="1:7" x14ac:dyDescent="0.25">
      <c r="A1885" t="s">
        <v>5</v>
      </c>
      <c r="B1885">
        <v>1883</v>
      </c>
      <c r="C1885">
        <v>57</v>
      </c>
      <c r="D1885">
        <v>9.361891508102417</v>
      </c>
      <c r="E1885" t="s">
        <v>10</v>
      </c>
      <c r="F1885" t="s">
        <v>46</v>
      </c>
      <c r="G1885">
        <v>4.3</v>
      </c>
    </row>
    <row r="1886" spans="1:7" x14ac:dyDescent="0.25">
      <c r="A1886" t="s">
        <v>5</v>
      </c>
      <c r="B1886">
        <v>1884</v>
      </c>
      <c r="C1886">
        <v>37</v>
      </c>
      <c r="D1886">
        <v>5.0442347526550293</v>
      </c>
      <c r="E1886" t="s">
        <v>10</v>
      </c>
      <c r="F1886" t="s">
        <v>43</v>
      </c>
      <c r="G1886">
        <v>2.1</v>
      </c>
    </row>
    <row r="1887" spans="1:7" x14ac:dyDescent="0.25">
      <c r="A1887" t="s">
        <v>5</v>
      </c>
      <c r="B1887">
        <v>1885</v>
      </c>
      <c r="C1887">
        <v>80</v>
      </c>
      <c r="D1887">
        <v>6.1841714382171631</v>
      </c>
      <c r="E1887" t="s">
        <v>10</v>
      </c>
      <c r="F1887" t="s">
        <v>49</v>
      </c>
      <c r="G1887">
        <v>6.9</v>
      </c>
    </row>
    <row r="1888" spans="1:7" x14ac:dyDescent="0.25">
      <c r="A1888" t="s">
        <v>5</v>
      </c>
      <c r="B1888">
        <v>1886</v>
      </c>
      <c r="C1888">
        <v>100</v>
      </c>
      <c r="D1888">
        <v>9.7713379859924316</v>
      </c>
      <c r="E1888" t="s">
        <v>10</v>
      </c>
      <c r="F1888" t="s">
        <v>49</v>
      </c>
      <c r="G1888">
        <v>6.9</v>
      </c>
    </row>
    <row r="1889" spans="1:7" x14ac:dyDescent="0.25">
      <c r="A1889" t="s">
        <v>5</v>
      </c>
      <c r="B1889">
        <v>1887</v>
      </c>
      <c r="C1889">
        <v>10</v>
      </c>
      <c r="D1889">
        <v>2.8454546928405762</v>
      </c>
      <c r="E1889" t="s">
        <v>10</v>
      </c>
      <c r="F1889" t="s">
        <v>49</v>
      </c>
      <c r="G1889">
        <v>6.9</v>
      </c>
    </row>
    <row r="1890" spans="1:7" x14ac:dyDescent="0.25">
      <c r="A1890" t="s">
        <v>5</v>
      </c>
      <c r="B1890">
        <v>1888</v>
      </c>
      <c r="C1890">
        <v>15</v>
      </c>
      <c r="D1890">
        <v>2.5968296527862549</v>
      </c>
      <c r="E1890" t="s">
        <v>10</v>
      </c>
      <c r="F1890" t="s">
        <v>49</v>
      </c>
      <c r="G1890">
        <v>6.9</v>
      </c>
    </row>
    <row r="1891" spans="1:7" x14ac:dyDescent="0.25">
      <c r="A1891" t="s">
        <v>5</v>
      </c>
      <c r="B1891">
        <v>1889</v>
      </c>
      <c r="C1891">
        <v>37</v>
      </c>
      <c r="D1891">
        <v>3.0332877635955811</v>
      </c>
      <c r="E1891" t="s">
        <v>10</v>
      </c>
      <c r="F1891" t="s">
        <v>49</v>
      </c>
      <c r="G1891">
        <v>6.9</v>
      </c>
    </row>
    <row r="1892" spans="1:7" x14ac:dyDescent="0.25">
      <c r="A1892" t="s">
        <v>5</v>
      </c>
      <c r="B1892">
        <v>1890</v>
      </c>
      <c r="C1892">
        <v>21</v>
      </c>
      <c r="D1892">
        <v>3.8619906902313232</v>
      </c>
      <c r="E1892" t="s">
        <v>10</v>
      </c>
      <c r="F1892" t="s">
        <v>41</v>
      </c>
      <c r="G1892">
        <v>4.9000000000000004</v>
      </c>
    </row>
    <row r="1893" spans="1:7" x14ac:dyDescent="0.25">
      <c r="A1893" t="s">
        <v>5</v>
      </c>
      <c r="B1893">
        <v>1891</v>
      </c>
      <c r="C1893">
        <v>30</v>
      </c>
      <c r="D1893">
        <v>3.1472413539886475</v>
      </c>
      <c r="E1893" t="s">
        <v>10</v>
      </c>
      <c r="F1893" t="s">
        <v>41</v>
      </c>
      <c r="G1893">
        <v>4.9000000000000004</v>
      </c>
    </row>
    <row r="1894" spans="1:7" x14ac:dyDescent="0.25">
      <c r="A1894" t="s">
        <v>5</v>
      </c>
      <c r="B1894">
        <v>1892</v>
      </c>
      <c r="C1894">
        <v>30</v>
      </c>
      <c r="D1894">
        <v>5.7653806209564209</v>
      </c>
      <c r="E1894" t="s">
        <v>10</v>
      </c>
      <c r="F1894" t="s">
        <v>58</v>
      </c>
      <c r="G1894">
        <v>6.9</v>
      </c>
    </row>
    <row r="1895" spans="1:7" x14ac:dyDescent="0.25">
      <c r="A1895" t="s">
        <v>5</v>
      </c>
      <c r="B1895">
        <v>1893</v>
      </c>
      <c r="C1895">
        <v>100</v>
      </c>
      <c r="D1895">
        <v>4.6392512321472168</v>
      </c>
      <c r="E1895" t="s">
        <v>10</v>
      </c>
      <c r="F1895" t="s">
        <v>56</v>
      </c>
      <c r="G1895">
        <v>7.2</v>
      </c>
    </row>
    <row r="1896" spans="1:7" x14ac:dyDescent="0.25">
      <c r="A1896" t="s">
        <v>5</v>
      </c>
      <c r="B1896">
        <v>1894</v>
      </c>
      <c r="C1896">
        <v>85</v>
      </c>
      <c r="D1896">
        <v>10.476701736450195</v>
      </c>
      <c r="E1896" t="s">
        <v>10</v>
      </c>
      <c r="F1896" t="s">
        <v>43</v>
      </c>
      <c r="G1896">
        <v>2.9</v>
      </c>
    </row>
    <row r="1897" spans="1:7" x14ac:dyDescent="0.25">
      <c r="A1897" t="s">
        <v>5</v>
      </c>
      <c r="B1897">
        <v>1895</v>
      </c>
      <c r="C1897">
        <v>0</v>
      </c>
      <c r="D1897">
        <v>15.456293821334839</v>
      </c>
      <c r="E1897" t="s">
        <v>10</v>
      </c>
      <c r="F1897" t="s">
        <v>41</v>
      </c>
      <c r="G1897">
        <v>7.1</v>
      </c>
    </row>
    <row r="1898" spans="1:7" x14ac:dyDescent="0.25">
      <c r="A1898" t="s">
        <v>5</v>
      </c>
      <c r="B1898">
        <v>1896</v>
      </c>
      <c r="C1898">
        <v>49</v>
      </c>
      <c r="D1898">
        <v>5.9384057521820068</v>
      </c>
      <c r="E1898" t="s">
        <v>10</v>
      </c>
      <c r="F1898" t="s">
        <v>58</v>
      </c>
      <c r="G1898">
        <v>5.5</v>
      </c>
    </row>
    <row r="1899" spans="1:7" x14ac:dyDescent="0.25">
      <c r="A1899" t="s">
        <v>5</v>
      </c>
      <c r="B1899">
        <v>1897</v>
      </c>
      <c r="C1899">
        <v>20</v>
      </c>
      <c r="D1899">
        <v>8.6876702308654785</v>
      </c>
      <c r="E1899" t="s">
        <v>10</v>
      </c>
      <c r="F1899" t="s">
        <v>58</v>
      </c>
      <c r="G1899">
        <v>5.5</v>
      </c>
    </row>
    <row r="1900" spans="1:7" x14ac:dyDescent="0.25">
      <c r="A1900" t="s">
        <v>5</v>
      </c>
      <c r="B1900">
        <v>1898</v>
      </c>
      <c r="C1900">
        <v>87</v>
      </c>
      <c r="D1900">
        <v>8.8978605270385742</v>
      </c>
      <c r="E1900" t="s">
        <v>10</v>
      </c>
      <c r="F1900" t="s">
        <v>65</v>
      </c>
      <c r="G1900">
        <v>6.2</v>
      </c>
    </row>
    <row r="1901" spans="1:7" x14ac:dyDescent="0.25">
      <c r="A1901" t="s">
        <v>5</v>
      </c>
      <c r="B1901">
        <v>1899</v>
      </c>
      <c r="C1901">
        <v>70</v>
      </c>
      <c r="D1901">
        <v>4.4944865703582764</v>
      </c>
      <c r="E1901" t="s">
        <v>10</v>
      </c>
      <c r="F1901" t="s">
        <v>39</v>
      </c>
      <c r="G1901">
        <v>6.5</v>
      </c>
    </row>
    <row r="1902" spans="1:7" x14ac:dyDescent="0.25">
      <c r="A1902" t="s">
        <v>5</v>
      </c>
      <c r="B1902">
        <v>1900</v>
      </c>
      <c r="C1902">
        <v>100</v>
      </c>
      <c r="D1902">
        <v>7.8609087467193604</v>
      </c>
      <c r="E1902" t="s">
        <v>10</v>
      </c>
      <c r="F1902" t="s">
        <v>39</v>
      </c>
      <c r="G1902">
        <v>6.5</v>
      </c>
    </row>
    <row r="1903" spans="1:7" x14ac:dyDescent="0.25">
      <c r="A1903" t="s">
        <v>5</v>
      </c>
      <c r="B1903">
        <v>1901</v>
      </c>
      <c r="C1903">
        <v>80</v>
      </c>
      <c r="D1903">
        <v>5.6811416149139404</v>
      </c>
      <c r="E1903" t="s">
        <v>10</v>
      </c>
      <c r="F1903" t="s">
        <v>39</v>
      </c>
      <c r="G1903">
        <v>6.5</v>
      </c>
    </row>
    <row r="1904" spans="1:7" x14ac:dyDescent="0.25">
      <c r="A1904" t="s">
        <v>5</v>
      </c>
      <c r="B1904">
        <v>1902</v>
      </c>
      <c r="C1904">
        <v>37</v>
      </c>
      <c r="D1904">
        <v>4.8467428684234619</v>
      </c>
      <c r="E1904" t="s">
        <v>10</v>
      </c>
      <c r="F1904" t="s">
        <v>42</v>
      </c>
      <c r="G1904">
        <v>7.4</v>
      </c>
    </row>
    <row r="1905" spans="1:7" x14ac:dyDescent="0.25">
      <c r="A1905" t="s">
        <v>5</v>
      </c>
      <c r="B1905">
        <v>1903</v>
      </c>
      <c r="C1905">
        <v>100</v>
      </c>
      <c r="D1905">
        <v>3.9900617599487305</v>
      </c>
      <c r="E1905" t="s">
        <v>10</v>
      </c>
      <c r="F1905" t="s">
        <v>56</v>
      </c>
      <c r="G1905">
        <v>6.9</v>
      </c>
    </row>
    <row r="1906" spans="1:7" x14ac:dyDescent="0.25">
      <c r="A1906" t="s">
        <v>5</v>
      </c>
      <c r="B1906">
        <v>1904</v>
      </c>
      <c r="C1906">
        <v>100</v>
      </c>
      <c r="D1906">
        <v>7.123115062713623</v>
      </c>
      <c r="E1906" t="s">
        <v>10</v>
      </c>
      <c r="F1906" t="s">
        <v>41</v>
      </c>
      <c r="G1906">
        <v>4.5999999999999996</v>
      </c>
    </row>
    <row r="1907" spans="1:7" x14ac:dyDescent="0.25">
      <c r="A1907" t="s">
        <v>5</v>
      </c>
      <c r="B1907">
        <v>1905</v>
      </c>
      <c r="C1907">
        <v>21</v>
      </c>
      <c r="D1907">
        <v>4.0413548946380615</v>
      </c>
      <c r="E1907" t="s">
        <v>10</v>
      </c>
      <c r="F1907" t="s">
        <v>41</v>
      </c>
      <c r="G1907">
        <v>4.7</v>
      </c>
    </row>
    <row r="1908" spans="1:7" x14ac:dyDescent="0.25">
      <c r="A1908" t="s">
        <v>5</v>
      </c>
      <c r="B1908">
        <v>1906</v>
      </c>
      <c r="C1908">
        <v>37</v>
      </c>
      <c r="D1908">
        <v>4.2266216278076172</v>
      </c>
      <c r="E1908" t="s">
        <v>10</v>
      </c>
      <c r="F1908" t="s">
        <v>41</v>
      </c>
      <c r="G1908">
        <v>5</v>
      </c>
    </row>
    <row r="1909" spans="1:7" x14ac:dyDescent="0.25">
      <c r="A1909" t="s">
        <v>5</v>
      </c>
      <c r="B1909">
        <v>1907</v>
      </c>
      <c r="C1909">
        <v>37</v>
      </c>
      <c r="D1909">
        <v>4.9525330066680908</v>
      </c>
      <c r="E1909" t="s">
        <v>10</v>
      </c>
      <c r="F1909" t="s">
        <v>41</v>
      </c>
      <c r="G1909">
        <v>5</v>
      </c>
    </row>
    <row r="1910" spans="1:7" x14ac:dyDescent="0.25">
      <c r="A1910" t="s">
        <v>5</v>
      </c>
      <c r="B1910">
        <v>1908</v>
      </c>
      <c r="C1910">
        <v>70</v>
      </c>
      <c r="D1910">
        <v>4.2482941150665283</v>
      </c>
      <c r="E1910" t="s">
        <v>10</v>
      </c>
      <c r="F1910" t="s">
        <v>41</v>
      </c>
      <c r="G1910">
        <v>5</v>
      </c>
    </row>
    <row r="1911" spans="1:7" x14ac:dyDescent="0.25">
      <c r="A1911" t="s">
        <v>5</v>
      </c>
      <c r="B1911">
        <v>1909</v>
      </c>
      <c r="C1911">
        <v>90</v>
      </c>
      <c r="D1911">
        <v>4.3930332660675049</v>
      </c>
      <c r="E1911" t="s">
        <v>10</v>
      </c>
      <c r="F1911" t="s">
        <v>41</v>
      </c>
      <c r="G1911">
        <v>5</v>
      </c>
    </row>
    <row r="1912" spans="1:7" x14ac:dyDescent="0.25">
      <c r="A1912" t="s">
        <v>5</v>
      </c>
      <c r="B1912">
        <v>1910</v>
      </c>
      <c r="C1912">
        <v>76</v>
      </c>
      <c r="D1912">
        <v>16.068044900894165</v>
      </c>
      <c r="E1912" t="s">
        <v>10</v>
      </c>
      <c r="F1912" t="s">
        <v>41</v>
      </c>
      <c r="G1912">
        <v>5</v>
      </c>
    </row>
    <row r="1913" spans="1:7" x14ac:dyDescent="0.25">
      <c r="A1913" t="s">
        <v>5</v>
      </c>
      <c r="B1913">
        <v>1911</v>
      </c>
      <c r="C1913">
        <v>10</v>
      </c>
      <c r="D1913">
        <v>4.9845306873321533</v>
      </c>
      <c r="E1913" t="s">
        <v>10</v>
      </c>
      <c r="F1913" t="s">
        <v>41</v>
      </c>
      <c r="G1913">
        <v>5</v>
      </c>
    </row>
    <row r="1914" spans="1:7" x14ac:dyDescent="0.25">
      <c r="A1914" t="s">
        <v>5</v>
      </c>
      <c r="B1914">
        <v>1912</v>
      </c>
      <c r="C1914">
        <v>30</v>
      </c>
      <c r="D1914">
        <v>4.2019116878509521</v>
      </c>
      <c r="E1914" t="s">
        <v>10</v>
      </c>
      <c r="F1914" t="s">
        <v>43</v>
      </c>
      <c r="G1914">
        <v>4.9000000000000004</v>
      </c>
    </row>
    <row r="1915" spans="1:7" x14ac:dyDescent="0.25">
      <c r="A1915" t="s">
        <v>5</v>
      </c>
      <c r="B1915">
        <v>1913</v>
      </c>
      <c r="C1915">
        <v>40</v>
      </c>
      <c r="D1915">
        <v>7.1219439506530762</v>
      </c>
      <c r="E1915" t="s">
        <v>10</v>
      </c>
      <c r="F1915" t="s">
        <v>43</v>
      </c>
      <c r="G1915">
        <v>4.9000000000000004</v>
      </c>
    </row>
    <row r="1916" spans="1:7" x14ac:dyDescent="0.25">
      <c r="A1916" t="s">
        <v>5</v>
      </c>
      <c r="B1916">
        <v>1914</v>
      </c>
      <c r="C1916">
        <v>30</v>
      </c>
      <c r="D1916">
        <v>4.8072319030761719</v>
      </c>
      <c r="E1916" t="s">
        <v>10</v>
      </c>
      <c r="F1916" t="s">
        <v>43</v>
      </c>
      <c r="G1916">
        <v>4.9000000000000004</v>
      </c>
    </row>
    <row r="1917" spans="1:7" x14ac:dyDescent="0.25">
      <c r="A1917" t="s">
        <v>5</v>
      </c>
      <c r="B1917">
        <v>1915</v>
      </c>
      <c r="C1917">
        <v>100</v>
      </c>
      <c r="D1917">
        <v>8.2335095405578613</v>
      </c>
      <c r="E1917" t="s">
        <v>10</v>
      </c>
      <c r="F1917" t="s">
        <v>43</v>
      </c>
      <c r="G1917">
        <v>4.9000000000000004</v>
      </c>
    </row>
    <row r="1918" spans="1:7" x14ac:dyDescent="0.25">
      <c r="A1918" t="s">
        <v>5</v>
      </c>
      <c r="B1918">
        <v>1916</v>
      </c>
      <c r="C1918">
        <v>100</v>
      </c>
      <c r="D1918">
        <v>6.2889366149902344</v>
      </c>
      <c r="E1918" t="s">
        <v>10</v>
      </c>
      <c r="F1918" t="s">
        <v>43</v>
      </c>
      <c r="G1918">
        <v>4.9000000000000004</v>
      </c>
    </row>
    <row r="1919" spans="1:7" x14ac:dyDescent="0.25">
      <c r="A1919" t="s">
        <v>5</v>
      </c>
      <c r="B1919">
        <v>1917</v>
      </c>
      <c r="C1919">
        <v>30</v>
      </c>
      <c r="D1919">
        <v>10.422442674636841</v>
      </c>
      <c r="E1919" t="s">
        <v>10</v>
      </c>
      <c r="F1919" t="s">
        <v>43</v>
      </c>
      <c r="G1919">
        <v>4.9000000000000004</v>
      </c>
    </row>
    <row r="1920" spans="1:7" x14ac:dyDescent="0.25">
      <c r="A1920" t="s">
        <v>5</v>
      </c>
      <c r="B1920">
        <v>1918</v>
      </c>
      <c r="C1920">
        <v>30</v>
      </c>
      <c r="D1920">
        <v>4.4951770305633545</v>
      </c>
      <c r="E1920" t="s">
        <v>10</v>
      </c>
      <c r="F1920" t="s">
        <v>43</v>
      </c>
      <c r="G1920">
        <v>4.9000000000000004</v>
      </c>
    </row>
    <row r="1921" spans="1:7" x14ac:dyDescent="0.25">
      <c r="A1921" t="s">
        <v>5</v>
      </c>
      <c r="B1921">
        <v>1919</v>
      </c>
      <c r="C1921">
        <v>30</v>
      </c>
      <c r="D1921">
        <v>4.6460864543914795</v>
      </c>
      <c r="E1921" t="s">
        <v>10</v>
      </c>
      <c r="F1921" t="s">
        <v>43</v>
      </c>
      <c r="G1921">
        <v>4.9000000000000004</v>
      </c>
    </row>
    <row r="1922" spans="1:7" x14ac:dyDescent="0.25">
      <c r="A1922" t="s">
        <v>5</v>
      </c>
      <c r="B1922">
        <v>1920</v>
      </c>
      <c r="C1922">
        <v>15</v>
      </c>
      <c r="D1922">
        <v>4.0447309017181396</v>
      </c>
      <c r="E1922" t="s">
        <v>10</v>
      </c>
      <c r="F1922" t="s">
        <v>43</v>
      </c>
      <c r="G1922">
        <v>4.9000000000000004</v>
      </c>
    </row>
    <row r="1923" spans="1:7" x14ac:dyDescent="0.25">
      <c r="A1923" t="s">
        <v>5</v>
      </c>
      <c r="B1923">
        <v>1921</v>
      </c>
      <c r="C1923">
        <v>80</v>
      </c>
      <c r="D1923">
        <v>5.765657901763916</v>
      </c>
      <c r="E1923" t="s">
        <v>10</v>
      </c>
      <c r="F1923" t="s">
        <v>43</v>
      </c>
      <c r="G1923">
        <v>4.9000000000000004</v>
      </c>
    </row>
    <row r="1924" spans="1:7" x14ac:dyDescent="0.25">
      <c r="A1924" t="s">
        <v>5</v>
      </c>
      <c r="B1924">
        <v>1922</v>
      </c>
      <c r="C1924">
        <v>23</v>
      </c>
      <c r="D1924">
        <v>6.724050760269165</v>
      </c>
      <c r="E1924" t="s">
        <v>10</v>
      </c>
      <c r="F1924" t="s">
        <v>43</v>
      </c>
      <c r="G1924">
        <v>4.9000000000000004</v>
      </c>
    </row>
    <row r="1925" spans="1:7" x14ac:dyDescent="0.25">
      <c r="A1925" t="s">
        <v>5</v>
      </c>
      <c r="B1925">
        <v>1923</v>
      </c>
      <c r="C1925">
        <v>21</v>
      </c>
      <c r="D1925">
        <v>3.7228572368621826</v>
      </c>
      <c r="E1925" t="s">
        <v>10</v>
      </c>
      <c r="F1925" t="s">
        <v>43</v>
      </c>
      <c r="G1925">
        <v>4.9000000000000004</v>
      </c>
    </row>
    <row r="1926" spans="1:7" x14ac:dyDescent="0.25">
      <c r="A1926" t="s">
        <v>5</v>
      </c>
      <c r="B1926">
        <v>1924</v>
      </c>
      <c r="C1926">
        <v>18</v>
      </c>
      <c r="D1926">
        <v>4.926243782043457</v>
      </c>
      <c r="E1926" t="s">
        <v>10</v>
      </c>
      <c r="F1926" t="s">
        <v>43</v>
      </c>
      <c r="G1926">
        <v>4.9000000000000004</v>
      </c>
    </row>
    <row r="1927" spans="1:7" x14ac:dyDescent="0.25">
      <c r="A1927" t="s">
        <v>5</v>
      </c>
      <c r="B1927">
        <v>1925</v>
      </c>
      <c r="C1927">
        <v>15</v>
      </c>
      <c r="D1927">
        <v>4.8255729675292969</v>
      </c>
      <c r="E1927" t="s">
        <v>10</v>
      </c>
      <c r="F1927" t="s">
        <v>43</v>
      </c>
      <c r="G1927">
        <v>4.9000000000000004</v>
      </c>
    </row>
    <row r="1928" spans="1:7" x14ac:dyDescent="0.25">
      <c r="A1928" t="s">
        <v>5</v>
      </c>
      <c r="B1928">
        <v>1926</v>
      </c>
      <c r="C1928">
        <v>70</v>
      </c>
      <c r="D1928">
        <v>6.2344799041748047</v>
      </c>
      <c r="E1928" t="s">
        <v>10</v>
      </c>
      <c r="F1928" t="s">
        <v>43</v>
      </c>
      <c r="G1928">
        <v>4.9000000000000004</v>
      </c>
    </row>
    <row r="1929" spans="1:7" x14ac:dyDescent="0.25">
      <c r="A1929" t="s">
        <v>5</v>
      </c>
      <c r="B1929">
        <v>1927</v>
      </c>
      <c r="C1929">
        <v>30</v>
      </c>
      <c r="D1929">
        <v>4.661196231842041</v>
      </c>
      <c r="E1929" t="s">
        <v>10</v>
      </c>
      <c r="F1929" t="s">
        <v>43</v>
      </c>
      <c r="G1929">
        <v>4.9000000000000004</v>
      </c>
    </row>
    <row r="1930" spans="1:7" x14ac:dyDescent="0.25">
      <c r="A1930" t="s">
        <v>5</v>
      </c>
      <c r="B1930">
        <v>1928</v>
      </c>
      <c r="C1930">
        <v>10</v>
      </c>
      <c r="D1930">
        <v>6.5783984661102295</v>
      </c>
      <c r="E1930" t="s">
        <v>10</v>
      </c>
      <c r="F1930" t="s">
        <v>43</v>
      </c>
      <c r="G1930">
        <v>4.9000000000000004</v>
      </c>
    </row>
    <row r="1931" spans="1:7" x14ac:dyDescent="0.25">
      <c r="A1931" t="s">
        <v>5</v>
      </c>
      <c r="B1931">
        <v>1929</v>
      </c>
      <c r="C1931">
        <v>100</v>
      </c>
      <c r="D1931">
        <v>4.3168010711669922</v>
      </c>
      <c r="E1931" t="s">
        <v>10</v>
      </c>
      <c r="F1931" t="s">
        <v>43</v>
      </c>
      <c r="G1931">
        <v>4.9000000000000004</v>
      </c>
    </row>
    <row r="1932" spans="1:7" x14ac:dyDescent="0.25">
      <c r="A1932" t="s">
        <v>5</v>
      </c>
      <c r="B1932">
        <v>1930</v>
      </c>
      <c r="C1932">
        <v>14</v>
      </c>
      <c r="D1932">
        <v>3.6739749908447266</v>
      </c>
      <c r="E1932" t="s">
        <v>10</v>
      </c>
      <c r="F1932" t="s">
        <v>43</v>
      </c>
      <c r="G1932">
        <v>4.9000000000000004</v>
      </c>
    </row>
    <row r="1933" spans="1:7" x14ac:dyDescent="0.25">
      <c r="A1933" t="s">
        <v>5</v>
      </c>
      <c r="B1933">
        <v>1931</v>
      </c>
      <c r="C1933">
        <v>30</v>
      </c>
      <c r="D1933">
        <v>3.580946683883667</v>
      </c>
      <c r="E1933" t="s">
        <v>10</v>
      </c>
      <c r="F1933" t="s">
        <v>43</v>
      </c>
      <c r="G1933">
        <v>4.9000000000000004</v>
      </c>
    </row>
    <row r="1934" spans="1:7" x14ac:dyDescent="0.25">
      <c r="A1934" t="s">
        <v>5</v>
      </c>
      <c r="B1934">
        <v>1932</v>
      </c>
      <c r="C1934">
        <v>14</v>
      </c>
      <c r="D1934">
        <v>3.825817346572876</v>
      </c>
      <c r="E1934" t="s">
        <v>10</v>
      </c>
      <c r="F1934" t="s">
        <v>43</v>
      </c>
      <c r="G1934">
        <v>4.9000000000000004</v>
      </c>
    </row>
    <row r="1935" spans="1:7" x14ac:dyDescent="0.25">
      <c r="A1935" t="s">
        <v>5</v>
      </c>
      <c r="B1935">
        <v>1933</v>
      </c>
      <c r="C1935">
        <v>100</v>
      </c>
      <c r="D1935">
        <v>6.2947661876678467</v>
      </c>
      <c r="E1935" t="s">
        <v>10</v>
      </c>
      <c r="F1935" t="s">
        <v>43</v>
      </c>
      <c r="G1935">
        <v>4.9000000000000004</v>
      </c>
    </row>
    <row r="1936" spans="1:7" x14ac:dyDescent="0.25">
      <c r="A1936" t="s">
        <v>5</v>
      </c>
      <c r="B1936">
        <v>1934</v>
      </c>
      <c r="C1936">
        <v>37</v>
      </c>
      <c r="D1936">
        <v>3.611823558807373</v>
      </c>
      <c r="E1936" t="s">
        <v>10</v>
      </c>
      <c r="F1936" t="s">
        <v>43</v>
      </c>
      <c r="G1936">
        <v>4.9000000000000004</v>
      </c>
    </row>
    <row r="1937" spans="1:7" x14ac:dyDescent="0.25">
      <c r="A1937" t="s">
        <v>5</v>
      </c>
      <c r="B1937">
        <v>1935</v>
      </c>
      <c r="C1937">
        <v>27</v>
      </c>
      <c r="D1937">
        <v>4.0016045570373535</v>
      </c>
      <c r="E1937" t="s">
        <v>10</v>
      </c>
      <c r="F1937" t="s">
        <v>43</v>
      </c>
      <c r="G1937">
        <v>4.9000000000000004</v>
      </c>
    </row>
    <row r="1938" spans="1:7" x14ac:dyDescent="0.25">
      <c r="A1938" t="s">
        <v>5</v>
      </c>
      <c r="B1938">
        <v>1936</v>
      </c>
      <c r="C1938">
        <v>100</v>
      </c>
      <c r="D1938">
        <v>6.4175670146942139</v>
      </c>
      <c r="E1938" t="s">
        <v>10</v>
      </c>
      <c r="F1938" t="s">
        <v>43</v>
      </c>
      <c r="G1938">
        <v>4.9000000000000004</v>
      </c>
    </row>
    <row r="1939" spans="1:7" x14ac:dyDescent="0.25">
      <c r="A1939" t="s">
        <v>5</v>
      </c>
      <c r="B1939">
        <v>1937</v>
      </c>
      <c r="C1939">
        <v>50</v>
      </c>
      <c r="D1939">
        <v>4.8753812313079834</v>
      </c>
      <c r="E1939" t="s">
        <v>10</v>
      </c>
      <c r="F1939" t="s">
        <v>43</v>
      </c>
      <c r="G1939">
        <v>4.9000000000000004</v>
      </c>
    </row>
    <row r="1940" spans="1:7" x14ac:dyDescent="0.25">
      <c r="A1940" t="s">
        <v>5</v>
      </c>
      <c r="B1940">
        <v>1938</v>
      </c>
      <c r="C1940">
        <v>63</v>
      </c>
      <c r="D1940">
        <v>7.2857089042663574</v>
      </c>
      <c r="E1940" t="s">
        <v>10</v>
      </c>
      <c r="F1940" t="s">
        <v>43</v>
      </c>
      <c r="G1940">
        <v>4.9000000000000004</v>
      </c>
    </row>
    <row r="1941" spans="1:7" x14ac:dyDescent="0.25">
      <c r="A1941" t="s">
        <v>5</v>
      </c>
      <c r="B1941">
        <v>1939</v>
      </c>
      <c r="C1941">
        <v>100</v>
      </c>
      <c r="D1941">
        <v>9.3271851539611816</v>
      </c>
      <c r="E1941" t="s">
        <v>10</v>
      </c>
      <c r="F1941" t="s">
        <v>43</v>
      </c>
      <c r="G1941">
        <v>4.9000000000000004</v>
      </c>
    </row>
    <row r="1942" spans="1:7" x14ac:dyDescent="0.25">
      <c r="A1942" t="s">
        <v>5</v>
      </c>
      <c r="B1942">
        <v>1940</v>
      </c>
      <c r="C1942">
        <v>100</v>
      </c>
      <c r="D1942">
        <v>4.3294985294342041</v>
      </c>
      <c r="E1942" t="s">
        <v>10</v>
      </c>
      <c r="F1942" t="s">
        <v>43</v>
      </c>
      <c r="G1942">
        <v>4.9000000000000004</v>
      </c>
    </row>
    <row r="1943" spans="1:7" x14ac:dyDescent="0.25">
      <c r="A1943" t="s">
        <v>5</v>
      </c>
      <c r="B1943">
        <v>1941</v>
      </c>
      <c r="C1943">
        <v>30</v>
      </c>
      <c r="D1943">
        <v>3.6053571701049805</v>
      </c>
      <c r="E1943" t="s">
        <v>10</v>
      </c>
      <c r="F1943" t="s">
        <v>43</v>
      </c>
      <c r="G1943">
        <v>4.9000000000000004</v>
      </c>
    </row>
    <row r="1944" spans="1:7" x14ac:dyDescent="0.25">
      <c r="A1944" t="s">
        <v>5</v>
      </c>
      <c r="B1944">
        <v>1942</v>
      </c>
      <c r="C1944">
        <v>57</v>
      </c>
      <c r="D1944">
        <v>9.956449031829834</v>
      </c>
      <c r="E1944" t="s">
        <v>10</v>
      </c>
      <c r="F1944" t="s">
        <v>43</v>
      </c>
      <c r="G1944">
        <v>4.9000000000000004</v>
      </c>
    </row>
    <row r="1945" spans="1:7" x14ac:dyDescent="0.25">
      <c r="A1945" t="s">
        <v>5</v>
      </c>
      <c r="B1945">
        <v>1943</v>
      </c>
      <c r="C1945">
        <v>27</v>
      </c>
      <c r="D1945">
        <v>7.0963380336761475</v>
      </c>
      <c r="E1945" t="s">
        <v>10</v>
      </c>
      <c r="F1945" t="s">
        <v>43</v>
      </c>
      <c r="G1945">
        <v>4.9000000000000004</v>
      </c>
    </row>
    <row r="1946" spans="1:7" x14ac:dyDescent="0.25">
      <c r="A1946" t="s">
        <v>5</v>
      </c>
      <c r="B1946">
        <v>1944</v>
      </c>
      <c r="C1946">
        <v>80</v>
      </c>
      <c r="D1946">
        <v>4.8042652606964111</v>
      </c>
      <c r="E1946" t="s">
        <v>10</v>
      </c>
      <c r="F1946" t="s">
        <v>43</v>
      </c>
      <c r="G1946">
        <v>4.9000000000000004</v>
      </c>
    </row>
    <row r="1947" spans="1:7" x14ac:dyDescent="0.25">
      <c r="A1947" t="s">
        <v>5</v>
      </c>
      <c r="B1947">
        <v>1945</v>
      </c>
      <c r="C1947">
        <v>17</v>
      </c>
      <c r="D1947">
        <v>6.717430591583252</v>
      </c>
      <c r="E1947" t="s">
        <v>10</v>
      </c>
      <c r="F1947" t="s">
        <v>43</v>
      </c>
      <c r="G1947">
        <v>4.9000000000000004</v>
      </c>
    </row>
    <row r="1948" spans="1:7" x14ac:dyDescent="0.25">
      <c r="A1948" t="s">
        <v>5</v>
      </c>
      <c r="B1948">
        <v>1946</v>
      </c>
      <c r="C1948">
        <v>47</v>
      </c>
      <c r="D1948">
        <v>3.5615816116333008</v>
      </c>
      <c r="E1948" t="s">
        <v>10</v>
      </c>
      <c r="F1948" t="s">
        <v>43</v>
      </c>
      <c r="G1948">
        <v>4.9000000000000004</v>
      </c>
    </row>
    <row r="1949" spans="1:7" x14ac:dyDescent="0.25">
      <c r="A1949" t="s">
        <v>5</v>
      </c>
      <c r="B1949">
        <v>1947</v>
      </c>
      <c r="C1949">
        <v>85</v>
      </c>
      <c r="D1949">
        <v>10.991368293762207</v>
      </c>
      <c r="E1949" t="s">
        <v>10</v>
      </c>
      <c r="F1949" t="s">
        <v>43</v>
      </c>
      <c r="G1949">
        <v>4.9000000000000004</v>
      </c>
    </row>
    <row r="1950" spans="1:7" x14ac:dyDescent="0.25">
      <c r="A1950" t="s">
        <v>5</v>
      </c>
      <c r="B1950">
        <v>1948</v>
      </c>
      <c r="C1950">
        <v>37</v>
      </c>
      <c r="D1950">
        <v>7.481271505355835</v>
      </c>
      <c r="E1950" t="s">
        <v>10</v>
      </c>
      <c r="F1950" t="s">
        <v>43</v>
      </c>
      <c r="G1950">
        <v>4.9000000000000004</v>
      </c>
    </row>
    <row r="1951" spans="1:7" x14ac:dyDescent="0.25">
      <c r="A1951" t="s">
        <v>5</v>
      </c>
      <c r="B1951">
        <v>1949</v>
      </c>
      <c r="C1951">
        <v>57</v>
      </c>
      <c r="D1951">
        <v>6.0617728233337402</v>
      </c>
      <c r="E1951" t="s">
        <v>10</v>
      </c>
      <c r="F1951" t="s">
        <v>43</v>
      </c>
      <c r="G1951">
        <v>4.9000000000000004</v>
      </c>
    </row>
    <row r="1952" spans="1:7" x14ac:dyDescent="0.25">
      <c r="A1952" t="s">
        <v>5</v>
      </c>
      <c r="B1952">
        <v>1950</v>
      </c>
      <c r="C1952">
        <v>85</v>
      </c>
      <c r="D1952">
        <v>14.847890377044678</v>
      </c>
      <c r="E1952" t="s">
        <v>10</v>
      </c>
      <c r="F1952" t="s">
        <v>43</v>
      </c>
      <c r="G1952">
        <v>4.9000000000000004</v>
      </c>
    </row>
    <row r="1953" spans="1:7" x14ac:dyDescent="0.25">
      <c r="A1953" t="s">
        <v>5</v>
      </c>
      <c r="B1953">
        <v>1951</v>
      </c>
      <c r="C1953">
        <v>47</v>
      </c>
      <c r="D1953">
        <v>4.2193431854248047</v>
      </c>
      <c r="E1953" t="s">
        <v>10</v>
      </c>
      <c r="F1953" t="s">
        <v>43</v>
      </c>
      <c r="G1953">
        <v>4.9000000000000004</v>
      </c>
    </row>
    <row r="1954" spans="1:7" x14ac:dyDescent="0.25">
      <c r="A1954" t="s">
        <v>5</v>
      </c>
      <c r="B1954">
        <v>1952</v>
      </c>
      <c r="C1954">
        <v>100</v>
      </c>
      <c r="D1954">
        <v>6.757889986038208</v>
      </c>
      <c r="E1954" t="s">
        <v>10</v>
      </c>
      <c r="F1954" t="s">
        <v>43</v>
      </c>
      <c r="G1954">
        <v>4.9000000000000004</v>
      </c>
    </row>
    <row r="1955" spans="1:7" x14ac:dyDescent="0.25">
      <c r="A1955" t="s">
        <v>5</v>
      </c>
      <c r="B1955">
        <v>1953</v>
      </c>
      <c r="C1955">
        <v>100</v>
      </c>
      <c r="D1955">
        <v>6.6534445285797119</v>
      </c>
      <c r="E1955" t="s">
        <v>10</v>
      </c>
      <c r="F1955" t="s">
        <v>43</v>
      </c>
      <c r="G1955">
        <v>4.9000000000000004</v>
      </c>
    </row>
    <row r="1956" spans="1:7" x14ac:dyDescent="0.25">
      <c r="A1956" t="s">
        <v>5</v>
      </c>
      <c r="B1956">
        <v>1954</v>
      </c>
      <c r="C1956">
        <v>100</v>
      </c>
      <c r="D1956">
        <v>8.3152194023132324</v>
      </c>
      <c r="E1956" t="s">
        <v>10</v>
      </c>
      <c r="F1956" t="s">
        <v>43</v>
      </c>
      <c r="G1956">
        <v>4.9000000000000004</v>
      </c>
    </row>
    <row r="1957" spans="1:7" x14ac:dyDescent="0.25">
      <c r="A1957" t="s">
        <v>5</v>
      </c>
      <c r="B1957">
        <v>1955</v>
      </c>
      <c r="C1957">
        <v>16</v>
      </c>
      <c r="D1957">
        <v>3.0321836471557617</v>
      </c>
      <c r="E1957" t="s">
        <v>10</v>
      </c>
      <c r="F1957" t="s">
        <v>43</v>
      </c>
      <c r="G1957">
        <v>4.9000000000000004</v>
      </c>
    </row>
    <row r="1958" spans="1:7" x14ac:dyDescent="0.25">
      <c r="A1958" t="s">
        <v>5</v>
      </c>
      <c r="B1958">
        <v>1956</v>
      </c>
      <c r="C1958">
        <v>13</v>
      </c>
      <c r="D1958">
        <v>7.3954155445098877</v>
      </c>
      <c r="E1958" t="s">
        <v>10</v>
      </c>
      <c r="F1958" t="s">
        <v>43</v>
      </c>
      <c r="G1958">
        <v>4.9000000000000004</v>
      </c>
    </row>
    <row r="1959" spans="1:7" x14ac:dyDescent="0.25">
      <c r="A1959" t="s">
        <v>5</v>
      </c>
      <c r="B1959">
        <v>1957</v>
      </c>
      <c r="C1959">
        <v>30</v>
      </c>
      <c r="D1959">
        <v>9.4119939804077148</v>
      </c>
      <c r="E1959" t="s">
        <v>10</v>
      </c>
      <c r="F1959" t="s">
        <v>43</v>
      </c>
      <c r="G1959">
        <v>4.9000000000000004</v>
      </c>
    </row>
    <row r="1960" spans="1:7" x14ac:dyDescent="0.25">
      <c r="A1960" t="s">
        <v>5</v>
      </c>
      <c r="B1960">
        <v>1958</v>
      </c>
      <c r="C1960">
        <v>21</v>
      </c>
      <c r="D1960">
        <v>10.151879072189331</v>
      </c>
      <c r="E1960" t="s">
        <v>10</v>
      </c>
      <c r="F1960" t="s">
        <v>43</v>
      </c>
      <c r="G1960">
        <v>4.9000000000000004</v>
      </c>
    </row>
    <row r="1961" spans="1:7" x14ac:dyDescent="0.25">
      <c r="A1961" t="s">
        <v>5</v>
      </c>
      <c r="B1961">
        <v>1959</v>
      </c>
      <c r="C1961">
        <v>30</v>
      </c>
      <c r="D1961">
        <v>5.3385426998138428</v>
      </c>
      <c r="E1961" t="s">
        <v>10</v>
      </c>
      <c r="F1961" t="s">
        <v>43</v>
      </c>
      <c r="G1961">
        <v>4.9000000000000004</v>
      </c>
    </row>
    <row r="1962" spans="1:7" x14ac:dyDescent="0.25">
      <c r="A1962" t="s">
        <v>5</v>
      </c>
      <c r="B1962">
        <v>1960</v>
      </c>
      <c r="C1962">
        <v>14</v>
      </c>
      <c r="D1962">
        <v>7.15132737159729</v>
      </c>
      <c r="E1962" t="s">
        <v>10</v>
      </c>
      <c r="F1962" t="s">
        <v>43</v>
      </c>
      <c r="G1962">
        <v>4.9000000000000004</v>
      </c>
    </row>
    <row r="1963" spans="1:7" x14ac:dyDescent="0.25">
      <c r="A1963" t="s">
        <v>5</v>
      </c>
      <c r="B1963">
        <v>1961</v>
      </c>
      <c r="C1963">
        <v>32</v>
      </c>
      <c r="D1963">
        <v>6.412156343460083</v>
      </c>
      <c r="E1963" t="s">
        <v>10</v>
      </c>
      <c r="F1963" t="s">
        <v>66</v>
      </c>
      <c r="G1963">
        <v>6.8</v>
      </c>
    </row>
    <row r="1964" spans="1:7" x14ac:dyDescent="0.25">
      <c r="A1964" t="s">
        <v>5</v>
      </c>
      <c r="B1964">
        <v>1962</v>
      </c>
      <c r="C1964">
        <v>40</v>
      </c>
      <c r="D1964">
        <v>2.9120252132415771</v>
      </c>
      <c r="E1964" t="s">
        <v>10</v>
      </c>
      <c r="F1964" t="s">
        <v>41</v>
      </c>
      <c r="G1964">
        <v>5</v>
      </c>
    </row>
    <row r="1965" spans="1:7" x14ac:dyDescent="0.25">
      <c r="A1965" t="s">
        <v>5</v>
      </c>
      <c r="B1965">
        <v>1963</v>
      </c>
      <c r="C1965">
        <v>16</v>
      </c>
      <c r="D1965">
        <v>2.9086098670959473</v>
      </c>
      <c r="E1965" t="s">
        <v>10</v>
      </c>
      <c r="F1965" t="s">
        <v>41</v>
      </c>
      <c r="G1965">
        <v>5</v>
      </c>
    </row>
    <row r="1966" spans="1:7" x14ac:dyDescent="0.25">
      <c r="A1966" t="s">
        <v>5</v>
      </c>
      <c r="B1966">
        <v>1964</v>
      </c>
      <c r="C1966">
        <v>14</v>
      </c>
      <c r="D1966">
        <v>3.6532793045043945</v>
      </c>
      <c r="E1966" t="s">
        <v>10</v>
      </c>
      <c r="F1966" t="s">
        <v>41</v>
      </c>
      <c r="G1966">
        <v>5</v>
      </c>
    </row>
    <row r="1967" spans="1:7" x14ac:dyDescent="0.25">
      <c r="A1967" t="s">
        <v>5</v>
      </c>
      <c r="B1967">
        <v>1965</v>
      </c>
      <c r="C1967">
        <v>47</v>
      </c>
      <c r="D1967">
        <v>3.7236666679382324</v>
      </c>
      <c r="E1967" t="s">
        <v>10</v>
      </c>
      <c r="F1967" t="s">
        <v>41</v>
      </c>
      <c r="G1967">
        <v>5</v>
      </c>
    </row>
    <row r="1968" spans="1:7" x14ac:dyDescent="0.25">
      <c r="A1968" t="s">
        <v>5</v>
      </c>
      <c r="B1968">
        <v>1966</v>
      </c>
      <c r="C1968">
        <v>20</v>
      </c>
      <c r="D1968">
        <v>4.312816858291626</v>
      </c>
      <c r="E1968" t="s">
        <v>10</v>
      </c>
      <c r="F1968" t="s">
        <v>41</v>
      </c>
      <c r="G1968">
        <v>5</v>
      </c>
    </row>
    <row r="1969" spans="1:7" x14ac:dyDescent="0.25">
      <c r="A1969" t="s">
        <v>5</v>
      </c>
      <c r="B1969">
        <v>1967</v>
      </c>
      <c r="C1969">
        <v>80</v>
      </c>
      <c r="D1969">
        <v>3.1397426128387451</v>
      </c>
      <c r="E1969" t="s">
        <v>10</v>
      </c>
      <c r="F1969" t="s">
        <v>41</v>
      </c>
      <c r="G1969">
        <v>5</v>
      </c>
    </row>
    <row r="1970" spans="1:7" x14ac:dyDescent="0.25">
      <c r="A1970" t="s">
        <v>5</v>
      </c>
      <c r="B1970">
        <v>1968</v>
      </c>
      <c r="C1970">
        <v>17</v>
      </c>
      <c r="D1970">
        <v>2.9678244590759277</v>
      </c>
      <c r="E1970" t="s">
        <v>10</v>
      </c>
      <c r="F1970" t="s">
        <v>41</v>
      </c>
      <c r="G1970">
        <v>5</v>
      </c>
    </row>
    <row r="1971" spans="1:7" x14ac:dyDescent="0.25">
      <c r="A1971" t="s">
        <v>5</v>
      </c>
      <c r="B1971">
        <v>1969</v>
      </c>
      <c r="C1971">
        <v>13</v>
      </c>
      <c r="D1971">
        <v>4.3260252475738525</v>
      </c>
      <c r="E1971" t="s">
        <v>10</v>
      </c>
      <c r="F1971" t="s">
        <v>41</v>
      </c>
      <c r="G1971">
        <v>5</v>
      </c>
    </row>
    <row r="1972" spans="1:7" x14ac:dyDescent="0.25">
      <c r="A1972" t="s">
        <v>5</v>
      </c>
      <c r="B1972">
        <v>1970</v>
      </c>
      <c r="C1972">
        <v>70</v>
      </c>
      <c r="D1972">
        <v>2.7179005146026611</v>
      </c>
      <c r="E1972" t="s">
        <v>10</v>
      </c>
      <c r="F1972" t="s">
        <v>41</v>
      </c>
      <c r="G1972">
        <v>5</v>
      </c>
    </row>
    <row r="1973" spans="1:7" x14ac:dyDescent="0.25">
      <c r="A1973" t="s">
        <v>5</v>
      </c>
      <c r="B1973">
        <v>1971</v>
      </c>
      <c r="C1973">
        <v>70</v>
      </c>
      <c r="D1973">
        <v>3.2391269207000732</v>
      </c>
      <c r="E1973" t="s">
        <v>10</v>
      </c>
      <c r="F1973" t="s">
        <v>41</v>
      </c>
      <c r="G1973">
        <v>5</v>
      </c>
    </row>
    <row r="1974" spans="1:7" x14ac:dyDescent="0.25">
      <c r="A1974" t="s">
        <v>5</v>
      </c>
      <c r="B1974">
        <v>1972</v>
      </c>
      <c r="C1974">
        <v>37</v>
      </c>
      <c r="D1974">
        <v>3.954056978225708</v>
      </c>
      <c r="E1974" t="s">
        <v>10</v>
      </c>
      <c r="F1974" t="s">
        <v>41</v>
      </c>
      <c r="G1974">
        <v>5</v>
      </c>
    </row>
    <row r="1975" spans="1:7" x14ac:dyDescent="0.25">
      <c r="A1975" t="s">
        <v>5</v>
      </c>
      <c r="B1975">
        <v>1973</v>
      </c>
      <c r="C1975">
        <v>100</v>
      </c>
      <c r="D1975">
        <v>4.9789085388183594</v>
      </c>
      <c r="E1975" t="s">
        <v>10</v>
      </c>
      <c r="F1975" t="s">
        <v>41</v>
      </c>
      <c r="G1975">
        <v>5</v>
      </c>
    </row>
    <row r="1976" spans="1:7" x14ac:dyDescent="0.25">
      <c r="A1976" t="s">
        <v>5</v>
      </c>
      <c r="B1976">
        <v>1974</v>
      </c>
      <c r="C1976">
        <v>27</v>
      </c>
      <c r="D1976">
        <v>5.4877042770385742</v>
      </c>
      <c r="E1976" t="s">
        <v>10</v>
      </c>
      <c r="F1976" t="s">
        <v>41</v>
      </c>
      <c r="G1976">
        <v>5</v>
      </c>
    </row>
    <row r="1977" spans="1:7" x14ac:dyDescent="0.25">
      <c r="A1977" t="s">
        <v>5</v>
      </c>
      <c r="B1977">
        <v>1975</v>
      </c>
      <c r="C1977">
        <v>32</v>
      </c>
      <c r="D1977">
        <v>7.8056752681732178</v>
      </c>
      <c r="E1977" t="s">
        <v>10</v>
      </c>
      <c r="F1977" t="s">
        <v>41</v>
      </c>
      <c r="G1977">
        <v>5</v>
      </c>
    </row>
    <row r="1978" spans="1:7" x14ac:dyDescent="0.25">
      <c r="A1978" t="s">
        <v>5</v>
      </c>
      <c r="B1978">
        <v>1976</v>
      </c>
      <c r="C1978">
        <v>40</v>
      </c>
      <c r="D1978">
        <v>2.8704006671905518</v>
      </c>
      <c r="E1978" t="s">
        <v>10</v>
      </c>
      <c r="F1978" t="s">
        <v>41</v>
      </c>
      <c r="G1978">
        <v>5</v>
      </c>
    </row>
    <row r="1979" spans="1:7" x14ac:dyDescent="0.25">
      <c r="A1979" t="s">
        <v>5</v>
      </c>
      <c r="B1979">
        <v>1977</v>
      </c>
      <c r="C1979">
        <v>47</v>
      </c>
      <c r="D1979">
        <v>3.6164331436157227</v>
      </c>
      <c r="E1979" t="s">
        <v>10</v>
      </c>
      <c r="F1979" t="s">
        <v>41</v>
      </c>
      <c r="G1979">
        <v>5</v>
      </c>
    </row>
    <row r="1980" spans="1:7" x14ac:dyDescent="0.25">
      <c r="A1980" t="s">
        <v>5</v>
      </c>
      <c r="B1980">
        <v>1978</v>
      </c>
      <c r="C1980">
        <v>100</v>
      </c>
      <c r="D1980">
        <v>3.6460864543914795</v>
      </c>
      <c r="E1980" t="s">
        <v>10</v>
      </c>
      <c r="F1980" t="s">
        <v>41</v>
      </c>
      <c r="G1980">
        <v>5</v>
      </c>
    </row>
    <row r="1981" spans="1:7" x14ac:dyDescent="0.25">
      <c r="A1981" t="s">
        <v>5</v>
      </c>
      <c r="B1981">
        <v>1979</v>
      </c>
      <c r="C1981">
        <v>80</v>
      </c>
      <c r="D1981">
        <v>4.5349264144897461</v>
      </c>
      <c r="E1981" t="s">
        <v>10</v>
      </c>
      <c r="F1981" t="s">
        <v>41</v>
      </c>
      <c r="G1981">
        <v>5</v>
      </c>
    </row>
    <row r="1982" spans="1:7" x14ac:dyDescent="0.25">
      <c r="A1982" t="s">
        <v>5</v>
      </c>
      <c r="B1982">
        <v>1980</v>
      </c>
      <c r="C1982">
        <v>25</v>
      </c>
      <c r="D1982">
        <v>4.4686810970306396</v>
      </c>
      <c r="E1982" t="s">
        <v>10</v>
      </c>
      <c r="F1982" t="s">
        <v>41</v>
      </c>
      <c r="G1982">
        <v>5</v>
      </c>
    </row>
    <row r="1983" spans="1:7" x14ac:dyDescent="0.25">
      <c r="A1983" t="s">
        <v>5</v>
      </c>
      <c r="B1983">
        <v>1981</v>
      </c>
      <c r="C1983">
        <v>100</v>
      </c>
      <c r="D1983">
        <v>4.0881223678588867</v>
      </c>
      <c r="E1983" t="s">
        <v>10</v>
      </c>
      <c r="F1983" t="s">
        <v>45</v>
      </c>
      <c r="G1983">
        <v>5.8</v>
      </c>
    </row>
    <row r="1984" spans="1:7" x14ac:dyDescent="0.25">
      <c r="A1984" t="s">
        <v>5</v>
      </c>
      <c r="B1984">
        <v>1982</v>
      </c>
      <c r="C1984">
        <v>47</v>
      </c>
      <c r="D1984">
        <v>3.9817230701446533</v>
      </c>
      <c r="E1984" t="s">
        <v>10</v>
      </c>
      <c r="F1984" t="s">
        <v>41</v>
      </c>
      <c r="G1984">
        <v>5</v>
      </c>
    </row>
    <row r="1985" spans="1:7" x14ac:dyDescent="0.25">
      <c r="A1985" t="s">
        <v>5</v>
      </c>
      <c r="B1985">
        <v>1983</v>
      </c>
      <c r="C1985">
        <v>73</v>
      </c>
      <c r="D1985">
        <v>14.542753458023071</v>
      </c>
      <c r="E1985" t="s">
        <v>10</v>
      </c>
      <c r="F1985" t="s">
        <v>41</v>
      </c>
      <c r="G1985">
        <v>4.9000000000000004</v>
      </c>
    </row>
    <row r="1986" spans="1:7" x14ac:dyDescent="0.25">
      <c r="A1986" t="s">
        <v>5</v>
      </c>
      <c r="B1986">
        <v>1984</v>
      </c>
      <c r="C1986">
        <v>100</v>
      </c>
      <c r="D1986">
        <v>6.9346249103546143</v>
      </c>
      <c r="E1986" t="s">
        <v>10</v>
      </c>
      <c r="F1986" t="s">
        <v>41</v>
      </c>
      <c r="G1986">
        <v>4.9000000000000004</v>
      </c>
    </row>
    <row r="1987" spans="1:7" x14ac:dyDescent="0.25">
      <c r="A1987" t="s">
        <v>5</v>
      </c>
      <c r="B1987">
        <v>1985</v>
      </c>
      <c r="C1987">
        <v>70</v>
      </c>
      <c r="D1987">
        <v>13.94257926940918</v>
      </c>
      <c r="E1987" t="s">
        <v>10</v>
      </c>
      <c r="F1987" t="s">
        <v>41</v>
      </c>
      <c r="G1987">
        <v>7.8</v>
      </c>
    </row>
    <row r="1988" spans="1:7" x14ac:dyDescent="0.25">
      <c r="A1988" t="s">
        <v>5</v>
      </c>
      <c r="B1988">
        <v>1986</v>
      </c>
      <c r="C1988">
        <v>21</v>
      </c>
      <c r="D1988">
        <v>3.5722651481628418</v>
      </c>
      <c r="E1988" t="s">
        <v>10</v>
      </c>
      <c r="F1988" t="s">
        <v>67</v>
      </c>
      <c r="G1988">
        <v>6.4</v>
      </c>
    </row>
    <row r="1989" spans="1:7" x14ac:dyDescent="0.25">
      <c r="A1989" t="s">
        <v>5</v>
      </c>
      <c r="B1989">
        <v>1987</v>
      </c>
      <c r="C1989">
        <v>30</v>
      </c>
      <c r="D1989">
        <v>12.001280546188354</v>
      </c>
      <c r="E1989" t="s">
        <v>10</v>
      </c>
      <c r="F1989" t="s">
        <v>46</v>
      </c>
      <c r="G1989">
        <v>4</v>
      </c>
    </row>
    <row r="1990" spans="1:7" x14ac:dyDescent="0.25">
      <c r="A1990" t="s">
        <v>5</v>
      </c>
      <c r="B1990">
        <v>1988</v>
      </c>
      <c r="C1990">
        <v>100</v>
      </c>
      <c r="D1990">
        <v>4.0276863574981689</v>
      </c>
      <c r="E1990" t="s">
        <v>10</v>
      </c>
      <c r="F1990" t="s">
        <v>46</v>
      </c>
      <c r="G1990">
        <v>4</v>
      </c>
    </row>
    <row r="1991" spans="1:7" x14ac:dyDescent="0.25">
      <c r="A1991" t="s">
        <v>5</v>
      </c>
      <c r="B1991">
        <v>1989</v>
      </c>
      <c r="C1991">
        <v>16</v>
      </c>
      <c r="D1991">
        <v>2.9373593330383301</v>
      </c>
      <c r="E1991" t="s">
        <v>10</v>
      </c>
      <c r="F1991" t="s">
        <v>46</v>
      </c>
      <c r="G1991">
        <v>4</v>
      </c>
    </row>
    <row r="1992" spans="1:7" x14ac:dyDescent="0.25">
      <c r="A1992" t="s">
        <v>5</v>
      </c>
      <c r="B1992">
        <v>1990</v>
      </c>
      <c r="C1992">
        <v>30</v>
      </c>
      <c r="D1992">
        <v>2.9159030914306641</v>
      </c>
      <c r="E1992" t="s">
        <v>10</v>
      </c>
      <c r="F1992" t="s">
        <v>46</v>
      </c>
      <c r="G1992">
        <v>4</v>
      </c>
    </row>
    <row r="1993" spans="1:7" x14ac:dyDescent="0.25">
      <c r="A1993" t="s">
        <v>5</v>
      </c>
      <c r="B1993">
        <v>1991</v>
      </c>
      <c r="C1993">
        <v>10</v>
      </c>
      <c r="D1993">
        <v>3.3907217979431152</v>
      </c>
      <c r="E1993" t="s">
        <v>10</v>
      </c>
      <c r="F1993" t="s">
        <v>46</v>
      </c>
      <c r="G1993">
        <v>4</v>
      </c>
    </row>
    <row r="1994" spans="1:7" x14ac:dyDescent="0.25">
      <c r="A1994" t="s">
        <v>5</v>
      </c>
      <c r="B1994">
        <v>1992</v>
      </c>
      <c r="C1994">
        <v>100</v>
      </c>
      <c r="D1994">
        <v>11.262652397155762</v>
      </c>
      <c r="E1994" t="s">
        <v>10</v>
      </c>
      <c r="F1994" t="s">
        <v>46</v>
      </c>
      <c r="G1994">
        <v>4</v>
      </c>
    </row>
    <row r="1995" spans="1:7" x14ac:dyDescent="0.25">
      <c r="A1995" t="s">
        <v>5</v>
      </c>
      <c r="B1995">
        <v>1993</v>
      </c>
      <c r="C1995">
        <v>37</v>
      </c>
      <c r="D1995">
        <v>4.1352791786193848</v>
      </c>
      <c r="E1995" t="s">
        <v>10</v>
      </c>
      <c r="F1995" t="s">
        <v>43</v>
      </c>
      <c r="G1995">
        <v>4.9000000000000004</v>
      </c>
    </row>
    <row r="1996" spans="1:7" x14ac:dyDescent="0.25">
      <c r="A1996" t="s">
        <v>5</v>
      </c>
      <c r="B1996">
        <v>1994</v>
      </c>
      <c r="C1996">
        <v>100</v>
      </c>
      <c r="D1996">
        <v>3.0366129875183105</v>
      </c>
      <c r="E1996" t="s">
        <v>10</v>
      </c>
      <c r="F1996" t="s">
        <v>41</v>
      </c>
      <c r="G1996">
        <v>4.9000000000000004</v>
      </c>
    </row>
    <row r="1997" spans="1:7" x14ac:dyDescent="0.25">
      <c r="A1997" t="s">
        <v>5</v>
      </c>
      <c r="B1997">
        <v>1995</v>
      </c>
      <c r="C1997">
        <v>30</v>
      </c>
      <c r="D1997">
        <v>3.2544722557067871</v>
      </c>
      <c r="E1997" t="s">
        <v>10</v>
      </c>
      <c r="F1997" t="s">
        <v>45</v>
      </c>
      <c r="G1997">
        <v>7.2</v>
      </c>
    </row>
    <row r="1998" spans="1:7" x14ac:dyDescent="0.25">
      <c r="A1998" t="s">
        <v>5</v>
      </c>
      <c r="B1998">
        <v>1996</v>
      </c>
      <c r="C1998">
        <v>47</v>
      </c>
      <c r="D1998">
        <v>3.258418083190918</v>
      </c>
      <c r="E1998" t="s">
        <v>10</v>
      </c>
      <c r="F1998" t="s">
        <v>59</v>
      </c>
      <c r="G1998">
        <v>1.9</v>
      </c>
    </row>
    <row r="1999" spans="1:7" x14ac:dyDescent="0.25">
      <c r="A1999" t="s">
        <v>5</v>
      </c>
      <c r="B1999">
        <v>1997</v>
      </c>
      <c r="C1999">
        <v>100</v>
      </c>
      <c r="D1999">
        <v>5.9805731773376465</v>
      </c>
      <c r="E1999" t="s">
        <v>10</v>
      </c>
      <c r="F1999" t="s">
        <v>59</v>
      </c>
      <c r="G1999">
        <v>1.9</v>
      </c>
    </row>
    <row r="2000" spans="1:7" x14ac:dyDescent="0.25">
      <c r="A2000" t="s">
        <v>5</v>
      </c>
      <c r="B2000">
        <v>1998</v>
      </c>
      <c r="C2000">
        <v>100</v>
      </c>
      <c r="D2000">
        <v>5.3444035053253174</v>
      </c>
      <c r="E2000" t="s">
        <v>10</v>
      </c>
      <c r="F2000" t="s">
        <v>50</v>
      </c>
      <c r="G2000">
        <v>6.9</v>
      </c>
    </row>
    <row r="2001" spans="1:7" x14ac:dyDescent="0.25">
      <c r="A2001" t="s">
        <v>5</v>
      </c>
      <c r="B2001">
        <v>1999</v>
      </c>
      <c r="C2001">
        <v>37</v>
      </c>
      <c r="D2001">
        <v>3.252737283706665</v>
      </c>
      <c r="E2001" t="s">
        <v>10</v>
      </c>
      <c r="F2001" t="s">
        <v>50</v>
      </c>
      <c r="G2001">
        <v>6.9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AA5B-5F7F-4320-A177-F6CB51969DBA}">
  <dimension ref="A1:G2001"/>
  <sheetViews>
    <sheetView workbookViewId="0">
      <selection activeCell="L2008" sqref="L2008"/>
    </sheetView>
  </sheetViews>
  <sheetFormatPr defaultRowHeight="15" x14ac:dyDescent="0.25"/>
  <cols>
    <col min="1" max="1" width="12" bestFit="1" customWidth="1"/>
    <col min="2" max="2" width="11" bestFit="1" customWidth="1"/>
    <col min="3" max="3" width="12.140625" bestFit="1" customWidth="1"/>
    <col min="4" max="4" width="12" bestFit="1" customWidth="1"/>
    <col min="5" max="5" width="14.7109375" bestFit="1" customWidth="1"/>
    <col min="6" max="6" width="34.5703125" bestFit="1" customWidth="1"/>
    <col min="7" max="7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 t="s">
        <v>4</v>
      </c>
      <c r="B2">
        <v>0</v>
      </c>
      <c r="C2">
        <v>89</v>
      </c>
      <c r="D2">
        <v>5.8108811378479004</v>
      </c>
      <c r="E2" t="s">
        <v>10</v>
      </c>
      <c r="F2" t="s">
        <v>11</v>
      </c>
      <c r="G2">
        <v>6</v>
      </c>
    </row>
    <row r="3" spans="1:7" x14ac:dyDescent="0.25">
      <c r="A3" t="s">
        <v>4</v>
      </c>
      <c r="B3">
        <v>1</v>
      </c>
      <c r="C3">
        <v>0</v>
      </c>
      <c r="D3">
        <v>16.738172054290771</v>
      </c>
      <c r="E3" t="s">
        <v>10</v>
      </c>
      <c r="F3" t="s">
        <v>12</v>
      </c>
      <c r="G3">
        <v>6.4</v>
      </c>
    </row>
    <row r="4" spans="1:7" x14ac:dyDescent="0.25">
      <c r="A4" t="s">
        <v>4</v>
      </c>
      <c r="B4">
        <v>2</v>
      </c>
      <c r="C4">
        <v>48</v>
      </c>
      <c r="D4">
        <v>4.9473233222961426</v>
      </c>
      <c r="E4" t="s">
        <v>10</v>
      </c>
      <c r="F4" t="s">
        <v>14</v>
      </c>
      <c r="G4">
        <v>5</v>
      </c>
    </row>
    <row r="5" spans="1:7" x14ac:dyDescent="0.25">
      <c r="A5" t="s">
        <v>4</v>
      </c>
      <c r="B5">
        <v>3</v>
      </c>
      <c r="C5">
        <v>24</v>
      </c>
      <c r="D5">
        <v>2.9469456672668457</v>
      </c>
      <c r="E5" t="s">
        <v>10</v>
      </c>
      <c r="F5" t="s">
        <v>15</v>
      </c>
      <c r="G5">
        <v>4.3</v>
      </c>
    </row>
    <row r="6" spans="1:7" x14ac:dyDescent="0.25">
      <c r="A6" t="s">
        <v>4</v>
      </c>
      <c r="B6">
        <v>4</v>
      </c>
      <c r="C6">
        <v>83</v>
      </c>
      <c r="D6">
        <v>4.6149969100952148</v>
      </c>
      <c r="E6" t="s">
        <v>10</v>
      </c>
      <c r="F6" t="s">
        <v>16</v>
      </c>
      <c r="G6">
        <v>7.5</v>
      </c>
    </row>
    <row r="7" spans="1:7" x14ac:dyDescent="0.25">
      <c r="A7" t="s">
        <v>4</v>
      </c>
      <c r="B7">
        <v>5</v>
      </c>
      <c r="C7">
        <v>47</v>
      </c>
      <c r="D7">
        <v>3.5920579433441162</v>
      </c>
      <c r="E7" t="s">
        <v>10</v>
      </c>
      <c r="F7" t="s">
        <v>14</v>
      </c>
      <c r="G7">
        <v>4.3</v>
      </c>
    </row>
    <row r="8" spans="1:7" x14ac:dyDescent="0.25">
      <c r="A8" t="s">
        <v>4</v>
      </c>
      <c r="B8">
        <v>6</v>
      </c>
      <c r="C8">
        <v>90</v>
      </c>
      <c r="D8">
        <v>3.4555478096008301</v>
      </c>
      <c r="E8" t="s">
        <v>10</v>
      </c>
      <c r="F8" t="s">
        <v>14</v>
      </c>
      <c r="G8">
        <v>4.3</v>
      </c>
    </row>
    <row r="9" spans="1:7" x14ac:dyDescent="0.25">
      <c r="A9" t="s">
        <v>4</v>
      </c>
      <c r="B9">
        <v>7</v>
      </c>
      <c r="C9">
        <v>33</v>
      </c>
      <c r="D9">
        <v>9.416304349899292</v>
      </c>
      <c r="E9" t="s">
        <v>10</v>
      </c>
      <c r="F9" t="s">
        <v>15</v>
      </c>
      <c r="G9">
        <v>6.8</v>
      </c>
    </row>
    <row r="10" spans="1:7" x14ac:dyDescent="0.25">
      <c r="A10" t="s">
        <v>4</v>
      </c>
      <c r="B10">
        <v>8</v>
      </c>
      <c r="C10">
        <v>83</v>
      </c>
      <c r="D10">
        <v>3.1860430240631104</v>
      </c>
      <c r="E10" t="s">
        <v>10</v>
      </c>
      <c r="F10" t="s">
        <v>15</v>
      </c>
      <c r="G10">
        <v>6.8</v>
      </c>
    </row>
    <row r="11" spans="1:7" x14ac:dyDescent="0.25">
      <c r="A11" t="s">
        <v>4</v>
      </c>
      <c r="B11">
        <v>9</v>
      </c>
      <c r="C11">
        <v>14</v>
      </c>
      <c r="D11">
        <v>6.4211680889129639</v>
      </c>
      <c r="E11" t="s">
        <v>10</v>
      </c>
      <c r="F11" t="s">
        <v>15</v>
      </c>
      <c r="G11">
        <v>6.8</v>
      </c>
    </row>
    <row r="12" spans="1:7" x14ac:dyDescent="0.25">
      <c r="A12" t="s">
        <v>4</v>
      </c>
      <c r="B12">
        <v>10</v>
      </c>
      <c r="C12">
        <v>83</v>
      </c>
      <c r="D12">
        <v>5.3175404071807861</v>
      </c>
      <c r="E12" t="s">
        <v>10</v>
      </c>
      <c r="F12" t="s">
        <v>17</v>
      </c>
      <c r="G12">
        <v>5</v>
      </c>
    </row>
    <row r="13" spans="1:7" x14ac:dyDescent="0.25">
      <c r="A13" t="s">
        <v>4</v>
      </c>
      <c r="B13">
        <v>11</v>
      </c>
      <c r="C13">
        <v>23</v>
      </c>
      <c r="D13">
        <v>5.7716374397277832</v>
      </c>
      <c r="E13" t="s">
        <v>10</v>
      </c>
      <c r="F13" t="s">
        <v>15</v>
      </c>
      <c r="G13">
        <v>4.3</v>
      </c>
    </row>
    <row r="14" spans="1:7" x14ac:dyDescent="0.25">
      <c r="A14" t="s">
        <v>4</v>
      </c>
      <c r="B14">
        <v>12</v>
      </c>
      <c r="C14">
        <v>70</v>
      </c>
      <c r="D14">
        <v>3.6079652309417725</v>
      </c>
      <c r="E14" t="s">
        <v>10</v>
      </c>
      <c r="F14" t="s">
        <v>15</v>
      </c>
      <c r="G14">
        <v>4.3</v>
      </c>
    </row>
    <row r="15" spans="1:7" x14ac:dyDescent="0.25">
      <c r="A15" t="s">
        <v>4</v>
      </c>
      <c r="B15">
        <v>13</v>
      </c>
      <c r="C15">
        <v>73</v>
      </c>
      <c r="D15">
        <v>9.862621545791626</v>
      </c>
      <c r="E15" t="s">
        <v>10</v>
      </c>
      <c r="F15" t="s">
        <v>18</v>
      </c>
      <c r="G15">
        <v>6.8</v>
      </c>
    </row>
    <row r="16" spans="1:7" x14ac:dyDescent="0.25">
      <c r="A16" t="s">
        <v>4</v>
      </c>
      <c r="B16">
        <v>14</v>
      </c>
      <c r="C16">
        <v>85</v>
      </c>
      <c r="D16">
        <v>5.3310999870300293</v>
      </c>
      <c r="E16" t="s">
        <v>10</v>
      </c>
      <c r="F16" t="s">
        <v>18</v>
      </c>
      <c r="G16">
        <v>6.8</v>
      </c>
    </row>
    <row r="17" spans="1:7" x14ac:dyDescent="0.25">
      <c r="A17" t="s">
        <v>4</v>
      </c>
      <c r="B17">
        <v>15</v>
      </c>
      <c r="C17">
        <v>84</v>
      </c>
      <c r="D17">
        <v>10.184494495391846</v>
      </c>
      <c r="E17" t="s">
        <v>10</v>
      </c>
      <c r="F17" t="s">
        <v>18</v>
      </c>
      <c r="G17">
        <v>6.8</v>
      </c>
    </row>
    <row r="18" spans="1:7" x14ac:dyDescent="0.25">
      <c r="A18" t="s">
        <v>4</v>
      </c>
      <c r="B18">
        <v>16</v>
      </c>
      <c r="C18">
        <v>83</v>
      </c>
      <c r="D18">
        <v>6.2756443023681641</v>
      </c>
      <c r="E18" t="s">
        <v>10</v>
      </c>
      <c r="F18" t="s">
        <v>15</v>
      </c>
      <c r="G18">
        <v>4.3</v>
      </c>
    </row>
    <row r="19" spans="1:7" x14ac:dyDescent="0.25">
      <c r="A19" t="s">
        <v>4</v>
      </c>
      <c r="B19">
        <v>17</v>
      </c>
      <c r="C19">
        <v>87</v>
      </c>
      <c r="D19">
        <v>14.794729471206665</v>
      </c>
      <c r="E19" t="s">
        <v>10</v>
      </c>
      <c r="F19" t="s">
        <v>15</v>
      </c>
      <c r="G19">
        <v>4.3</v>
      </c>
    </row>
    <row r="20" spans="1:7" x14ac:dyDescent="0.25">
      <c r="A20" t="s">
        <v>4</v>
      </c>
      <c r="B20">
        <v>18</v>
      </c>
      <c r="C20">
        <v>90</v>
      </c>
      <c r="D20">
        <v>2.9993245601654053</v>
      </c>
      <c r="E20" t="s">
        <v>10</v>
      </c>
      <c r="F20" t="s">
        <v>15</v>
      </c>
      <c r="G20">
        <v>4.3</v>
      </c>
    </row>
    <row r="21" spans="1:7" x14ac:dyDescent="0.25">
      <c r="A21" t="s">
        <v>4</v>
      </c>
      <c r="B21">
        <v>19</v>
      </c>
      <c r="C21">
        <v>20</v>
      </c>
      <c r="D21">
        <v>2.8352711200714111</v>
      </c>
      <c r="E21" t="s">
        <v>10</v>
      </c>
      <c r="F21" t="s">
        <v>15</v>
      </c>
      <c r="G21">
        <v>5</v>
      </c>
    </row>
    <row r="22" spans="1:7" x14ac:dyDescent="0.25">
      <c r="A22" t="s">
        <v>4</v>
      </c>
      <c r="B22">
        <v>20</v>
      </c>
      <c r="C22">
        <v>47</v>
      </c>
      <c r="D22">
        <v>2.8404300212860107</v>
      </c>
      <c r="E22" t="s">
        <v>10</v>
      </c>
      <c r="F22" t="s">
        <v>15</v>
      </c>
      <c r="G22">
        <v>5</v>
      </c>
    </row>
    <row r="23" spans="1:7" x14ac:dyDescent="0.25">
      <c r="A23" t="s">
        <v>4</v>
      </c>
      <c r="B23">
        <v>21</v>
      </c>
      <c r="C23">
        <v>80</v>
      </c>
      <c r="D23">
        <v>2.7528002262115479</v>
      </c>
      <c r="E23" t="s">
        <v>10</v>
      </c>
      <c r="F23" t="s">
        <v>15</v>
      </c>
      <c r="G23">
        <v>5</v>
      </c>
    </row>
    <row r="24" spans="1:7" x14ac:dyDescent="0.25">
      <c r="A24" t="s">
        <v>4</v>
      </c>
      <c r="B24">
        <v>22</v>
      </c>
      <c r="C24">
        <v>80</v>
      </c>
      <c r="D24">
        <v>2.7775652408599854</v>
      </c>
      <c r="E24" t="s">
        <v>10</v>
      </c>
      <c r="F24" t="s">
        <v>15</v>
      </c>
      <c r="G24">
        <v>5</v>
      </c>
    </row>
    <row r="25" spans="1:7" x14ac:dyDescent="0.25">
      <c r="A25" t="s">
        <v>4</v>
      </c>
      <c r="B25">
        <v>23</v>
      </c>
      <c r="C25">
        <v>75</v>
      </c>
      <c r="D25">
        <v>2.7234911918640137</v>
      </c>
      <c r="E25" t="s">
        <v>10</v>
      </c>
      <c r="F25" t="s">
        <v>15</v>
      </c>
      <c r="G25">
        <v>5</v>
      </c>
    </row>
    <row r="26" spans="1:7" x14ac:dyDescent="0.25">
      <c r="A26" t="s">
        <v>4</v>
      </c>
      <c r="B26">
        <v>24</v>
      </c>
      <c r="C26">
        <v>20</v>
      </c>
      <c r="D26">
        <v>2.647815465927124</v>
      </c>
      <c r="E26" t="s">
        <v>10</v>
      </c>
      <c r="F26" t="s">
        <v>15</v>
      </c>
      <c r="G26">
        <v>5</v>
      </c>
    </row>
    <row r="27" spans="1:7" x14ac:dyDescent="0.25">
      <c r="A27" t="s">
        <v>4</v>
      </c>
      <c r="B27">
        <v>25</v>
      </c>
      <c r="C27">
        <v>80</v>
      </c>
      <c r="D27">
        <v>2.6675074100494385</v>
      </c>
      <c r="E27" t="s">
        <v>10</v>
      </c>
      <c r="F27" t="s">
        <v>15</v>
      </c>
      <c r="G27">
        <v>5</v>
      </c>
    </row>
    <row r="28" spans="1:7" x14ac:dyDescent="0.25">
      <c r="A28" t="s">
        <v>4</v>
      </c>
      <c r="B28">
        <v>26</v>
      </c>
      <c r="C28">
        <v>85</v>
      </c>
      <c r="D28">
        <v>2.7852098941802979</v>
      </c>
      <c r="E28" t="s">
        <v>10</v>
      </c>
      <c r="F28" t="s">
        <v>15</v>
      </c>
      <c r="G28">
        <v>5</v>
      </c>
    </row>
    <row r="29" spans="1:7" x14ac:dyDescent="0.25">
      <c r="A29" t="s">
        <v>4</v>
      </c>
      <c r="B29">
        <v>27</v>
      </c>
      <c r="C29">
        <v>87</v>
      </c>
      <c r="D29">
        <v>4.0726532936096191</v>
      </c>
      <c r="E29" t="s">
        <v>10</v>
      </c>
      <c r="F29" t="s">
        <v>15</v>
      </c>
      <c r="G29">
        <v>5</v>
      </c>
    </row>
    <row r="30" spans="1:7" x14ac:dyDescent="0.25">
      <c r="A30" t="s">
        <v>4</v>
      </c>
      <c r="B30">
        <v>28</v>
      </c>
      <c r="C30">
        <v>0</v>
      </c>
      <c r="D30">
        <v>10.282889366149902</v>
      </c>
      <c r="E30" t="s">
        <v>10</v>
      </c>
      <c r="F30" t="s">
        <v>15</v>
      </c>
      <c r="G30">
        <v>5</v>
      </c>
    </row>
    <row r="31" spans="1:7" x14ac:dyDescent="0.25">
      <c r="A31" t="s">
        <v>4</v>
      </c>
      <c r="B31">
        <v>29</v>
      </c>
      <c r="C31">
        <v>87</v>
      </c>
      <c r="D31">
        <v>3.2967844009399414</v>
      </c>
      <c r="E31" t="s">
        <v>10</v>
      </c>
      <c r="F31" t="s">
        <v>15</v>
      </c>
      <c r="G31">
        <v>5</v>
      </c>
    </row>
    <row r="32" spans="1:7" x14ac:dyDescent="0.25">
      <c r="A32" t="s">
        <v>4</v>
      </c>
      <c r="B32">
        <v>30</v>
      </c>
      <c r="C32">
        <v>83</v>
      </c>
      <c r="D32">
        <v>9.7604715824127197</v>
      </c>
      <c r="E32" t="s">
        <v>10</v>
      </c>
      <c r="F32" t="s">
        <v>15</v>
      </c>
      <c r="G32">
        <v>5</v>
      </c>
    </row>
    <row r="33" spans="1:7" x14ac:dyDescent="0.25">
      <c r="A33" t="s">
        <v>4</v>
      </c>
      <c r="B33">
        <v>31</v>
      </c>
      <c r="C33">
        <v>80</v>
      </c>
      <c r="D33">
        <v>5.0041158199310303</v>
      </c>
      <c r="E33" t="s">
        <v>10</v>
      </c>
      <c r="F33" t="s">
        <v>15</v>
      </c>
      <c r="G33">
        <v>5</v>
      </c>
    </row>
    <row r="34" spans="1:7" x14ac:dyDescent="0.25">
      <c r="A34" t="s">
        <v>4</v>
      </c>
      <c r="B34">
        <v>32</v>
      </c>
      <c r="C34">
        <v>67</v>
      </c>
      <c r="D34">
        <v>5.497227668762207</v>
      </c>
      <c r="E34" t="s">
        <v>10</v>
      </c>
      <c r="F34" t="s">
        <v>15</v>
      </c>
      <c r="G34">
        <v>1.9</v>
      </c>
    </row>
    <row r="35" spans="1:7" x14ac:dyDescent="0.25">
      <c r="A35" t="s">
        <v>4</v>
      </c>
      <c r="B35">
        <v>33</v>
      </c>
      <c r="C35">
        <v>13</v>
      </c>
      <c r="D35">
        <v>8.9052183628082275</v>
      </c>
      <c r="E35" t="s">
        <v>10</v>
      </c>
      <c r="F35" t="s">
        <v>11</v>
      </c>
      <c r="G35">
        <v>7.5</v>
      </c>
    </row>
    <row r="36" spans="1:7" x14ac:dyDescent="0.25">
      <c r="A36" t="s">
        <v>4</v>
      </c>
      <c r="B36">
        <v>34</v>
      </c>
      <c r="C36">
        <v>83</v>
      </c>
      <c r="D36">
        <v>7.7426388263702393</v>
      </c>
      <c r="E36" t="s">
        <v>10</v>
      </c>
      <c r="F36" t="s">
        <v>11</v>
      </c>
      <c r="G36">
        <v>7.5</v>
      </c>
    </row>
    <row r="37" spans="1:7" x14ac:dyDescent="0.25">
      <c r="A37" t="s">
        <v>4</v>
      </c>
      <c r="B37">
        <v>35</v>
      </c>
      <c r="C37">
        <v>100</v>
      </c>
      <c r="D37">
        <v>11.721438884735107</v>
      </c>
      <c r="E37" t="s">
        <v>10</v>
      </c>
      <c r="F37" t="s">
        <v>13</v>
      </c>
      <c r="G37">
        <v>5</v>
      </c>
    </row>
    <row r="38" spans="1:7" x14ac:dyDescent="0.25">
      <c r="A38" t="s">
        <v>4</v>
      </c>
      <c r="B38">
        <v>36</v>
      </c>
      <c r="C38">
        <v>85</v>
      </c>
      <c r="D38">
        <v>9.8105208873748779</v>
      </c>
      <c r="E38" t="s">
        <v>10</v>
      </c>
      <c r="F38" t="s">
        <v>13</v>
      </c>
      <c r="G38">
        <v>5</v>
      </c>
    </row>
    <row r="39" spans="1:7" x14ac:dyDescent="0.25">
      <c r="A39" t="s">
        <v>4</v>
      </c>
      <c r="B39">
        <v>37</v>
      </c>
      <c r="C39">
        <v>89</v>
      </c>
      <c r="D39">
        <v>3.9843721389770508</v>
      </c>
      <c r="E39" t="s">
        <v>19</v>
      </c>
      <c r="F39" t="s">
        <v>16</v>
      </c>
      <c r="G39">
        <v>9.3000000000000007</v>
      </c>
    </row>
    <row r="40" spans="1:7" x14ac:dyDescent="0.25">
      <c r="A40" t="s">
        <v>4</v>
      </c>
      <c r="B40">
        <v>38</v>
      </c>
      <c r="C40">
        <v>50</v>
      </c>
      <c r="D40">
        <v>15.378108739852905</v>
      </c>
      <c r="E40" t="s">
        <v>19</v>
      </c>
      <c r="F40" t="s">
        <v>20</v>
      </c>
      <c r="G40">
        <v>6.8</v>
      </c>
    </row>
    <row r="41" spans="1:7" x14ac:dyDescent="0.25">
      <c r="A41" t="s">
        <v>4</v>
      </c>
      <c r="B41">
        <v>39</v>
      </c>
      <c r="C41">
        <v>100</v>
      </c>
      <c r="D41">
        <v>6.3129947185516357</v>
      </c>
      <c r="E41" t="s">
        <v>19</v>
      </c>
      <c r="F41" t="s">
        <v>20</v>
      </c>
      <c r="G41">
        <v>6.8</v>
      </c>
    </row>
    <row r="42" spans="1:7" x14ac:dyDescent="0.25">
      <c r="A42" t="s">
        <v>4</v>
      </c>
      <c r="B42">
        <v>40</v>
      </c>
      <c r="C42">
        <v>83</v>
      </c>
      <c r="D42">
        <v>2.7471020221710205</v>
      </c>
      <c r="E42" t="s">
        <v>19</v>
      </c>
      <c r="F42" t="s">
        <v>20</v>
      </c>
      <c r="G42">
        <v>6.8</v>
      </c>
    </row>
    <row r="43" spans="1:7" x14ac:dyDescent="0.25">
      <c r="A43" t="s">
        <v>4</v>
      </c>
      <c r="B43">
        <v>41</v>
      </c>
      <c r="C43">
        <v>100</v>
      </c>
      <c r="D43">
        <v>7.1814091205596924</v>
      </c>
      <c r="E43" t="s">
        <v>19</v>
      </c>
      <c r="F43" t="s">
        <v>20</v>
      </c>
      <c r="G43">
        <v>6.8</v>
      </c>
    </row>
    <row r="44" spans="1:7" x14ac:dyDescent="0.25">
      <c r="A44" t="s">
        <v>4</v>
      </c>
      <c r="B44">
        <v>42</v>
      </c>
      <c r="C44">
        <v>83</v>
      </c>
      <c r="D44">
        <v>8.1388492584228516</v>
      </c>
      <c r="E44" t="s">
        <v>19</v>
      </c>
      <c r="F44" t="s">
        <v>20</v>
      </c>
      <c r="G44">
        <v>6.8</v>
      </c>
    </row>
    <row r="45" spans="1:7" x14ac:dyDescent="0.25">
      <c r="A45" t="s">
        <v>4</v>
      </c>
      <c r="B45">
        <v>43</v>
      </c>
      <c r="C45">
        <v>70</v>
      </c>
      <c r="D45">
        <v>7.5656478404998779</v>
      </c>
      <c r="E45" t="s">
        <v>19</v>
      </c>
      <c r="F45" t="s">
        <v>20</v>
      </c>
      <c r="G45">
        <v>6.8</v>
      </c>
    </row>
    <row r="46" spans="1:7" x14ac:dyDescent="0.25">
      <c r="A46" t="s">
        <v>4</v>
      </c>
      <c r="B46">
        <v>44</v>
      </c>
      <c r="C46">
        <v>88</v>
      </c>
      <c r="D46">
        <v>9.3233804702758789</v>
      </c>
      <c r="E46" t="s">
        <v>19</v>
      </c>
      <c r="F46" t="s">
        <v>20</v>
      </c>
      <c r="G46">
        <v>6.8</v>
      </c>
    </row>
    <row r="47" spans="1:7" x14ac:dyDescent="0.25">
      <c r="A47" t="s">
        <v>4</v>
      </c>
      <c r="B47">
        <v>45</v>
      </c>
      <c r="C47">
        <v>87</v>
      </c>
      <c r="D47">
        <v>3.7389011383056641</v>
      </c>
      <c r="E47" t="s">
        <v>19</v>
      </c>
      <c r="F47" t="s">
        <v>20</v>
      </c>
      <c r="G47">
        <v>6.8</v>
      </c>
    </row>
    <row r="48" spans="1:7" x14ac:dyDescent="0.25">
      <c r="A48" t="s">
        <v>4</v>
      </c>
      <c r="B48">
        <v>46</v>
      </c>
      <c r="C48">
        <v>95</v>
      </c>
      <c r="D48">
        <v>2.8472933769226074</v>
      </c>
      <c r="E48" t="s">
        <v>19</v>
      </c>
      <c r="F48" t="s">
        <v>20</v>
      </c>
      <c r="G48">
        <v>6.8</v>
      </c>
    </row>
    <row r="49" spans="1:7" x14ac:dyDescent="0.25">
      <c r="A49" t="s">
        <v>4</v>
      </c>
      <c r="B49">
        <v>47</v>
      </c>
      <c r="C49">
        <v>89</v>
      </c>
      <c r="D49">
        <v>3.7458150386810303</v>
      </c>
      <c r="E49" t="s">
        <v>19</v>
      </c>
      <c r="F49" t="s">
        <v>20</v>
      </c>
      <c r="G49">
        <v>6.8</v>
      </c>
    </row>
    <row r="50" spans="1:7" x14ac:dyDescent="0.25">
      <c r="A50" t="s">
        <v>4</v>
      </c>
      <c r="B50">
        <v>48</v>
      </c>
      <c r="C50">
        <v>90</v>
      </c>
      <c r="D50">
        <v>2.7719662189483643</v>
      </c>
      <c r="E50" t="s">
        <v>19</v>
      </c>
      <c r="F50" t="s">
        <v>20</v>
      </c>
      <c r="G50">
        <v>6.8</v>
      </c>
    </row>
    <row r="51" spans="1:7" x14ac:dyDescent="0.25">
      <c r="A51" t="s">
        <v>4</v>
      </c>
      <c r="B51">
        <v>49</v>
      </c>
      <c r="C51">
        <v>57</v>
      </c>
      <c r="D51">
        <v>3.0869176387786865</v>
      </c>
      <c r="E51" t="s">
        <v>19</v>
      </c>
      <c r="F51" t="s">
        <v>20</v>
      </c>
      <c r="G51">
        <v>6.8</v>
      </c>
    </row>
    <row r="52" spans="1:7" x14ac:dyDescent="0.25">
      <c r="A52" t="s">
        <v>4</v>
      </c>
      <c r="B52">
        <v>50</v>
      </c>
      <c r="C52">
        <v>90</v>
      </c>
      <c r="D52">
        <v>7.9567601680755615</v>
      </c>
      <c r="E52" t="s">
        <v>19</v>
      </c>
      <c r="F52" t="s">
        <v>20</v>
      </c>
      <c r="G52">
        <v>6.8</v>
      </c>
    </row>
    <row r="53" spans="1:7" x14ac:dyDescent="0.25">
      <c r="A53" t="s">
        <v>4</v>
      </c>
      <c r="B53">
        <v>51</v>
      </c>
      <c r="C53">
        <v>83</v>
      </c>
      <c r="D53">
        <v>11.564092636108398</v>
      </c>
      <c r="E53" t="s">
        <v>19</v>
      </c>
      <c r="F53" t="s">
        <v>20</v>
      </c>
      <c r="G53">
        <v>6.8</v>
      </c>
    </row>
    <row r="54" spans="1:7" x14ac:dyDescent="0.25">
      <c r="A54" t="s">
        <v>4</v>
      </c>
      <c r="B54">
        <v>52</v>
      </c>
      <c r="C54">
        <v>83</v>
      </c>
      <c r="D54">
        <v>10.095319509506226</v>
      </c>
      <c r="E54" t="s">
        <v>19</v>
      </c>
      <c r="F54" t="s">
        <v>20</v>
      </c>
      <c r="G54">
        <v>6.8</v>
      </c>
    </row>
    <row r="55" spans="1:7" x14ac:dyDescent="0.25">
      <c r="A55" t="s">
        <v>4</v>
      </c>
      <c r="B55">
        <v>53</v>
      </c>
      <c r="C55">
        <v>88</v>
      </c>
      <c r="D55">
        <v>4.0910038948059082</v>
      </c>
      <c r="E55" t="s">
        <v>19</v>
      </c>
      <c r="F55" t="s">
        <v>20</v>
      </c>
      <c r="G55">
        <v>6.8</v>
      </c>
    </row>
    <row r="56" spans="1:7" x14ac:dyDescent="0.25">
      <c r="A56" t="s">
        <v>4</v>
      </c>
      <c r="B56">
        <v>54</v>
      </c>
      <c r="C56">
        <v>100</v>
      </c>
      <c r="D56">
        <v>5.9360265731811523</v>
      </c>
      <c r="E56" t="s">
        <v>19</v>
      </c>
      <c r="F56" t="s">
        <v>20</v>
      </c>
      <c r="G56">
        <v>6.8</v>
      </c>
    </row>
    <row r="57" spans="1:7" x14ac:dyDescent="0.25">
      <c r="A57" t="s">
        <v>4</v>
      </c>
      <c r="B57">
        <v>55</v>
      </c>
      <c r="C57">
        <v>34</v>
      </c>
      <c r="D57">
        <v>19.005450963973999</v>
      </c>
      <c r="E57" t="s">
        <v>19</v>
      </c>
      <c r="F57" t="s">
        <v>20</v>
      </c>
      <c r="G57">
        <v>6.8</v>
      </c>
    </row>
    <row r="58" spans="1:7" x14ac:dyDescent="0.25">
      <c r="A58" t="s">
        <v>4</v>
      </c>
      <c r="B58">
        <v>56</v>
      </c>
      <c r="C58">
        <v>98</v>
      </c>
      <c r="D58">
        <v>3.9796175956726074</v>
      </c>
      <c r="E58" t="s">
        <v>19</v>
      </c>
      <c r="F58" t="s">
        <v>20</v>
      </c>
      <c r="G58">
        <v>6.8</v>
      </c>
    </row>
    <row r="59" spans="1:7" x14ac:dyDescent="0.25">
      <c r="A59" t="s">
        <v>4</v>
      </c>
      <c r="B59">
        <v>57</v>
      </c>
      <c r="C59">
        <v>81</v>
      </c>
      <c r="D59">
        <v>6.2242889404296875</v>
      </c>
      <c r="E59" t="s">
        <v>19</v>
      </c>
      <c r="F59" t="s">
        <v>20</v>
      </c>
      <c r="G59">
        <v>6.8</v>
      </c>
    </row>
    <row r="60" spans="1:7" x14ac:dyDescent="0.25">
      <c r="A60" t="s">
        <v>4</v>
      </c>
      <c r="B60">
        <v>58</v>
      </c>
      <c r="C60">
        <v>80</v>
      </c>
      <c r="D60">
        <v>4.8384718894958496</v>
      </c>
      <c r="E60" t="s">
        <v>19</v>
      </c>
      <c r="F60" t="s">
        <v>13</v>
      </c>
      <c r="G60">
        <v>6.8</v>
      </c>
    </row>
    <row r="61" spans="1:7" x14ac:dyDescent="0.25">
      <c r="A61" t="s">
        <v>4</v>
      </c>
      <c r="B61">
        <v>59</v>
      </c>
      <c r="C61">
        <v>12</v>
      </c>
      <c r="D61">
        <v>5.0150039196014404</v>
      </c>
      <c r="E61" t="s">
        <v>19</v>
      </c>
      <c r="F61" t="s">
        <v>13</v>
      </c>
      <c r="G61">
        <v>6.8</v>
      </c>
    </row>
    <row r="62" spans="1:7" x14ac:dyDescent="0.25">
      <c r="A62" t="s">
        <v>4</v>
      </c>
      <c r="B62">
        <v>60</v>
      </c>
      <c r="C62">
        <v>80</v>
      </c>
      <c r="D62">
        <v>3.8679521083831787</v>
      </c>
      <c r="E62" t="s">
        <v>10</v>
      </c>
      <c r="F62" t="s">
        <v>21</v>
      </c>
      <c r="G62">
        <v>7.5</v>
      </c>
    </row>
    <row r="63" spans="1:7" x14ac:dyDescent="0.25">
      <c r="A63" t="s">
        <v>4</v>
      </c>
      <c r="B63">
        <v>61</v>
      </c>
      <c r="C63">
        <v>72</v>
      </c>
      <c r="D63">
        <v>3.1703240871429443</v>
      </c>
      <c r="E63" t="s">
        <v>10</v>
      </c>
      <c r="F63" t="s">
        <v>21</v>
      </c>
      <c r="G63">
        <v>7.5</v>
      </c>
    </row>
    <row r="64" spans="1:7" x14ac:dyDescent="0.25">
      <c r="A64" t="s">
        <v>4</v>
      </c>
      <c r="B64">
        <v>62</v>
      </c>
      <c r="C64">
        <v>80</v>
      </c>
      <c r="D64">
        <v>2.7149994373321533</v>
      </c>
      <c r="E64" t="s">
        <v>10</v>
      </c>
      <c r="F64" t="s">
        <v>21</v>
      </c>
      <c r="G64">
        <v>5</v>
      </c>
    </row>
    <row r="65" spans="1:7" x14ac:dyDescent="0.25">
      <c r="A65" t="s">
        <v>4</v>
      </c>
      <c r="B65">
        <v>63</v>
      </c>
      <c r="C65">
        <v>83</v>
      </c>
      <c r="D65">
        <v>4.6621487140655518</v>
      </c>
      <c r="E65" t="s">
        <v>10</v>
      </c>
      <c r="F65" t="s">
        <v>21</v>
      </c>
      <c r="G65">
        <v>5</v>
      </c>
    </row>
    <row r="66" spans="1:7" x14ac:dyDescent="0.25">
      <c r="A66" t="s">
        <v>4</v>
      </c>
      <c r="B66">
        <v>64</v>
      </c>
      <c r="C66">
        <v>89</v>
      </c>
      <c r="D66">
        <v>18.738506555557251</v>
      </c>
      <c r="E66" t="s">
        <v>10</v>
      </c>
      <c r="F66" t="s">
        <v>21</v>
      </c>
      <c r="G66">
        <v>5</v>
      </c>
    </row>
    <row r="67" spans="1:7" x14ac:dyDescent="0.25">
      <c r="A67" t="s">
        <v>4</v>
      </c>
      <c r="B67">
        <v>65</v>
      </c>
      <c r="C67">
        <v>90</v>
      </c>
      <c r="D67">
        <v>3.639535665512085</v>
      </c>
      <c r="E67" t="s">
        <v>10</v>
      </c>
      <c r="F67" t="s">
        <v>15</v>
      </c>
      <c r="G67">
        <v>5</v>
      </c>
    </row>
    <row r="68" spans="1:7" x14ac:dyDescent="0.25">
      <c r="A68" t="s">
        <v>4</v>
      </c>
      <c r="B68">
        <v>66</v>
      </c>
      <c r="C68">
        <v>85</v>
      </c>
      <c r="D68">
        <v>2.9548618793487549</v>
      </c>
      <c r="E68" t="s">
        <v>10</v>
      </c>
      <c r="F68" t="s">
        <v>15</v>
      </c>
      <c r="G68">
        <v>5</v>
      </c>
    </row>
    <row r="69" spans="1:7" x14ac:dyDescent="0.25">
      <c r="A69" t="s">
        <v>4</v>
      </c>
      <c r="B69">
        <v>67</v>
      </c>
      <c r="C69">
        <v>72</v>
      </c>
      <c r="D69">
        <v>3.2206454277038574</v>
      </c>
      <c r="E69" t="s">
        <v>10</v>
      </c>
      <c r="F69" t="s">
        <v>15</v>
      </c>
      <c r="G69">
        <v>5</v>
      </c>
    </row>
    <row r="70" spans="1:7" x14ac:dyDescent="0.25">
      <c r="A70" t="s">
        <v>4</v>
      </c>
      <c r="B70">
        <v>68</v>
      </c>
      <c r="C70">
        <v>80</v>
      </c>
      <c r="D70">
        <v>3.2555692195892334</v>
      </c>
      <c r="E70" t="s">
        <v>10</v>
      </c>
      <c r="F70" t="s">
        <v>15</v>
      </c>
      <c r="G70">
        <v>5</v>
      </c>
    </row>
    <row r="71" spans="1:7" x14ac:dyDescent="0.25">
      <c r="A71" t="s">
        <v>4</v>
      </c>
      <c r="B71">
        <v>69</v>
      </c>
      <c r="C71">
        <v>48</v>
      </c>
      <c r="D71">
        <v>3.1337869167327881</v>
      </c>
      <c r="E71" t="s">
        <v>10</v>
      </c>
      <c r="F71" t="s">
        <v>15</v>
      </c>
      <c r="G71">
        <v>2.1</v>
      </c>
    </row>
    <row r="72" spans="1:7" x14ac:dyDescent="0.25">
      <c r="A72" t="s">
        <v>4</v>
      </c>
      <c r="B72">
        <v>70</v>
      </c>
      <c r="C72">
        <v>85</v>
      </c>
      <c r="D72">
        <v>17.59015965461731</v>
      </c>
      <c r="E72" t="s">
        <v>10</v>
      </c>
      <c r="F72" t="s">
        <v>11</v>
      </c>
      <c r="G72">
        <v>6.8</v>
      </c>
    </row>
    <row r="73" spans="1:7" x14ac:dyDescent="0.25">
      <c r="A73" t="s">
        <v>4</v>
      </c>
      <c r="B73">
        <v>71</v>
      </c>
      <c r="C73">
        <v>0</v>
      </c>
      <c r="D73">
        <v>4.8991873264312744</v>
      </c>
      <c r="E73" t="s">
        <v>10</v>
      </c>
      <c r="F73" t="s">
        <v>11</v>
      </c>
      <c r="G73">
        <v>6.8</v>
      </c>
    </row>
    <row r="74" spans="1:7" x14ac:dyDescent="0.25">
      <c r="A74" t="s">
        <v>4</v>
      </c>
      <c r="B74">
        <v>72</v>
      </c>
      <c r="C74">
        <v>74</v>
      </c>
      <c r="D74">
        <v>13.932613134384155</v>
      </c>
      <c r="E74" t="s">
        <v>10</v>
      </c>
      <c r="F74" t="s">
        <v>11</v>
      </c>
      <c r="G74">
        <v>6.8</v>
      </c>
    </row>
    <row r="75" spans="1:7" x14ac:dyDescent="0.25">
      <c r="A75" t="s">
        <v>4</v>
      </c>
      <c r="B75">
        <v>73</v>
      </c>
      <c r="C75">
        <v>87</v>
      </c>
      <c r="D75">
        <v>6.1301753520965576</v>
      </c>
      <c r="E75" t="s">
        <v>10</v>
      </c>
      <c r="F75" t="s">
        <v>11</v>
      </c>
      <c r="G75">
        <v>6.8</v>
      </c>
    </row>
    <row r="76" spans="1:7" x14ac:dyDescent="0.25">
      <c r="A76" t="s">
        <v>4</v>
      </c>
      <c r="B76">
        <v>74</v>
      </c>
      <c r="C76">
        <v>85</v>
      </c>
      <c r="D76">
        <v>3.4716653823852539</v>
      </c>
      <c r="E76" t="s">
        <v>10</v>
      </c>
      <c r="F76" t="s">
        <v>13</v>
      </c>
      <c r="G76">
        <v>7.5</v>
      </c>
    </row>
    <row r="77" spans="1:7" x14ac:dyDescent="0.25">
      <c r="A77" t="s">
        <v>4</v>
      </c>
      <c r="B77">
        <v>75</v>
      </c>
      <c r="C77">
        <v>80</v>
      </c>
      <c r="D77">
        <v>5.5356051921844482</v>
      </c>
      <c r="E77" t="s">
        <v>10</v>
      </c>
      <c r="F77" t="s">
        <v>15</v>
      </c>
      <c r="G77">
        <v>5</v>
      </c>
    </row>
    <row r="78" spans="1:7" x14ac:dyDescent="0.25">
      <c r="A78" t="s">
        <v>4</v>
      </c>
      <c r="B78">
        <v>76</v>
      </c>
      <c r="C78">
        <v>90</v>
      </c>
      <c r="D78">
        <v>3.5381999015808105</v>
      </c>
      <c r="E78" t="s">
        <v>10</v>
      </c>
      <c r="F78" t="s">
        <v>11</v>
      </c>
      <c r="G78">
        <v>7.5</v>
      </c>
    </row>
    <row r="79" spans="1:7" x14ac:dyDescent="0.25">
      <c r="A79" t="s">
        <v>4</v>
      </c>
      <c r="B79">
        <v>77</v>
      </c>
      <c r="C79">
        <v>80</v>
      </c>
      <c r="D79">
        <v>3.2671847343444824</v>
      </c>
      <c r="E79" t="s">
        <v>10</v>
      </c>
      <c r="F79" t="s">
        <v>11</v>
      </c>
      <c r="G79">
        <v>7.5</v>
      </c>
    </row>
    <row r="80" spans="1:7" x14ac:dyDescent="0.25">
      <c r="A80" t="s">
        <v>4</v>
      </c>
      <c r="B80">
        <v>78</v>
      </c>
      <c r="C80">
        <v>22</v>
      </c>
      <c r="D80">
        <v>2.8603925704956055</v>
      </c>
      <c r="E80" t="s">
        <v>10</v>
      </c>
      <c r="F80" t="s">
        <v>11</v>
      </c>
      <c r="G80">
        <v>7.5</v>
      </c>
    </row>
    <row r="81" spans="1:7" x14ac:dyDescent="0.25">
      <c r="A81" t="s">
        <v>4</v>
      </c>
      <c r="B81">
        <v>79</v>
      </c>
      <c r="C81">
        <v>30</v>
      </c>
      <c r="D81">
        <v>4.674513578414917</v>
      </c>
      <c r="E81" t="s">
        <v>10</v>
      </c>
      <c r="F81" t="s">
        <v>11</v>
      </c>
      <c r="G81">
        <v>7.5</v>
      </c>
    </row>
    <row r="82" spans="1:7" x14ac:dyDescent="0.25">
      <c r="A82" t="s">
        <v>4</v>
      </c>
      <c r="B82">
        <v>80</v>
      </c>
      <c r="C82">
        <v>90</v>
      </c>
      <c r="D82">
        <v>5.3070156574249268</v>
      </c>
      <c r="E82" t="s">
        <v>10</v>
      </c>
      <c r="F82" t="s">
        <v>11</v>
      </c>
      <c r="G82">
        <v>7.5</v>
      </c>
    </row>
    <row r="83" spans="1:7" x14ac:dyDescent="0.25">
      <c r="A83" t="s">
        <v>4</v>
      </c>
      <c r="B83">
        <v>81</v>
      </c>
      <c r="C83">
        <v>29</v>
      </c>
      <c r="D83">
        <v>3.6689038276672363</v>
      </c>
      <c r="E83" t="s">
        <v>10</v>
      </c>
      <c r="F83" t="s">
        <v>11</v>
      </c>
      <c r="G83">
        <v>7.5</v>
      </c>
    </row>
    <row r="84" spans="1:7" x14ac:dyDescent="0.25">
      <c r="A84" t="s">
        <v>4</v>
      </c>
      <c r="B84">
        <v>82</v>
      </c>
      <c r="C84">
        <v>90</v>
      </c>
      <c r="D84">
        <v>2.8170759677886963</v>
      </c>
      <c r="E84" t="s">
        <v>10</v>
      </c>
      <c r="F84" t="s">
        <v>11</v>
      </c>
      <c r="G84">
        <v>7.5</v>
      </c>
    </row>
    <row r="85" spans="1:7" x14ac:dyDescent="0.25">
      <c r="A85" t="s">
        <v>4</v>
      </c>
      <c r="B85">
        <v>83</v>
      </c>
      <c r="C85">
        <v>83</v>
      </c>
      <c r="D85">
        <v>3.4116737842559814</v>
      </c>
      <c r="E85" t="s">
        <v>10</v>
      </c>
      <c r="F85" t="s">
        <v>22</v>
      </c>
      <c r="G85">
        <v>6.8</v>
      </c>
    </row>
    <row r="86" spans="1:7" x14ac:dyDescent="0.25">
      <c r="A86" t="s">
        <v>4</v>
      </c>
      <c r="B86">
        <v>84</v>
      </c>
      <c r="C86">
        <v>80</v>
      </c>
      <c r="D86">
        <v>2.8270070552825928</v>
      </c>
      <c r="E86" t="s">
        <v>19</v>
      </c>
      <c r="F86" t="s">
        <v>15</v>
      </c>
      <c r="G86">
        <v>5</v>
      </c>
    </row>
    <row r="87" spans="1:7" x14ac:dyDescent="0.25">
      <c r="A87" t="s">
        <v>4</v>
      </c>
      <c r="B87">
        <v>85</v>
      </c>
      <c r="C87">
        <v>72</v>
      </c>
      <c r="D87">
        <v>3.4467530250549316</v>
      </c>
      <c r="E87" t="s">
        <v>19</v>
      </c>
      <c r="F87" t="s">
        <v>15</v>
      </c>
      <c r="G87">
        <v>5</v>
      </c>
    </row>
    <row r="88" spans="1:7" x14ac:dyDescent="0.25">
      <c r="A88" t="s">
        <v>4</v>
      </c>
      <c r="B88">
        <v>86</v>
      </c>
      <c r="C88">
        <v>42</v>
      </c>
      <c r="D88">
        <v>5.2905197143554688</v>
      </c>
      <c r="E88" t="s">
        <v>10</v>
      </c>
      <c r="F88" t="s">
        <v>21</v>
      </c>
      <c r="G88">
        <v>4.3</v>
      </c>
    </row>
    <row r="89" spans="1:7" x14ac:dyDescent="0.25">
      <c r="A89" t="s">
        <v>4</v>
      </c>
      <c r="B89">
        <v>87</v>
      </c>
      <c r="C89">
        <v>80</v>
      </c>
      <c r="D89">
        <v>5.8178799152374268</v>
      </c>
      <c r="E89" t="s">
        <v>10</v>
      </c>
      <c r="F89" t="s">
        <v>23</v>
      </c>
      <c r="G89">
        <v>9.3000000000000007</v>
      </c>
    </row>
    <row r="90" spans="1:7" x14ac:dyDescent="0.25">
      <c r="A90" t="s">
        <v>4</v>
      </c>
      <c r="B90">
        <v>88</v>
      </c>
      <c r="C90">
        <v>84</v>
      </c>
      <c r="D90">
        <v>3.7768840789794922</v>
      </c>
      <c r="E90" t="s">
        <v>10</v>
      </c>
      <c r="F90" t="s">
        <v>21</v>
      </c>
      <c r="G90">
        <v>5</v>
      </c>
    </row>
    <row r="91" spans="1:7" x14ac:dyDescent="0.25">
      <c r="A91" t="s">
        <v>4</v>
      </c>
      <c r="B91">
        <v>89</v>
      </c>
      <c r="C91">
        <v>80</v>
      </c>
      <c r="D91">
        <v>4.2664284706115723</v>
      </c>
      <c r="E91" t="s">
        <v>19</v>
      </c>
      <c r="F91" t="s">
        <v>15</v>
      </c>
      <c r="G91">
        <v>5</v>
      </c>
    </row>
    <row r="92" spans="1:7" x14ac:dyDescent="0.25">
      <c r="A92" t="s">
        <v>4</v>
      </c>
      <c r="B92">
        <v>90</v>
      </c>
      <c r="C92">
        <v>97</v>
      </c>
      <c r="D92">
        <v>4.3261239528656006</v>
      </c>
      <c r="E92" t="s">
        <v>19</v>
      </c>
      <c r="F92" t="s">
        <v>20</v>
      </c>
      <c r="G92">
        <v>7.5</v>
      </c>
    </row>
    <row r="93" spans="1:7" x14ac:dyDescent="0.25">
      <c r="A93" t="s">
        <v>4</v>
      </c>
      <c r="B93">
        <v>91</v>
      </c>
      <c r="C93">
        <v>87</v>
      </c>
      <c r="D93">
        <v>4.5323750972747803</v>
      </c>
      <c r="E93" t="s">
        <v>10</v>
      </c>
      <c r="F93" t="s">
        <v>13</v>
      </c>
      <c r="G93">
        <v>4.4000000000000004</v>
      </c>
    </row>
    <row r="94" spans="1:7" x14ac:dyDescent="0.25">
      <c r="A94" t="s">
        <v>4</v>
      </c>
      <c r="B94">
        <v>92</v>
      </c>
      <c r="C94">
        <v>43</v>
      </c>
      <c r="D94">
        <v>15.80187201499939</v>
      </c>
      <c r="E94" t="s">
        <v>10</v>
      </c>
      <c r="F94" t="s">
        <v>13</v>
      </c>
      <c r="G94">
        <v>4.4000000000000004</v>
      </c>
    </row>
    <row r="95" spans="1:7" x14ac:dyDescent="0.25">
      <c r="A95" t="s">
        <v>4</v>
      </c>
      <c r="B95">
        <v>93</v>
      </c>
      <c r="C95">
        <v>83</v>
      </c>
      <c r="D95">
        <v>15.183629274368286</v>
      </c>
      <c r="E95" t="s">
        <v>10</v>
      </c>
      <c r="F95" t="s">
        <v>13</v>
      </c>
      <c r="G95">
        <v>4.4000000000000004</v>
      </c>
    </row>
    <row r="96" spans="1:7" x14ac:dyDescent="0.25">
      <c r="A96" t="s">
        <v>4</v>
      </c>
      <c r="B96">
        <v>94</v>
      </c>
      <c r="C96">
        <v>37</v>
      </c>
      <c r="D96">
        <v>11.7391676902771</v>
      </c>
      <c r="E96" t="s">
        <v>10</v>
      </c>
      <c r="F96" t="s">
        <v>20</v>
      </c>
      <c r="G96">
        <v>7.5</v>
      </c>
    </row>
    <row r="97" spans="1:7" x14ac:dyDescent="0.25">
      <c r="A97" t="s">
        <v>4</v>
      </c>
      <c r="B97">
        <v>95</v>
      </c>
      <c r="C97">
        <v>20</v>
      </c>
      <c r="D97">
        <v>4.3312451839447021</v>
      </c>
      <c r="E97" t="s">
        <v>10</v>
      </c>
      <c r="F97" t="s">
        <v>13</v>
      </c>
      <c r="G97">
        <v>5.8</v>
      </c>
    </row>
    <row r="98" spans="1:7" x14ac:dyDescent="0.25">
      <c r="A98" t="s">
        <v>4</v>
      </c>
      <c r="B98">
        <v>96</v>
      </c>
      <c r="C98">
        <v>79</v>
      </c>
      <c r="D98">
        <v>3.9230720996856689</v>
      </c>
      <c r="E98" t="s">
        <v>10</v>
      </c>
      <c r="F98" t="s">
        <v>13</v>
      </c>
      <c r="G98">
        <v>5.8</v>
      </c>
    </row>
    <row r="99" spans="1:7" x14ac:dyDescent="0.25">
      <c r="A99" t="s">
        <v>4</v>
      </c>
      <c r="B99">
        <v>97</v>
      </c>
      <c r="C99">
        <v>15</v>
      </c>
      <c r="D99">
        <v>3.9625954627990723</v>
      </c>
      <c r="E99" t="s">
        <v>10</v>
      </c>
      <c r="F99" t="s">
        <v>14</v>
      </c>
      <c r="G99">
        <v>5</v>
      </c>
    </row>
    <row r="100" spans="1:7" x14ac:dyDescent="0.25">
      <c r="A100" t="s">
        <v>4</v>
      </c>
      <c r="B100">
        <v>98</v>
      </c>
      <c r="C100">
        <v>85</v>
      </c>
      <c r="D100">
        <v>2.4390683174133301</v>
      </c>
      <c r="E100" t="s">
        <v>10</v>
      </c>
      <c r="F100" t="s">
        <v>15</v>
      </c>
      <c r="G100">
        <v>1.2</v>
      </c>
    </row>
    <row r="101" spans="1:7" x14ac:dyDescent="0.25">
      <c r="A101" t="s">
        <v>4</v>
      </c>
      <c r="B101">
        <v>99</v>
      </c>
      <c r="C101">
        <v>72</v>
      </c>
      <c r="D101">
        <v>2.7030513286590576</v>
      </c>
      <c r="E101" t="s">
        <v>10</v>
      </c>
      <c r="F101" t="s">
        <v>15</v>
      </c>
      <c r="G101">
        <v>5</v>
      </c>
    </row>
    <row r="102" spans="1:7" x14ac:dyDescent="0.25">
      <c r="A102" t="s">
        <v>4</v>
      </c>
      <c r="B102">
        <v>100</v>
      </c>
      <c r="C102">
        <v>30</v>
      </c>
      <c r="D102">
        <v>2.7067615985870361</v>
      </c>
      <c r="E102" t="s">
        <v>10</v>
      </c>
      <c r="F102" t="s">
        <v>15</v>
      </c>
      <c r="G102">
        <v>5</v>
      </c>
    </row>
    <row r="103" spans="1:7" x14ac:dyDescent="0.25">
      <c r="A103" t="s">
        <v>4</v>
      </c>
      <c r="B103">
        <v>101</v>
      </c>
      <c r="C103">
        <v>45</v>
      </c>
      <c r="D103">
        <v>6.8396792411804199</v>
      </c>
      <c r="E103" t="s">
        <v>19</v>
      </c>
      <c r="F103" t="s">
        <v>15</v>
      </c>
      <c r="G103">
        <v>5</v>
      </c>
    </row>
    <row r="104" spans="1:7" x14ac:dyDescent="0.25">
      <c r="A104" t="s">
        <v>4</v>
      </c>
      <c r="B104">
        <v>102</v>
      </c>
      <c r="C104">
        <v>80</v>
      </c>
      <c r="D104">
        <v>2.8026983737945557</v>
      </c>
      <c r="E104" t="s">
        <v>10</v>
      </c>
      <c r="F104" t="s">
        <v>11</v>
      </c>
      <c r="G104">
        <v>4.3</v>
      </c>
    </row>
    <row r="105" spans="1:7" x14ac:dyDescent="0.25">
      <c r="A105" t="s">
        <v>4</v>
      </c>
      <c r="B105">
        <v>103</v>
      </c>
      <c r="C105">
        <v>97</v>
      </c>
      <c r="D105">
        <v>5.463482141494751</v>
      </c>
      <c r="E105" t="s">
        <v>10</v>
      </c>
      <c r="F105" t="s">
        <v>17</v>
      </c>
      <c r="G105">
        <v>5</v>
      </c>
    </row>
    <row r="106" spans="1:7" x14ac:dyDescent="0.25">
      <c r="A106" t="s">
        <v>4</v>
      </c>
      <c r="B106">
        <v>104</v>
      </c>
      <c r="C106">
        <v>72</v>
      </c>
      <c r="D106">
        <v>4.2505674362182617</v>
      </c>
      <c r="E106" t="s">
        <v>10</v>
      </c>
      <c r="F106" t="s">
        <v>17</v>
      </c>
      <c r="G106">
        <v>5</v>
      </c>
    </row>
    <row r="107" spans="1:7" x14ac:dyDescent="0.25">
      <c r="A107" t="s">
        <v>4</v>
      </c>
      <c r="B107">
        <v>105</v>
      </c>
      <c r="C107">
        <v>98</v>
      </c>
      <c r="D107">
        <v>3.9406158924102783</v>
      </c>
      <c r="E107" t="s">
        <v>10</v>
      </c>
      <c r="F107" t="s">
        <v>17</v>
      </c>
      <c r="G107">
        <v>5</v>
      </c>
    </row>
    <row r="108" spans="1:7" x14ac:dyDescent="0.25">
      <c r="A108" t="s">
        <v>4</v>
      </c>
      <c r="B108">
        <v>106</v>
      </c>
      <c r="C108">
        <v>90</v>
      </c>
      <c r="D108">
        <v>3.7108485698699951</v>
      </c>
      <c r="E108" t="s">
        <v>10</v>
      </c>
      <c r="F108" t="s">
        <v>17</v>
      </c>
      <c r="G108">
        <v>5</v>
      </c>
    </row>
    <row r="109" spans="1:7" x14ac:dyDescent="0.25">
      <c r="A109" t="s">
        <v>4</v>
      </c>
      <c r="B109">
        <v>107</v>
      </c>
      <c r="C109">
        <v>30</v>
      </c>
      <c r="D109">
        <v>5.1650784015655518</v>
      </c>
      <c r="E109" t="s">
        <v>10</v>
      </c>
      <c r="F109" t="s">
        <v>17</v>
      </c>
      <c r="G109">
        <v>5</v>
      </c>
    </row>
    <row r="110" spans="1:7" x14ac:dyDescent="0.25">
      <c r="A110" t="s">
        <v>4</v>
      </c>
      <c r="B110">
        <v>108</v>
      </c>
      <c r="C110">
        <v>86</v>
      </c>
      <c r="D110">
        <v>3.6670651435852051</v>
      </c>
      <c r="E110" t="s">
        <v>10</v>
      </c>
      <c r="F110" t="s">
        <v>17</v>
      </c>
      <c r="G110">
        <v>5</v>
      </c>
    </row>
    <row r="111" spans="1:7" x14ac:dyDescent="0.25">
      <c r="A111" t="s">
        <v>4</v>
      </c>
      <c r="B111">
        <v>109</v>
      </c>
      <c r="C111">
        <v>100</v>
      </c>
      <c r="D111">
        <v>15.03569221496582</v>
      </c>
      <c r="E111" t="s">
        <v>10</v>
      </c>
      <c r="F111" t="s">
        <v>17</v>
      </c>
      <c r="G111">
        <v>5</v>
      </c>
    </row>
    <row r="112" spans="1:7" x14ac:dyDescent="0.25">
      <c r="A112" t="s">
        <v>4</v>
      </c>
      <c r="B112">
        <v>110</v>
      </c>
      <c r="C112">
        <v>70</v>
      </c>
      <c r="D112">
        <v>3.0813758373260498</v>
      </c>
      <c r="E112" t="s">
        <v>10</v>
      </c>
      <c r="F112" t="s">
        <v>17</v>
      </c>
      <c r="G112">
        <v>5</v>
      </c>
    </row>
    <row r="113" spans="1:7" x14ac:dyDescent="0.25">
      <c r="A113" t="s">
        <v>4</v>
      </c>
      <c r="B113">
        <v>111</v>
      </c>
      <c r="C113">
        <v>87</v>
      </c>
      <c r="D113">
        <v>2.8798148632049561</v>
      </c>
      <c r="E113" t="s">
        <v>10</v>
      </c>
      <c r="F113" t="s">
        <v>13</v>
      </c>
      <c r="G113">
        <v>4.3</v>
      </c>
    </row>
    <row r="114" spans="1:7" x14ac:dyDescent="0.25">
      <c r="A114" t="s">
        <v>4</v>
      </c>
      <c r="B114">
        <v>112</v>
      </c>
      <c r="C114">
        <v>86</v>
      </c>
      <c r="D114">
        <v>3.3592212200164795</v>
      </c>
      <c r="E114" t="s">
        <v>10</v>
      </c>
      <c r="F114" t="s">
        <v>13</v>
      </c>
      <c r="G114">
        <v>4.3</v>
      </c>
    </row>
    <row r="115" spans="1:7" x14ac:dyDescent="0.25">
      <c r="A115" t="s">
        <v>4</v>
      </c>
      <c r="B115">
        <v>113</v>
      </c>
      <c r="C115">
        <v>89</v>
      </c>
      <c r="D115">
        <v>11.834184646606445</v>
      </c>
      <c r="E115" t="s">
        <v>10</v>
      </c>
      <c r="F115" t="s">
        <v>13</v>
      </c>
      <c r="G115">
        <v>4.3</v>
      </c>
    </row>
    <row r="116" spans="1:7" x14ac:dyDescent="0.25">
      <c r="A116" t="s">
        <v>4</v>
      </c>
      <c r="B116">
        <v>114</v>
      </c>
      <c r="C116">
        <v>89</v>
      </c>
      <c r="D116">
        <v>8.6329939365386963</v>
      </c>
      <c r="E116" t="s">
        <v>10</v>
      </c>
      <c r="F116" t="s">
        <v>14</v>
      </c>
      <c r="G116">
        <v>6.4</v>
      </c>
    </row>
    <row r="117" spans="1:7" x14ac:dyDescent="0.25">
      <c r="A117" t="s">
        <v>4</v>
      </c>
      <c r="B117">
        <v>115</v>
      </c>
      <c r="C117">
        <v>90</v>
      </c>
      <c r="D117">
        <v>3.5325033664703369</v>
      </c>
      <c r="E117" t="s">
        <v>10</v>
      </c>
      <c r="F117" t="s">
        <v>14</v>
      </c>
      <c r="G117">
        <v>6.4</v>
      </c>
    </row>
    <row r="118" spans="1:7" x14ac:dyDescent="0.25">
      <c r="A118" t="s">
        <v>4</v>
      </c>
      <c r="B118">
        <v>116</v>
      </c>
      <c r="C118">
        <v>70</v>
      </c>
      <c r="D118">
        <v>3.8331677913665771</v>
      </c>
      <c r="E118" t="s">
        <v>10</v>
      </c>
      <c r="F118" t="s">
        <v>14</v>
      </c>
      <c r="G118">
        <v>6.4</v>
      </c>
    </row>
    <row r="119" spans="1:7" x14ac:dyDescent="0.25">
      <c r="A119" t="s">
        <v>4</v>
      </c>
      <c r="B119">
        <v>117</v>
      </c>
      <c r="C119">
        <v>83</v>
      </c>
      <c r="D119">
        <v>4.2156283855438232</v>
      </c>
      <c r="E119" t="s">
        <v>10</v>
      </c>
      <c r="F119" t="s">
        <v>14</v>
      </c>
      <c r="G119">
        <v>6.4</v>
      </c>
    </row>
    <row r="120" spans="1:7" x14ac:dyDescent="0.25">
      <c r="A120" t="s">
        <v>4</v>
      </c>
      <c r="B120">
        <v>118</v>
      </c>
      <c r="C120">
        <v>32</v>
      </c>
      <c r="D120">
        <v>18.02637791633606</v>
      </c>
      <c r="E120" t="s">
        <v>10</v>
      </c>
      <c r="F120" t="s">
        <v>11</v>
      </c>
      <c r="G120">
        <v>6.8</v>
      </c>
    </row>
    <row r="121" spans="1:7" x14ac:dyDescent="0.25">
      <c r="A121" t="s">
        <v>4</v>
      </c>
      <c r="B121">
        <v>119</v>
      </c>
      <c r="C121">
        <v>100</v>
      </c>
      <c r="D121">
        <v>7.1002466678619385</v>
      </c>
      <c r="E121" t="s">
        <v>10</v>
      </c>
      <c r="F121" t="s">
        <v>11</v>
      </c>
      <c r="G121">
        <v>5</v>
      </c>
    </row>
    <row r="122" spans="1:7" x14ac:dyDescent="0.25">
      <c r="A122" t="s">
        <v>4</v>
      </c>
      <c r="B122">
        <v>120</v>
      </c>
      <c r="C122">
        <v>87</v>
      </c>
      <c r="D122">
        <v>7.3171634674072266</v>
      </c>
      <c r="E122" t="s">
        <v>10</v>
      </c>
      <c r="F122" t="s">
        <v>13</v>
      </c>
      <c r="G122">
        <v>9.3000000000000007</v>
      </c>
    </row>
    <row r="123" spans="1:7" x14ac:dyDescent="0.25">
      <c r="A123" t="s">
        <v>4</v>
      </c>
      <c r="B123">
        <v>121</v>
      </c>
      <c r="C123">
        <v>30</v>
      </c>
      <c r="D123">
        <v>4.1286773681640625</v>
      </c>
      <c r="E123" t="s">
        <v>10</v>
      </c>
      <c r="F123" t="s">
        <v>13</v>
      </c>
      <c r="G123">
        <v>5.8</v>
      </c>
    </row>
    <row r="124" spans="1:7" x14ac:dyDescent="0.25">
      <c r="A124" t="s">
        <v>4</v>
      </c>
      <c r="B124">
        <v>122</v>
      </c>
      <c r="C124">
        <v>20</v>
      </c>
      <c r="D124">
        <v>2.7631406784057617</v>
      </c>
      <c r="E124" t="s">
        <v>10</v>
      </c>
      <c r="F124" t="s">
        <v>24</v>
      </c>
      <c r="G124">
        <v>4.5999999999999996</v>
      </c>
    </row>
    <row r="125" spans="1:7" x14ac:dyDescent="0.25">
      <c r="A125" t="s">
        <v>4</v>
      </c>
      <c r="B125">
        <v>123</v>
      </c>
      <c r="C125">
        <v>88</v>
      </c>
      <c r="D125">
        <v>3.6801483631134033</v>
      </c>
      <c r="E125" t="s">
        <v>10</v>
      </c>
      <c r="F125" t="s">
        <v>25</v>
      </c>
      <c r="G125">
        <v>9.3000000000000007</v>
      </c>
    </row>
    <row r="126" spans="1:7" x14ac:dyDescent="0.25">
      <c r="A126" t="s">
        <v>4</v>
      </c>
      <c r="B126">
        <v>124</v>
      </c>
      <c r="C126">
        <v>87</v>
      </c>
      <c r="D126">
        <v>4.124873161315918</v>
      </c>
      <c r="E126" t="s">
        <v>10</v>
      </c>
      <c r="F126" t="s">
        <v>25</v>
      </c>
      <c r="G126">
        <v>9.3000000000000007</v>
      </c>
    </row>
    <row r="127" spans="1:7" x14ac:dyDescent="0.25">
      <c r="A127" t="s">
        <v>4</v>
      </c>
      <c r="B127">
        <v>125</v>
      </c>
      <c r="C127">
        <v>10</v>
      </c>
      <c r="D127">
        <v>2.716062068939209</v>
      </c>
      <c r="E127" t="s">
        <v>10</v>
      </c>
      <c r="F127" t="s">
        <v>17</v>
      </c>
      <c r="G127">
        <v>2.1</v>
      </c>
    </row>
    <row r="128" spans="1:7" x14ac:dyDescent="0.25">
      <c r="A128" t="s">
        <v>4</v>
      </c>
      <c r="B128">
        <v>126</v>
      </c>
      <c r="C128">
        <v>83</v>
      </c>
      <c r="D128">
        <v>4.1960556507110596</v>
      </c>
      <c r="E128" t="s">
        <v>10</v>
      </c>
      <c r="F128" t="s">
        <v>22</v>
      </c>
      <c r="G128">
        <v>6.8</v>
      </c>
    </row>
    <row r="129" spans="1:7" x14ac:dyDescent="0.25">
      <c r="A129" t="s">
        <v>4</v>
      </c>
      <c r="B129">
        <v>127</v>
      </c>
      <c r="C129">
        <v>30</v>
      </c>
      <c r="D129">
        <v>2.5850925445556641</v>
      </c>
      <c r="E129" t="s">
        <v>10</v>
      </c>
      <c r="F129" t="s">
        <v>22</v>
      </c>
      <c r="G129">
        <v>6.8</v>
      </c>
    </row>
    <row r="130" spans="1:7" x14ac:dyDescent="0.25">
      <c r="A130" t="s">
        <v>4</v>
      </c>
      <c r="B130">
        <v>128</v>
      </c>
      <c r="C130">
        <v>25</v>
      </c>
      <c r="D130">
        <v>2.6872344017028809</v>
      </c>
      <c r="E130" t="s">
        <v>10</v>
      </c>
      <c r="F130" t="s">
        <v>21</v>
      </c>
      <c r="G130">
        <v>4.5999999999999996</v>
      </c>
    </row>
    <row r="131" spans="1:7" x14ac:dyDescent="0.25">
      <c r="A131" t="s">
        <v>4</v>
      </c>
      <c r="B131">
        <v>129</v>
      </c>
      <c r="C131">
        <v>100</v>
      </c>
      <c r="D131">
        <v>4.2219808101654053</v>
      </c>
      <c r="E131" t="s">
        <v>10</v>
      </c>
      <c r="F131" t="s">
        <v>15</v>
      </c>
      <c r="G131">
        <v>3.6</v>
      </c>
    </row>
    <row r="132" spans="1:7" x14ac:dyDescent="0.25">
      <c r="A132" t="s">
        <v>4</v>
      </c>
      <c r="B132">
        <v>130</v>
      </c>
      <c r="C132">
        <v>0</v>
      </c>
      <c r="D132">
        <v>17.960700273513794</v>
      </c>
      <c r="E132" t="s">
        <v>10</v>
      </c>
      <c r="F132" t="s">
        <v>13</v>
      </c>
      <c r="G132">
        <v>4.3</v>
      </c>
    </row>
    <row r="133" spans="1:7" x14ac:dyDescent="0.25">
      <c r="A133" t="s">
        <v>4</v>
      </c>
      <c r="B133">
        <v>131</v>
      </c>
      <c r="C133">
        <v>15</v>
      </c>
      <c r="D133">
        <v>12.818551778793335</v>
      </c>
      <c r="E133" t="s">
        <v>10</v>
      </c>
      <c r="F133" t="s">
        <v>13</v>
      </c>
      <c r="G133">
        <v>4.3</v>
      </c>
    </row>
    <row r="134" spans="1:7" x14ac:dyDescent="0.25">
      <c r="A134" t="s">
        <v>4</v>
      </c>
      <c r="B134">
        <v>132</v>
      </c>
      <c r="C134">
        <v>32</v>
      </c>
      <c r="D134">
        <v>17.944023847579956</v>
      </c>
      <c r="E134" t="s">
        <v>10</v>
      </c>
      <c r="F134" t="s">
        <v>15</v>
      </c>
      <c r="G134">
        <v>4</v>
      </c>
    </row>
    <row r="135" spans="1:7" x14ac:dyDescent="0.25">
      <c r="A135" t="s">
        <v>4</v>
      </c>
      <c r="B135">
        <v>133</v>
      </c>
      <c r="C135">
        <v>100</v>
      </c>
      <c r="D135">
        <v>7.4081077575683594</v>
      </c>
      <c r="E135" t="s">
        <v>10</v>
      </c>
      <c r="F135" t="s">
        <v>13</v>
      </c>
      <c r="G135">
        <v>6.8</v>
      </c>
    </row>
    <row r="136" spans="1:7" x14ac:dyDescent="0.25">
      <c r="A136" t="s">
        <v>4</v>
      </c>
      <c r="B136">
        <v>134</v>
      </c>
      <c r="C136">
        <v>97</v>
      </c>
      <c r="D136">
        <v>3.7828524112701416</v>
      </c>
      <c r="E136" t="s">
        <v>10</v>
      </c>
      <c r="F136" t="s">
        <v>13</v>
      </c>
      <c r="G136">
        <v>6.8</v>
      </c>
    </row>
    <row r="137" spans="1:7" x14ac:dyDescent="0.25">
      <c r="A137" t="s">
        <v>4</v>
      </c>
      <c r="B137">
        <v>135</v>
      </c>
      <c r="C137">
        <v>0</v>
      </c>
      <c r="D137">
        <v>2.7076900005340576</v>
      </c>
      <c r="E137" t="s">
        <v>10</v>
      </c>
      <c r="F137" t="s">
        <v>21</v>
      </c>
      <c r="G137">
        <v>6.8</v>
      </c>
    </row>
    <row r="138" spans="1:7" x14ac:dyDescent="0.25">
      <c r="A138" t="s">
        <v>4</v>
      </c>
      <c r="B138">
        <v>136</v>
      </c>
      <c r="C138">
        <v>87</v>
      </c>
      <c r="D138">
        <v>2.9543755054473877</v>
      </c>
      <c r="E138" t="s">
        <v>10</v>
      </c>
      <c r="F138" t="s">
        <v>21</v>
      </c>
      <c r="G138">
        <v>6.8</v>
      </c>
    </row>
    <row r="139" spans="1:7" x14ac:dyDescent="0.25">
      <c r="A139" t="s">
        <v>4</v>
      </c>
      <c r="B139">
        <v>137</v>
      </c>
      <c r="C139">
        <v>100</v>
      </c>
      <c r="D139">
        <v>18.618630170822144</v>
      </c>
      <c r="E139" t="s">
        <v>10</v>
      </c>
      <c r="F139" t="s">
        <v>21</v>
      </c>
      <c r="G139">
        <v>9.3000000000000007</v>
      </c>
    </row>
    <row r="140" spans="1:7" x14ac:dyDescent="0.25">
      <c r="A140" t="s">
        <v>4</v>
      </c>
      <c r="B140">
        <v>138</v>
      </c>
      <c r="C140">
        <v>87</v>
      </c>
      <c r="D140">
        <v>10.129254579544067</v>
      </c>
      <c r="E140" t="s">
        <v>10</v>
      </c>
      <c r="F140" t="s">
        <v>23</v>
      </c>
      <c r="G140">
        <v>6.8</v>
      </c>
    </row>
    <row r="141" spans="1:7" x14ac:dyDescent="0.25">
      <c r="A141" t="s">
        <v>4</v>
      </c>
      <c r="B141">
        <v>139</v>
      </c>
      <c r="C141">
        <v>100</v>
      </c>
      <c r="D141">
        <v>7.1749730110168457</v>
      </c>
      <c r="E141" t="s">
        <v>10</v>
      </c>
      <c r="F141" t="s">
        <v>23</v>
      </c>
      <c r="G141">
        <v>6.8</v>
      </c>
    </row>
    <row r="142" spans="1:7" x14ac:dyDescent="0.25">
      <c r="A142" t="s">
        <v>4</v>
      </c>
      <c r="B142">
        <v>140</v>
      </c>
      <c r="C142">
        <v>100</v>
      </c>
      <c r="D142">
        <v>5.5718896389007568</v>
      </c>
      <c r="E142" t="s">
        <v>10</v>
      </c>
      <c r="F142" t="s">
        <v>22</v>
      </c>
      <c r="G142">
        <v>6.8</v>
      </c>
    </row>
    <row r="143" spans="1:7" x14ac:dyDescent="0.25">
      <c r="A143" t="s">
        <v>4</v>
      </c>
      <c r="B143">
        <v>141</v>
      </c>
      <c r="C143">
        <v>15</v>
      </c>
      <c r="D143">
        <v>3.0192089080810547</v>
      </c>
      <c r="E143" t="s">
        <v>10</v>
      </c>
      <c r="F143" t="s">
        <v>22</v>
      </c>
      <c r="G143">
        <v>6.8</v>
      </c>
    </row>
    <row r="144" spans="1:7" x14ac:dyDescent="0.25">
      <c r="A144" t="s">
        <v>4</v>
      </c>
      <c r="B144">
        <v>142</v>
      </c>
      <c r="C144">
        <v>100</v>
      </c>
      <c r="D144">
        <v>3.2752115726470947</v>
      </c>
      <c r="E144" t="s">
        <v>10</v>
      </c>
      <c r="F144" t="s">
        <v>20</v>
      </c>
      <c r="G144">
        <v>7.7</v>
      </c>
    </row>
    <row r="145" spans="1:7" x14ac:dyDescent="0.25">
      <c r="A145" t="s">
        <v>4</v>
      </c>
      <c r="B145">
        <v>143</v>
      </c>
      <c r="C145">
        <v>80</v>
      </c>
      <c r="D145">
        <v>4.7492306232452393</v>
      </c>
      <c r="E145" t="s">
        <v>10</v>
      </c>
      <c r="F145" t="s">
        <v>20</v>
      </c>
      <c r="G145">
        <v>7.7</v>
      </c>
    </row>
    <row r="146" spans="1:7" x14ac:dyDescent="0.25">
      <c r="A146" t="s">
        <v>4</v>
      </c>
      <c r="B146">
        <v>144</v>
      </c>
      <c r="C146">
        <v>30</v>
      </c>
      <c r="D146">
        <v>6.287592887878418</v>
      </c>
      <c r="E146" t="s">
        <v>10</v>
      </c>
      <c r="F146" t="s">
        <v>11</v>
      </c>
      <c r="G146">
        <v>6.8</v>
      </c>
    </row>
    <row r="147" spans="1:7" x14ac:dyDescent="0.25">
      <c r="A147" t="s">
        <v>4</v>
      </c>
      <c r="B147">
        <v>145</v>
      </c>
      <c r="C147">
        <v>90</v>
      </c>
      <c r="D147">
        <v>3.9204566478729248</v>
      </c>
      <c r="E147" t="s">
        <v>10</v>
      </c>
      <c r="F147" t="s">
        <v>15</v>
      </c>
      <c r="G147">
        <v>4.9000000000000004</v>
      </c>
    </row>
    <row r="148" spans="1:7" x14ac:dyDescent="0.25">
      <c r="A148" t="s">
        <v>4</v>
      </c>
      <c r="B148">
        <v>146</v>
      </c>
      <c r="C148">
        <v>45</v>
      </c>
      <c r="D148">
        <v>11.248862028121948</v>
      </c>
      <c r="E148" t="s">
        <v>10</v>
      </c>
      <c r="F148" t="s">
        <v>18</v>
      </c>
      <c r="G148">
        <v>6.8</v>
      </c>
    </row>
    <row r="149" spans="1:7" x14ac:dyDescent="0.25">
      <c r="A149" t="s">
        <v>4</v>
      </c>
      <c r="B149">
        <v>147</v>
      </c>
      <c r="C149">
        <v>24</v>
      </c>
      <c r="D149">
        <v>4.1226685047149658</v>
      </c>
      <c r="E149" t="s">
        <v>10</v>
      </c>
      <c r="F149" t="s">
        <v>13</v>
      </c>
      <c r="G149">
        <v>5.8</v>
      </c>
    </row>
    <row r="150" spans="1:7" x14ac:dyDescent="0.25">
      <c r="A150" t="s">
        <v>4</v>
      </c>
      <c r="B150">
        <v>148</v>
      </c>
      <c r="C150">
        <v>22</v>
      </c>
      <c r="D150">
        <v>3.7154955863952637</v>
      </c>
      <c r="E150" t="s">
        <v>10</v>
      </c>
      <c r="F150" t="s">
        <v>13</v>
      </c>
      <c r="G150">
        <v>5.8</v>
      </c>
    </row>
    <row r="151" spans="1:7" x14ac:dyDescent="0.25">
      <c r="A151" t="s">
        <v>4</v>
      </c>
      <c r="B151">
        <v>149</v>
      </c>
      <c r="C151">
        <v>86</v>
      </c>
      <c r="D151">
        <v>20.094236135482788</v>
      </c>
      <c r="E151" t="s">
        <v>10</v>
      </c>
      <c r="F151" t="s">
        <v>13</v>
      </c>
      <c r="G151">
        <v>5.8</v>
      </c>
    </row>
    <row r="152" spans="1:7" x14ac:dyDescent="0.25">
      <c r="A152" t="s">
        <v>4</v>
      </c>
      <c r="B152">
        <v>150</v>
      </c>
      <c r="C152">
        <v>0</v>
      </c>
      <c r="D152">
        <v>3.2343664169311523</v>
      </c>
      <c r="E152" t="s">
        <v>10</v>
      </c>
      <c r="F152" t="s">
        <v>26</v>
      </c>
      <c r="G152">
        <v>5</v>
      </c>
    </row>
    <row r="153" spans="1:7" x14ac:dyDescent="0.25">
      <c r="A153" t="s">
        <v>4</v>
      </c>
      <c r="B153">
        <v>151</v>
      </c>
      <c r="C153">
        <v>33</v>
      </c>
      <c r="D153">
        <v>5.7106101512908936</v>
      </c>
      <c r="E153" t="s">
        <v>10</v>
      </c>
      <c r="F153" t="s">
        <v>14</v>
      </c>
      <c r="G153">
        <v>6.8</v>
      </c>
    </row>
    <row r="154" spans="1:7" x14ac:dyDescent="0.25">
      <c r="A154" t="s">
        <v>4</v>
      </c>
      <c r="B154">
        <v>152</v>
      </c>
      <c r="C154">
        <v>90</v>
      </c>
      <c r="D154">
        <v>2.8660941123962402</v>
      </c>
      <c r="E154" t="s">
        <v>10</v>
      </c>
      <c r="F154" t="s">
        <v>14</v>
      </c>
      <c r="G154">
        <v>2.6</v>
      </c>
    </row>
    <row r="155" spans="1:7" x14ac:dyDescent="0.25">
      <c r="A155" t="s">
        <v>4</v>
      </c>
      <c r="B155">
        <v>153</v>
      </c>
      <c r="C155">
        <v>58</v>
      </c>
      <c r="D155">
        <v>6.2325544357299805</v>
      </c>
      <c r="E155" t="s">
        <v>10</v>
      </c>
      <c r="F155" t="s">
        <v>15</v>
      </c>
      <c r="G155">
        <v>4.3</v>
      </c>
    </row>
    <row r="156" spans="1:7" x14ac:dyDescent="0.25">
      <c r="A156" t="s">
        <v>4</v>
      </c>
      <c r="B156">
        <v>154</v>
      </c>
      <c r="C156">
        <v>0</v>
      </c>
      <c r="D156">
        <v>12.307276964187622</v>
      </c>
      <c r="E156" t="s">
        <v>10</v>
      </c>
      <c r="F156" t="s">
        <v>17</v>
      </c>
      <c r="G156">
        <v>5</v>
      </c>
    </row>
    <row r="157" spans="1:7" x14ac:dyDescent="0.25">
      <c r="A157" t="s">
        <v>4</v>
      </c>
      <c r="B157">
        <v>155</v>
      </c>
      <c r="C157">
        <v>83</v>
      </c>
      <c r="D157">
        <v>3.81125807762146</v>
      </c>
      <c r="E157" t="s">
        <v>10</v>
      </c>
      <c r="F157" t="s">
        <v>15</v>
      </c>
      <c r="G157">
        <v>5</v>
      </c>
    </row>
    <row r="158" spans="1:7" x14ac:dyDescent="0.25">
      <c r="A158" t="s">
        <v>4</v>
      </c>
      <c r="B158">
        <v>156</v>
      </c>
      <c r="C158">
        <v>20</v>
      </c>
      <c r="D158">
        <v>2.9972970485687256</v>
      </c>
      <c r="E158" t="s">
        <v>10</v>
      </c>
      <c r="F158" t="s">
        <v>15</v>
      </c>
      <c r="G158">
        <v>5</v>
      </c>
    </row>
    <row r="159" spans="1:7" x14ac:dyDescent="0.25">
      <c r="A159" t="s">
        <v>4</v>
      </c>
      <c r="B159">
        <v>157</v>
      </c>
      <c r="C159">
        <v>99</v>
      </c>
      <c r="D159">
        <v>7.1042025089263916</v>
      </c>
      <c r="E159" t="s">
        <v>10</v>
      </c>
      <c r="F159" t="s">
        <v>17</v>
      </c>
      <c r="G159">
        <v>5</v>
      </c>
    </row>
    <row r="160" spans="1:7" x14ac:dyDescent="0.25">
      <c r="A160" t="s">
        <v>4</v>
      </c>
      <c r="B160">
        <v>158</v>
      </c>
      <c r="C160">
        <v>12</v>
      </c>
      <c r="D160">
        <v>3.367398738861084</v>
      </c>
      <c r="E160" t="s">
        <v>10</v>
      </c>
      <c r="F160" t="s">
        <v>22</v>
      </c>
      <c r="G160">
        <v>5</v>
      </c>
    </row>
    <row r="161" spans="1:7" x14ac:dyDescent="0.25">
      <c r="A161" t="s">
        <v>4</v>
      </c>
      <c r="B161">
        <v>159</v>
      </c>
      <c r="C161">
        <v>87</v>
      </c>
      <c r="D161">
        <v>8.2442557811737061</v>
      </c>
      <c r="E161" t="s">
        <v>10</v>
      </c>
      <c r="F161" t="s">
        <v>15</v>
      </c>
      <c r="G161">
        <v>1.9</v>
      </c>
    </row>
    <row r="162" spans="1:7" x14ac:dyDescent="0.25">
      <c r="A162" t="s">
        <v>4</v>
      </c>
      <c r="B162">
        <v>160</v>
      </c>
      <c r="C162">
        <v>48</v>
      </c>
      <c r="D162">
        <v>3.5289974212646484</v>
      </c>
      <c r="E162" t="s">
        <v>10</v>
      </c>
      <c r="F162" t="s">
        <v>13</v>
      </c>
      <c r="G162">
        <v>6.9</v>
      </c>
    </row>
    <row r="163" spans="1:7" x14ac:dyDescent="0.25">
      <c r="A163" t="s">
        <v>4</v>
      </c>
      <c r="B163">
        <v>161</v>
      </c>
      <c r="C163">
        <v>100</v>
      </c>
      <c r="D163">
        <v>4.2020189762115479</v>
      </c>
      <c r="E163" t="s">
        <v>10</v>
      </c>
      <c r="F163" t="s">
        <v>17</v>
      </c>
      <c r="G163">
        <v>4.3</v>
      </c>
    </row>
    <row r="164" spans="1:7" x14ac:dyDescent="0.25">
      <c r="A164" t="s">
        <v>4</v>
      </c>
      <c r="B164">
        <v>162</v>
      </c>
      <c r="C164">
        <v>40</v>
      </c>
      <c r="D164">
        <v>3.9664862155914307</v>
      </c>
      <c r="E164" t="s">
        <v>10</v>
      </c>
      <c r="F164" t="s">
        <v>17</v>
      </c>
      <c r="G164">
        <v>4.3</v>
      </c>
    </row>
    <row r="165" spans="1:7" x14ac:dyDescent="0.25">
      <c r="A165" t="s">
        <v>4</v>
      </c>
      <c r="B165">
        <v>163</v>
      </c>
      <c r="C165">
        <v>84</v>
      </c>
      <c r="D165">
        <v>4.3087751865386963</v>
      </c>
      <c r="E165" t="s">
        <v>10</v>
      </c>
      <c r="F165" t="s">
        <v>17</v>
      </c>
      <c r="G165">
        <v>4.3</v>
      </c>
    </row>
    <row r="166" spans="1:7" x14ac:dyDescent="0.25">
      <c r="A166" t="s">
        <v>4</v>
      </c>
      <c r="B166">
        <v>164</v>
      </c>
      <c r="C166">
        <v>100</v>
      </c>
      <c r="D166">
        <v>3.504101037979126</v>
      </c>
      <c r="E166" t="s">
        <v>10</v>
      </c>
      <c r="F166" t="s">
        <v>17</v>
      </c>
      <c r="G166">
        <v>4.3</v>
      </c>
    </row>
    <row r="167" spans="1:7" x14ac:dyDescent="0.25">
      <c r="A167" t="s">
        <v>4</v>
      </c>
      <c r="B167">
        <v>165</v>
      </c>
      <c r="C167">
        <v>20</v>
      </c>
      <c r="D167">
        <v>3.4346733093261719</v>
      </c>
      <c r="E167" t="s">
        <v>10</v>
      </c>
      <c r="F167" t="s">
        <v>21</v>
      </c>
      <c r="G167">
        <v>10</v>
      </c>
    </row>
    <row r="168" spans="1:7" x14ac:dyDescent="0.25">
      <c r="A168" t="s">
        <v>4</v>
      </c>
      <c r="B168">
        <v>166</v>
      </c>
      <c r="C168">
        <v>100</v>
      </c>
      <c r="D168">
        <v>29.703641891479492</v>
      </c>
      <c r="E168" t="s">
        <v>19</v>
      </c>
      <c r="F168" t="s">
        <v>21</v>
      </c>
      <c r="G168">
        <v>6.8</v>
      </c>
    </row>
    <row r="169" spans="1:7" x14ac:dyDescent="0.25">
      <c r="A169" t="s">
        <v>4</v>
      </c>
      <c r="B169">
        <v>167</v>
      </c>
      <c r="C169">
        <v>100</v>
      </c>
      <c r="D169">
        <v>15.012655973434448</v>
      </c>
      <c r="E169" t="s">
        <v>19</v>
      </c>
      <c r="F169" t="s">
        <v>15</v>
      </c>
      <c r="G169">
        <v>4.3</v>
      </c>
    </row>
    <row r="170" spans="1:7" x14ac:dyDescent="0.25">
      <c r="A170" t="s">
        <v>4</v>
      </c>
      <c r="B170">
        <v>168</v>
      </c>
      <c r="C170">
        <v>89</v>
      </c>
      <c r="D170">
        <v>6.3021934032440186</v>
      </c>
      <c r="E170" t="s">
        <v>19</v>
      </c>
      <c r="F170" t="s">
        <v>15</v>
      </c>
      <c r="G170">
        <v>4.3</v>
      </c>
    </row>
    <row r="171" spans="1:7" x14ac:dyDescent="0.25">
      <c r="A171" t="s">
        <v>4</v>
      </c>
      <c r="B171">
        <v>169</v>
      </c>
      <c r="C171">
        <v>23</v>
      </c>
      <c r="D171">
        <v>10.749568223953247</v>
      </c>
      <c r="E171" t="s">
        <v>19</v>
      </c>
      <c r="F171" t="s">
        <v>15</v>
      </c>
      <c r="G171">
        <v>4.3</v>
      </c>
    </row>
    <row r="172" spans="1:7" x14ac:dyDescent="0.25">
      <c r="A172" t="s">
        <v>4</v>
      </c>
      <c r="B172">
        <v>170</v>
      </c>
      <c r="C172">
        <v>84</v>
      </c>
      <c r="D172">
        <v>7.8818790912628174</v>
      </c>
      <c r="E172" t="s">
        <v>19</v>
      </c>
      <c r="F172" t="s">
        <v>20</v>
      </c>
      <c r="G172">
        <v>6.8</v>
      </c>
    </row>
    <row r="173" spans="1:7" x14ac:dyDescent="0.25">
      <c r="A173" t="s">
        <v>4</v>
      </c>
      <c r="B173">
        <v>171</v>
      </c>
      <c r="C173">
        <v>29</v>
      </c>
      <c r="D173">
        <v>4.8645591735839844</v>
      </c>
      <c r="E173" t="s">
        <v>19</v>
      </c>
      <c r="F173" t="s">
        <v>20</v>
      </c>
      <c r="G173">
        <v>6.8</v>
      </c>
    </row>
    <row r="174" spans="1:7" x14ac:dyDescent="0.25">
      <c r="A174" t="s">
        <v>4</v>
      </c>
      <c r="B174">
        <v>172</v>
      </c>
      <c r="C174">
        <v>90</v>
      </c>
      <c r="D174">
        <v>3.1559841632843018</v>
      </c>
      <c r="E174" t="s">
        <v>19</v>
      </c>
      <c r="F174" t="s">
        <v>20</v>
      </c>
      <c r="G174">
        <v>6.8</v>
      </c>
    </row>
    <row r="175" spans="1:7" x14ac:dyDescent="0.25">
      <c r="A175" t="s">
        <v>4</v>
      </c>
      <c r="B175">
        <v>173</v>
      </c>
      <c r="C175">
        <v>99</v>
      </c>
      <c r="D175">
        <v>4.8322992324829102</v>
      </c>
      <c r="E175" t="s">
        <v>19</v>
      </c>
      <c r="F175" t="s">
        <v>20</v>
      </c>
      <c r="G175">
        <v>6.8</v>
      </c>
    </row>
    <row r="176" spans="1:7" x14ac:dyDescent="0.25">
      <c r="A176" t="s">
        <v>4</v>
      </c>
      <c r="B176">
        <v>174</v>
      </c>
      <c r="C176">
        <v>30</v>
      </c>
      <c r="D176">
        <v>3.6510663032531738</v>
      </c>
      <c r="E176" t="s">
        <v>10</v>
      </c>
      <c r="F176" t="s">
        <v>15</v>
      </c>
      <c r="G176">
        <v>6.8</v>
      </c>
    </row>
    <row r="177" spans="1:7" x14ac:dyDescent="0.25">
      <c r="A177" t="s">
        <v>4</v>
      </c>
      <c r="B177">
        <v>175</v>
      </c>
      <c r="C177">
        <v>100</v>
      </c>
      <c r="D177">
        <v>3.1823403835296631</v>
      </c>
      <c r="E177" t="s">
        <v>10</v>
      </c>
      <c r="F177" t="s">
        <v>23</v>
      </c>
      <c r="G177">
        <v>10</v>
      </c>
    </row>
    <row r="178" spans="1:7" x14ac:dyDescent="0.25">
      <c r="A178" t="s">
        <v>4</v>
      </c>
      <c r="B178">
        <v>176</v>
      </c>
      <c r="C178">
        <v>87</v>
      </c>
      <c r="D178">
        <v>3.9537863731384277</v>
      </c>
      <c r="E178" t="s">
        <v>10</v>
      </c>
      <c r="F178" t="s">
        <v>23</v>
      </c>
      <c r="G178">
        <v>10</v>
      </c>
    </row>
    <row r="179" spans="1:7" x14ac:dyDescent="0.25">
      <c r="A179" t="s">
        <v>4</v>
      </c>
      <c r="B179">
        <v>177</v>
      </c>
      <c r="C179">
        <v>85</v>
      </c>
      <c r="D179">
        <v>6.4927515983581543</v>
      </c>
      <c r="E179" t="s">
        <v>10</v>
      </c>
      <c r="F179" t="s">
        <v>23</v>
      </c>
      <c r="G179">
        <v>10</v>
      </c>
    </row>
    <row r="180" spans="1:7" x14ac:dyDescent="0.25">
      <c r="A180" t="s">
        <v>4</v>
      </c>
      <c r="B180">
        <v>178</v>
      </c>
      <c r="C180">
        <v>90</v>
      </c>
      <c r="D180">
        <v>11.03524923324585</v>
      </c>
      <c r="E180" t="s">
        <v>10</v>
      </c>
      <c r="F180" t="s">
        <v>23</v>
      </c>
      <c r="G180">
        <v>10</v>
      </c>
    </row>
    <row r="181" spans="1:7" x14ac:dyDescent="0.25">
      <c r="A181" t="s">
        <v>4</v>
      </c>
      <c r="B181">
        <v>179</v>
      </c>
      <c r="C181">
        <v>20</v>
      </c>
      <c r="D181">
        <v>5.428459644317627</v>
      </c>
      <c r="E181" t="s">
        <v>10</v>
      </c>
      <c r="F181" t="s">
        <v>23</v>
      </c>
      <c r="G181">
        <v>10</v>
      </c>
    </row>
    <row r="182" spans="1:7" x14ac:dyDescent="0.25">
      <c r="A182" t="s">
        <v>4</v>
      </c>
      <c r="B182">
        <v>180</v>
      </c>
      <c r="C182">
        <v>95</v>
      </c>
      <c r="D182">
        <v>2.2596776485443115</v>
      </c>
      <c r="E182" t="s">
        <v>10</v>
      </c>
      <c r="F182" t="s">
        <v>17</v>
      </c>
      <c r="G182">
        <v>5</v>
      </c>
    </row>
    <row r="183" spans="1:7" x14ac:dyDescent="0.25">
      <c r="A183" t="s">
        <v>4</v>
      </c>
      <c r="B183">
        <v>181</v>
      </c>
      <c r="C183">
        <v>84</v>
      </c>
      <c r="D183">
        <v>4.7667396068572998</v>
      </c>
      <c r="E183" t="s">
        <v>10</v>
      </c>
      <c r="F183" t="s">
        <v>22</v>
      </c>
      <c r="G183">
        <v>7.5</v>
      </c>
    </row>
    <row r="184" spans="1:7" x14ac:dyDescent="0.25">
      <c r="A184" t="s">
        <v>4</v>
      </c>
      <c r="B184">
        <v>182</v>
      </c>
      <c r="C184">
        <v>68</v>
      </c>
      <c r="D184">
        <v>4.9834797382354736</v>
      </c>
      <c r="E184" t="s">
        <v>10</v>
      </c>
      <c r="F184" t="s">
        <v>22</v>
      </c>
      <c r="G184">
        <v>7.5</v>
      </c>
    </row>
    <row r="185" spans="1:7" x14ac:dyDescent="0.25">
      <c r="A185" t="s">
        <v>4</v>
      </c>
      <c r="B185">
        <v>183</v>
      </c>
      <c r="C185">
        <v>80</v>
      </c>
      <c r="D185">
        <v>6.3677403926849365</v>
      </c>
      <c r="E185" t="s">
        <v>10</v>
      </c>
      <c r="F185" t="s">
        <v>13</v>
      </c>
      <c r="G185">
        <v>7.5</v>
      </c>
    </row>
    <row r="186" spans="1:7" x14ac:dyDescent="0.25">
      <c r="A186" t="s">
        <v>4</v>
      </c>
      <c r="B186">
        <v>184</v>
      </c>
      <c r="C186">
        <v>83</v>
      </c>
      <c r="D186">
        <v>7.3143851757049561</v>
      </c>
      <c r="E186" t="s">
        <v>10</v>
      </c>
      <c r="F186" t="s">
        <v>13</v>
      </c>
      <c r="G186">
        <v>7.5</v>
      </c>
    </row>
    <row r="187" spans="1:7" x14ac:dyDescent="0.25">
      <c r="A187" t="s">
        <v>4</v>
      </c>
      <c r="B187">
        <v>185</v>
      </c>
      <c r="C187">
        <v>90</v>
      </c>
      <c r="D187">
        <v>5.3962547779083252</v>
      </c>
      <c r="E187" t="s">
        <v>10</v>
      </c>
      <c r="F187" t="s">
        <v>13</v>
      </c>
      <c r="G187">
        <v>7.5</v>
      </c>
    </row>
    <row r="188" spans="1:7" x14ac:dyDescent="0.25">
      <c r="A188" t="s">
        <v>4</v>
      </c>
      <c r="B188">
        <v>186</v>
      </c>
      <c r="C188">
        <v>30</v>
      </c>
      <c r="D188">
        <v>4.7509832382202148</v>
      </c>
      <c r="E188" t="s">
        <v>10</v>
      </c>
      <c r="F188" t="s">
        <v>23</v>
      </c>
      <c r="G188">
        <v>4.3</v>
      </c>
    </row>
    <row r="189" spans="1:7" x14ac:dyDescent="0.25">
      <c r="A189" t="s">
        <v>4</v>
      </c>
      <c r="B189">
        <v>187</v>
      </c>
      <c r="C189">
        <v>100</v>
      </c>
      <c r="D189">
        <v>4.4547722339630127</v>
      </c>
      <c r="E189" t="s">
        <v>10</v>
      </c>
      <c r="F189" t="s">
        <v>11</v>
      </c>
      <c r="G189">
        <v>5</v>
      </c>
    </row>
    <row r="190" spans="1:7" x14ac:dyDescent="0.25">
      <c r="A190" t="s">
        <v>4</v>
      </c>
      <c r="B190">
        <v>188</v>
      </c>
      <c r="C190">
        <v>97</v>
      </c>
      <c r="D190">
        <v>3.2350375652313232</v>
      </c>
      <c r="E190" t="s">
        <v>10</v>
      </c>
      <c r="F190" t="s">
        <v>20</v>
      </c>
      <c r="G190">
        <v>7.5</v>
      </c>
    </row>
    <row r="191" spans="1:7" x14ac:dyDescent="0.25">
      <c r="A191" t="s">
        <v>4</v>
      </c>
      <c r="B191">
        <v>189</v>
      </c>
      <c r="C191">
        <v>83</v>
      </c>
      <c r="D191">
        <v>16.341760873794556</v>
      </c>
      <c r="E191" t="s">
        <v>10</v>
      </c>
      <c r="F191" t="s">
        <v>15</v>
      </c>
      <c r="G191">
        <v>7.5</v>
      </c>
    </row>
    <row r="192" spans="1:7" x14ac:dyDescent="0.25">
      <c r="A192" t="s">
        <v>4</v>
      </c>
      <c r="B192">
        <v>190</v>
      </c>
      <c r="C192">
        <v>97</v>
      </c>
      <c r="D192">
        <v>4.6806643009185791</v>
      </c>
      <c r="E192" t="s">
        <v>10</v>
      </c>
      <c r="F192" t="s">
        <v>23</v>
      </c>
      <c r="G192">
        <v>7.5</v>
      </c>
    </row>
    <row r="193" spans="1:7" x14ac:dyDescent="0.25">
      <c r="A193" t="s">
        <v>4</v>
      </c>
      <c r="B193">
        <v>191</v>
      </c>
      <c r="C193">
        <v>90</v>
      </c>
      <c r="D193">
        <v>9.3400464057922363</v>
      </c>
      <c r="E193" t="s">
        <v>10</v>
      </c>
      <c r="F193" t="s">
        <v>13</v>
      </c>
      <c r="G193">
        <v>5</v>
      </c>
    </row>
    <row r="194" spans="1:7" x14ac:dyDescent="0.25">
      <c r="A194" t="s">
        <v>4</v>
      </c>
      <c r="B194">
        <v>192</v>
      </c>
      <c r="C194">
        <v>0</v>
      </c>
      <c r="D194">
        <v>10.501515626907349</v>
      </c>
      <c r="E194" t="s">
        <v>10</v>
      </c>
      <c r="F194" t="s">
        <v>13</v>
      </c>
      <c r="G194">
        <v>5</v>
      </c>
    </row>
    <row r="195" spans="1:7" x14ac:dyDescent="0.25">
      <c r="A195" t="s">
        <v>4</v>
      </c>
      <c r="B195">
        <v>193</v>
      </c>
      <c r="C195">
        <v>20</v>
      </c>
      <c r="D195">
        <v>9.9379119873046875</v>
      </c>
      <c r="E195" t="s">
        <v>10</v>
      </c>
      <c r="F195" t="s">
        <v>13</v>
      </c>
      <c r="G195">
        <v>5</v>
      </c>
    </row>
    <row r="196" spans="1:7" x14ac:dyDescent="0.25">
      <c r="A196" t="s">
        <v>4</v>
      </c>
      <c r="B196">
        <v>194</v>
      </c>
      <c r="C196">
        <v>12</v>
      </c>
      <c r="D196">
        <v>12.959035634994507</v>
      </c>
      <c r="E196" t="s">
        <v>10</v>
      </c>
      <c r="F196" t="s">
        <v>13</v>
      </c>
      <c r="G196">
        <v>5</v>
      </c>
    </row>
    <row r="197" spans="1:7" x14ac:dyDescent="0.25">
      <c r="A197" t="s">
        <v>4</v>
      </c>
      <c r="B197">
        <v>195</v>
      </c>
      <c r="C197">
        <v>95</v>
      </c>
      <c r="D197">
        <v>4.2211339473724365</v>
      </c>
      <c r="E197" t="s">
        <v>10</v>
      </c>
      <c r="F197" t="s">
        <v>27</v>
      </c>
      <c r="G197">
        <v>4</v>
      </c>
    </row>
    <row r="198" spans="1:7" x14ac:dyDescent="0.25">
      <c r="A198" t="s">
        <v>4</v>
      </c>
      <c r="B198">
        <v>196</v>
      </c>
      <c r="C198">
        <v>10</v>
      </c>
      <c r="D198">
        <v>4.1862945556640625</v>
      </c>
      <c r="E198" t="s">
        <v>10</v>
      </c>
      <c r="F198" t="s">
        <v>21</v>
      </c>
      <c r="G198">
        <v>7.5</v>
      </c>
    </row>
    <row r="199" spans="1:7" x14ac:dyDescent="0.25">
      <c r="A199" t="s">
        <v>4</v>
      </c>
      <c r="B199">
        <v>197</v>
      </c>
      <c r="C199">
        <v>100</v>
      </c>
      <c r="D199">
        <v>4.1032485961914063</v>
      </c>
      <c r="E199" t="s">
        <v>10</v>
      </c>
      <c r="F199" t="s">
        <v>21</v>
      </c>
      <c r="G199">
        <v>7.5</v>
      </c>
    </row>
    <row r="200" spans="1:7" x14ac:dyDescent="0.25">
      <c r="A200" t="s">
        <v>4</v>
      </c>
      <c r="B200">
        <v>198</v>
      </c>
      <c r="C200">
        <v>100</v>
      </c>
      <c r="D200">
        <v>3.5604207515716553</v>
      </c>
      <c r="E200" t="s">
        <v>10</v>
      </c>
      <c r="F200" t="s">
        <v>21</v>
      </c>
      <c r="G200">
        <v>7.5</v>
      </c>
    </row>
    <row r="201" spans="1:7" x14ac:dyDescent="0.25">
      <c r="A201" t="s">
        <v>4</v>
      </c>
      <c r="B201">
        <v>199</v>
      </c>
      <c r="C201">
        <v>71</v>
      </c>
      <c r="D201">
        <v>3.8853018283843994</v>
      </c>
      <c r="E201" t="s">
        <v>10</v>
      </c>
      <c r="F201" t="s">
        <v>13</v>
      </c>
      <c r="G201">
        <v>4</v>
      </c>
    </row>
    <row r="202" spans="1:7" x14ac:dyDescent="0.25">
      <c r="A202" t="s">
        <v>4</v>
      </c>
      <c r="B202">
        <v>200</v>
      </c>
      <c r="C202">
        <v>88</v>
      </c>
      <c r="D202">
        <v>6.9064137935638428</v>
      </c>
      <c r="E202" t="s">
        <v>10</v>
      </c>
      <c r="F202" t="s">
        <v>23</v>
      </c>
      <c r="G202">
        <v>6.5</v>
      </c>
    </row>
    <row r="203" spans="1:7" x14ac:dyDescent="0.25">
      <c r="A203" t="s">
        <v>4</v>
      </c>
      <c r="B203">
        <v>201</v>
      </c>
      <c r="C203">
        <v>45</v>
      </c>
      <c r="D203">
        <v>4.1327810287475586</v>
      </c>
      <c r="E203" t="s">
        <v>10</v>
      </c>
      <c r="F203" t="s">
        <v>23</v>
      </c>
      <c r="G203">
        <v>6.5</v>
      </c>
    </row>
    <row r="204" spans="1:7" x14ac:dyDescent="0.25">
      <c r="A204" t="s">
        <v>4</v>
      </c>
      <c r="B204">
        <v>202</v>
      </c>
      <c r="C204">
        <v>100</v>
      </c>
      <c r="D204">
        <v>17.207434892654419</v>
      </c>
      <c r="E204" t="s">
        <v>10</v>
      </c>
      <c r="F204" t="s">
        <v>23</v>
      </c>
      <c r="G204">
        <v>9.3000000000000007</v>
      </c>
    </row>
    <row r="205" spans="1:7" x14ac:dyDescent="0.25">
      <c r="A205" t="s">
        <v>4</v>
      </c>
      <c r="B205">
        <v>203</v>
      </c>
      <c r="C205">
        <v>0</v>
      </c>
      <c r="D205">
        <v>16.749774932861328</v>
      </c>
      <c r="E205" t="s">
        <v>10</v>
      </c>
      <c r="F205" t="s">
        <v>13</v>
      </c>
      <c r="G205">
        <v>6.4</v>
      </c>
    </row>
    <row r="206" spans="1:7" x14ac:dyDescent="0.25">
      <c r="A206" t="s">
        <v>4</v>
      </c>
      <c r="B206">
        <v>204</v>
      </c>
      <c r="C206">
        <v>72</v>
      </c>
      <c r="D206">
        <v>5.4972188472747803</v>
      </c>
      <c r="E206" t="s">
        <v>10</v>
      </c>
      <c r="F206" t="s">
        <v>15</v>
      </c>
      <c r="G206">
        <v>5</v>
      </c>
    </row>
    <row r="207" spans="1:7" x14ac:dyDescent="0.25">
      <c r="A207" t="s">
        <v>4</v>
      </c>
      <c r="B207">
        <v>205</v>
      </c>
      <c r="C207">
        <v>85</v>
      </c>
      <c r="D207">
        <v>3.9685873985290527</v>
      </c>
      <c r="E207" t="s">
        <v>10</v>
      </c>
      <c r="F207" t="s">
        <v>15</v>
      </c>
      <c r="G207">
        <v>5</v>
      </c>
    </row>
    <row r="208" spans="1:7" x14ac:dyDescent="0.25">
      <c r="A208" t="s">
        <v>4</v>
      </c>
      <c r="B208">
        <v>206</v>
      </c>
      <c r="C208">
        <v>84</v>
      </c>
      <c r="D208">
        <v>3.1292202472686768</v>
      </c>
      <c r="E208" t="s">
        <v>10</v>
      </c>
      <c r="F208" t="s">
        <v>15</v>
      </c>
      <c r="G208">
        <v>7.5</v>
      </c>
    </row>
    <row r="209" spans="1:7" x14ac:dyDescent="0.25">
      <c r="A209" t="s">
        <v>4</v>
      </c>
      <c r="B209">
        <v>207</v>
      </c>
      <c r="C209">
        <v>14</v>
      </c>
      <c r="D209">
        <v>6.1013429164886475</v>
      </c>
      <c r="E209" t="s">
        <v>10</v>
      </c>
      <c r="F209" t="s">
        <v>14</v>
      </c>
      <c r="G209">
        <v>2.1</v>
      </c>
    </row>
    <row r="210" spans="1:7" x14ac:dyDescent="0.25">
      <c r="A210" t="s">
        <v>4</v>
      </c>
      <c r="B210">
        <v>208</v>
      </c>
      <c r="C210">
        <v>80</v>
      </c>
      <c r="D210">
        <v>2.4052653312683105</v>
      </c>
      <c r="E210" t="s">
        <v>19</v>
      </c>
      <c r="F210" t="s">
        <v>18</v>
      </c>
      <c r="G210">
        <v>6.8</v>
      </c>
    </row>
    <row r="211" spans="1:7" x14ac:dyDescent="0.25">
      <c r="A211" t="s">
        <v>4</v>
      </c>
      <c r="B211">
        <v>209</v>
      </c>
      <c r="C211">
        <v>50</v>
      </c>
      <c r="D211">
        <v>2.6874117851257324</v>
      </c>
      <c r="E211" t="s">
        <v>19</v>
      </c>
      <c r="F211" t="s">
        <v>18</v>
      </c>
      <c r="G211">
        <v>6.8</v>
      </c>
    </row>
    <row r="212" spans="1:7" x14ac:dyDescent="0.25">
      <c r="A212" t="s">
        <v>4</v>
      </c>
      <c r="B212">
        <v>210</v>
      </c>
      <c r="C212">
        <v>100</v>
      </c>
      <c r="D212">
        <v>3.5899338722229004</v>
      </c>
      <c r="E212" t="s">
        <v>19</v>
      </c>
      <c r="F212" t="s">
        <v>18</v>
      </c>
      <c r="G212">
        <v>6.8</v>
      </c>
    </row>
    <row r="213" spans="1:7" x14ac:dyDescent="0.25">
      <c r="A213" t="s">
        <v>4</v>
      </c>
      <c r="B213">
        <v>211</v>
      </c>
      <c r="C213">
        <v>80</v>
      </c>
      <c r="D213">
        <v>3.0048699378967285</v>
      </c>
      <c r="E213" t="s">
        <v>19</v>
      </c>
      <c r="F213" t="s">
        <v>18</v>
      </c>
      <c r="G213">
        <v>6.8</v>
      </c>
    </row>
    <row r="214" spans="1:7" x14ac:dyDescent="0.25">
      <c r="A214" t="s">
        <v>4</v>
      </c>
      <c r="B214">
        <v>212</v>
      </c>
      <c r="C214">
        <v>80</v>
      </c>
      <c r="D214">
        <v>5.932358980178833</v>
      </c>
      <c r="E214" t="s">
        <v>10</v>
      </c>
      <c r="F214" t="s">
        <v>13</v>
      </c>
      <c r="G214">
        <v>5</v>
      </c>
    </row>
    <row r="215" spans="1:7" x14ac:dyDescent="0.25">
      <c r="A215" t="s">
        <v>4</v>
      </c>
      <c r="B215">
        <v>213</v>
      </c>
      <c r="C215">
        <v>87</v>
      </c>
      <c r="D215">
        <v>11.72503137588501</v>
      </c>
      <c r="E215" t="s">
        <v>10</v>
      </c>
      <c r="F215" t="s">
        <v>15</v>
      </c>
      <c r="G215">
        <v>6.8</v>
      </c>
    </row>
    <row r="216" spans="1:7" x14ac:dyDescent="0.25">
      <c r="A216" t="s">
        <v>4</v>
      </c>
      <c r="B216">
        <v>214</v>
      </c>
      <c r="C216">
        <v>12</v>
      </c>
      <c r="D216">
        <v>2.746206521987915</v>
      </c>
      <c r="E216" t="s">
        <v>10</v>
      </c>
      <c r="F216" t="s">
        <v>15</v>
      </c>
      <c r="G216">
        <v>6.8</v>
      </c>
    </row>
    <row r="217" spans="1:7" x14ac:dyDescent="0.25">
      <c r="A217" t="s">
        <v>4</v>
      </c>
      <c r="B217">
        <v>215</v>
      </c>
      <c r="C217">
        <v>87</v>
      </c>
      <c r="D217">
        <v>4.049445629119873</v>
      </c>
      <c r="E217" t="s">
        <v>10</v>
      </c>
      <c r="F217" t="s">
        <v>15</v>
      </c>
      <c r="G217">
        <v>6.8</v>
      </c>
    </row>
    <row r="218" spans="1:7" x14ac:dyDescent="0.25">
      <c r="A218" t="s">
        <v>4</v>
      </c>
      <c r="B218">
        <v>216</v>
      </c>
      <c r="C218">
        <v>89</v>
      </c>
      <c r="D218">
        <v>5.0767815113067627</v>
      </c>
      <c r="E218" t="s">
        <v>10</v>
      </c>
      <c r="F218" t="s">
        <v>15</v>
      </c>
      <c r="G218">
        <v>6.8</v>
      </c>
    </row>
    <row r="219" spans="1:7" x14ac:dyDescent="0.25">
      <c r="A219" t="s">
        <v>4</v>
      </c>
      <c r="B219">
        <v>217</v>
      </c>
      <c r="C219">
        <v>92</v>
      </c>
      <c r="D219">
        <v>5.3851308822631836</v>
      </c>
      <c r="E219" t="s">
        <v>10</v>
      </c>
      <c r="F219" t="s">
        <v>28</v>
      </c>
      <c r="G219">
        <v>7.2</v>
      </c>
    </row>
    <row r="220" spans="1:7" x14ac:dyDescent="0.25">
      <c r="A220" t="s">
        <v>4</v>
      </c>
      <c r="B220">
        <v>218</v>
      </c>
      <c r="C220">
        <v>90</v>
      </c>
      <c r="D220">
        <v>2.8787264823913574</v>
      </c>
      <c r="E220" t="s">
        <v>10</v>
      </c>
      <c r="F220" t="s">
        <v>15</v>
      </c>
      <c r="G220">
        <v>6.8</v>
      </c>
    </row>
    <row r="221" spans="1:7" x14ac:dyDescent="0.25">
      <c r="A221" t="s">
        <v>4</v>
      </c>
      <c r="B221">
        <v>219</v>
      </c>
      <c r="C221">
        <v>0</v>
      </c>
      <c r="D221">
        <v>4.0852305889129639</v>
      </c>
      <c r="E221" t="s">
        <v>10</v>
      </c>
      <c r="F221" t="s">
        <v>15</v>
      </c>
      <c r="G221">
        <v>6.8</v>
      </c>
    </row>
    <row r="222" spans="1:7" x14ac:dyDescent="0.25">
      <c r="A222" t="s">
        <v>4</v>
      </c>
      <c r="B222">
        <v>220</v>
      </c>
      <c r="C222">
        <v>87</v>
      </c>
      <c r="D222">
        <v>3.0347161293029785</v>
      </c>
      <c r="E222" t="s">
        <v>10</v>
      </c>
      <c r="F222" t="s">
        <v>14</v>
      </c>
      <c r="G222">
        <v>6.8</v>
      </c>
    </row>
    <row r="223" spans="1:7" x14ac:dyDescent="0.25">
      <c r="A223" t="s">
        <v>4</v>
      </c>
      <c r="B223">
        <v>221</v>
      </c>
      <c r="C223">
        <v>84</v>
      </c>
      <c r="D223">
        <v>6.5142757892608643</v>
      </c>
      <c r="E223" t="s">
        <v>10</v>
      </c>
      <c r="F223" t="s">
        <v>14</v>
      </c>
      <c r="G223">
        <v>6.8</v>
      </c>
    </row>
    <row r="224" spans="1:7" x14ac:dyDescent="0.25">
      <c r="A224" t="s">
        <v>4</v>
      </c>
      <c r="B224">
        <v>222</v>
      </c>
      <c r="C224">
        <v>82</v>
      </c>
      <c r="D224">
        <v>8.1665637493133545</v>
      </c>
      <c r="E224" t="s">
        <v>10</v>
      </c>
      <c r="F224" t="s">
        <v>14</v>
      </c>
      <c r="G224">
        <v>6.8</v>
      </c>
    </row>
    <row r="225" spans="1:7" x14ac:dyDescent="0.25">
      <c r="A225" t="s">
        <v>4</v>
      </c>
      <c r="B225">
        <v>223</v>
      </c>
      <c r="C225">
        <v>40</v>
      </c>
      <c r="D225">
        <v>5.1369946002960205</v>
      </c>
      <c r="E225" t="s">
        <v>10</v>
      </c>
      <c r="F225" t="s">
        <v>15</v>
      </c>
      <c r="G225">
        <v>6.8</v>
      </c>
    </row>
    <row r="226" spans="1:7" x14ac:dyDescent="0.25">
      <c r="A226" t="s">
        <v>4</v>
      </c>
      <c r="B226">
        <v>224</v>
      </c>
      <c r="C226">
        <v>10</v>
      </c>
      <c r="D226">
        <v>5.0418593883514404</v>
      </c>
      <c r="E226" t="s">
        <v>10</v>
      </c>
      <c r="F226" t="s">
        <v>15</v>
      </c>
      <c r="G226">
        <v>4.9000000000000004</v>
      </c>
    </row>
    <row r="227" spans="1:7" x14ac:dyDescent="0.25">
      <c r="A227" t="s">
        <v>4</v>
      </c>
      <c r="B227">
        <v>225</v>
      </c>
      <c r="C227">
        <v>100</v>
      </c>
      <c r="D227">
        <v>5.2107343673706055</v>
      </c>
      <c r="E227" t="s">
        <v>10</v>
      </c>
      <c r="F227" t="s">
        <v>13</v>
      </c>
      <c r="G227">
        <v>4.9000000000000004</v>
      </c>
    </row>
    <row r="228" spans="1:7" x14ac:dyDescent="0.25">
      <c r="A228" t="s">
        <v>4</v>
      </c>
      <c r="B228">
        <v>226</v>
      </c>
      <c r="C228">
        <v>93</v>
      </c>
      <c r="D228">
        <v>11.640341997146606</v>
      </c>
      <c r="E228" t="s">
        <v>10</v>
      </c>
      <c r="F228" t="s">
        <v>17</v>
      </c>
      <c r="G228">
        <v>4.3</v>
      </c>
    </row>
    <row r="229" spans="1:7" x14ac:dyDescent="0.25">
      <c r="A229" t="s">
        <v>4</v>
      </c>
      <c r="B229">
        <v>227</v>
      </c>
      <c r="C229">
        <v>83</v>
      </c>
      <c r="D229">
        <v>5.9446694850921631</v>
      </c>
      <c r="E229" t="s">
        <v>10</v>
      </c>
      <c r="F229" t="s">
        <v>15</v>
      </c>
      <c r="G229">
        <v>5</v>
      </c>
    </row>
    <row r="230" spans="1:7" x14ac:dyDescent="0.25">
      <c r="A230" t="s">
        <v>4</v>
      </c>
      <c r="B230">
        <v>228</v>
      </c>
      <c r="C230">
        <v>99</v>
      </c>
      <c r="D230">
        <v>4.5555009841918945</v>
      </c>
      <c r="E230" t="s">
        <v>10</v>
      </c>
      <c r="F230" t="s">
        <v>15</v>
      </c>
      <c r="G230">
        <v>5</v>
      </c>
    </row>
    <row r="231" spans="1:7" x14ac:dyDescent="0.25">
      <c r="A231" t="s">
        <v>4</v>
      </c>
      <c r="B231">
        <v>229</v>
      </c>
      <c r="C231">
        <v>72</v>
      </c>
      <c r="D231">
        <v>4.9608314037322998</v>
      </c>
      <c r="E231" t="s">
        <v>10</v>
      </c>
      <c r="F231" t="s">
        <v>15</v>
      </c>
      <c r="G231">
        <v>5</v>
      </c>
    </row>
    <row r="232" spans="1:7" x14ac:dyDescent="0.25">
      <c r="A232" t="s">
        <v>4</v>
      </c>
      <c r="B232">
        <v>230</v>
      </c>
      <c r="C232">
        <v>0</v>
      </c>
      <c r="D232">
        <v>2.975999116897583</v>
      </c>
      <c r="E232" t="s">
        <v>10</v>
      </c>
      <c r="F232" t="s">
        <v>15</v>
      </c>
      <c r="G232">
        <v>6.8</v>
      </c>
    </row>
    <row r="233" spans="1:7" x14ac:dyDescent="0.25">
      <c r="A233" t="s">
        <v>4</v>
      </c>
      <c r="B233">
        <v>231</v>
      </c>
      <c r="C233">
        <v>84</v>
      </c>
      <c r="D233">
        <v>3.0644738674163818</v>
      </c>
      <c r="E233" t="s">
        <v>10</v>
      </c>
      <c r="F233" t="s">
        <v>15</v>
      </c>
      <c r="G233">
        <v>1.9</v>
      </c>
    </row>
    <row r="234" spans="1:7" x14ac:dyDescent="0.25">
      <c r="A234" t="s">
        <v>4</v>
      </c>
      <c r="B234">
        <v>232</v>
      </c>
      <c r="C234">
        <v>30</v>
      </c>
      <c r="D234">
        <v>6.0052952766418457</v>
      </c>
      <c r="E234" t="s">
        <v>10</v>
      </c>
      <c r="F234" t="s">
        <v>15</v>
      </c>
      <c r="G234">
        <v>2.1</v>
      </c>
    </row>
    <row r="235" spans="1:7" x14ac:dyDescent="0.25">
      <c r="A235" t="s">
        <v>4</v>
      </c>
      <c r="B235">
        <v>233</v>
      </c>
      <c r="C235">
        <v>90</v>
      </c>
      <c r="D235">
        <v>2.4886536598205566</v>
      </c>
      <c r="E235" t="s">
        <v>10</v>
      </c>
      <c r="F235" t="s">
        <v>15</v>
      </c>
      <c r="G235">
        <v>1.9</v>
      </c>
    </row>
    <row r="236" spans="1:7" x14ac:dyDescent="0.25">
      <c r="A236" t="s">
        <v>4</v>
      </c>
      <c r="B236">
        <v>234</v>
      </c>
      <c r="C236">
        <v>100</v>
      </c>
      <c r="D236">
        <v>16.872044324874878</v>
      </c>
      <c r="E236" t="s">
        <v>10</v>
      </c>
      <c r="F236" t="s">
        <v>15</v>
      </c>
      <c r="G236">
        <v>1.9</v>
      </c>
    </row>
    <row r="237" spans="1:7" x14ac:dyDescent="0.25">
      <c r="A237" t="s">
        <v>4</v>
      </c>
      <c r="B237">
        <v>235</v>
      </c>
      <c r="C237">
        <v>80</v>
      </c>
      <c r="D237">
        <v>2.5888528823852539</v>
      </c>
      <c r="E237" t="s">
        <v>10</v>
      </c>
      <c r="F237" t="s">
        <v>15</v>
      </c>
      <c r="G237">
        <v>1.9</v>
      </c>
    </row>
    <row r="238" spans="1:7" x14ac:dyDescent="0.25">
      <c r="A238" t="s">
        <v>4</v>
      </c>
      <c r="B238">
        <v>236</v>
      </c>
      <c r="C238">
        <v>98</v>
      </c>
      <c r="D238">
        <v>7.9968094825744629</v>
      </c>
      <c r="E238" t="s">
        <v>10</v>
      </c>
      <c r="F238" t="s">
        <v>15</v>
      </c>
      <c r="G238">
        <v>1.9</v>
      </c>
    </row>
    <row r="239" spans="1:7" x14ac:dyDescent="0.25">
      <c r="A239" t="s">
        <v>4</v>
      </c>
      <c r="B239">
        <v>237</v>
      </c>
      <c r="C239">
        <v>20</v>
      </c>
      <c r="D239">
        <v>4.9800937175750732</v>
      </c>
      <c r="E239" t="s">
        <v>10</v>
      </c>
      <c r="F239" t="s">
        <v>15</v>
      </c>
      <c r="G239">
        <v>5</v>
      </c>
    </row>
    <row r="240" spans="1:7" x14ac:dyDescent="0.25">
      <c r="A240" t="s">
        <v>4</v>
      </c>
      <c r="B240">
        <v>238</v>
      </c>
      <c r="C240">
        <v>100</v>
      </c>
      <c r="D240">
        <v>15.019449949264526</v>
      </c>
      <c r="E240" t="s">
        <v>10</v>
      </c>
      <c r="F240" t="s">
        <v>15</v>
      </c>
      <c r="G240">
        <v>5</v>
      </c>
    </row>
    <row r="241" spans="1:7" x14ac:dyDescent="0.25">
      <c r="A241" t="s">
        <v>4</v>
      </c>
      <c r="B241">
        <v>239</v>
      </c>
      <c r="C241">
        <v>30</v>
      </c>
      <c r="D241">
        <v>5.96372389793396</v>
      </c>
      <c r="E241" t="s">
        <v>10</v>
      </c>
      <c r="F241" t="s">
        <v>29</v>
      </c>
      <c r="G241">
        <v>7.5</v>
      </c>
    </row>
    <row r="242" spans="1:7" x14ac:dyDescent="0.25">
      <c r="A242" t="s">
        <v>4</v>
      </c>
      <c r="B242">
        <v>240</v>
      </c>
      <c r="C242">
        <v>98</v>
      </c>
      <c r="D242">
        <v>4.1083428859710693</v>
      </c>
      <c r="E242" t="s">
        <v>10</v>
      </c>
      <c r="F242" t="s">
        <v>15</v>
      </c>
      <c r="G242">
        <v>5</v>
      </c>
    </row>
    <row r="243" spans="1:7" x14ac:dyDescent="0.25">
      <c r="A243" t="s">
        <v>4</v>
      </c>
      <c r="B243">
        <v>241</v>
      </c>
      <c r="C243">
        <v>80</v>
      </c>
      <c r="D243">
        <v>6.2236003875732422</v>
      </c>
      <c r="E243" t="s">
        <v>10</v>
      </c>
      <c r="F243" t="s">
        <v>17</v>
      </c>
      <c r="G243">
        <v>5</v>
      </c>
    </row>
    <row r="244" spans="1:7" x14ac:dyDescent="0.25">
      <c r="A244" t="s">
        <v>4</v>
      </c>
      <c r="B244">
        <v>242</v>
      </c>
      <c r="C244">
        <v>83</v>
      </c>
      <c r="D244">
        <v>13.697225093841553</v>
      </c>
      <c r="E244" t="s">
        <v>10</v>
      </c>
      <c r="F244" t="s">
        <v>15</v>
      </c>
      <c r="G244">
        <v>5</v>
      </c>
    </row>
    <row r="245" spans="1:7" x14ac:dyDescent="0.25">
      <c r="A245" t="s">
        <v>4</v>
      </c>
      <c r="B245">
        <v>243</v>
      </c>
      <c r="C245">
        <v>89</v>
      </c>
      <c r="D245">
        <v>4.4111649990081787</v>
      </c>
      <c r="E245" t="s">
        <v>10</v>
      </c>
      <c r="F245" t="s">
        <v>15</v>
      </c>
      <c r="G245">
        <v>5</v>
      </c>
    </row>
    <row r="246" spans="1:7" x14ac:dyDescent="0.25">
      <c r="A246" t="s">
        <v>4</v>
      </c>
      <c r="B246">
        <v>244</v>
      </c>
      <c r="C246">
        <v>80</v>
      </c>
      <c r="D246">
        <v>4.0475218296051025</v>
      </c>
      <c r="E246" t="s">
        <v>10</v>
      </c>
      <c r="F246" t="s">
        <v>15</v>
      </c>
      <c r="G246">
        <v>5</v>
      </c>
    </row>
    <row r="247" spans="1:7" x14ac:dyDescent="0.25">
      <c r="A247" t="s">
        <v>4</v>
      </c>
      <c r="B247">
        <v>245</v>
      </c>
      <c r="C247">
        <v>90</v>
      </c>
      <c r="D247">
        <v>4.0366969108581543</v>
      </c>
      <c r="E247" t="s">
        <v>10</v>
      </c>
      <c r="F247" t="s">
        <v>15</v>
      </c>
      <c r="G247">
        <v>5</v>
      </c>
    </row>
    <row r="248" spans="1:7" x14ac:dyDescent="0.25">
      <c r="A248" t="s">
        <v>4</v>
      </c>
      <c r="B248">
        <v>246</v>
      </c>
      <c r="C248">
        <v>100</v>
      </c>
      <c r="D248">
        <v>11.880158185958862</v>
      </c>
      <c r="E248" t="s">
        <v>10</v>
      </c>
      <c r="F248" t="s">
        <v>30</v>
      </c>
      <c r="G248">
        <v>5</v>
      </c>
    </row>
    <row r="249" spans="1:7" x14ac:dyDescent="0.25">
      <c r="A249" t="s">
        <v>4</v>
      </c>
      <c r="B249">
        <v>247</v>
      </c>
      <c r="C249">
        <v>85</v>
      </c>
      <c r="D249">
        <v>4.161672830581665</v>
      </c>
      <c r="E249" t="s">
        <v>10</v>
      </c>
      <c r="F249" t="s">
        <v>15</v>
      </c>
      <c r="G249">
        <v>5</v>
      </c>
    </row>
    <row r="250" spans="1:7" x14ac:dyDescent="0.25">
      <c r="A250" t="s">
        <v>4</v>
      </c>
      <c r="B250">
        <v>248</v>
      </c>
      <c r="C250">
        <v>43</v>
      </c>
      <c r="D250">
        <v>15.690159320831299</v>
      </c>
      <c r="E250" t="s">
        <v>10</v>
      </c>
      <c r="F250" t="s">
        <v>13</v>
      </c>
      <c r="G250">
        <v>4.3</v>
      </c>
    </row>
    <row r="251" spans="1:7" x14ac:dyDescent="0.25">
      <c r="A251" t="s">
        <v>4</v>
      </c>
      <c r="B251">
        <v>249</v>
      </c>
      <c r="C251">
        <v>99</v>
      </c>
      <c r="D251">
        <v>8.1617991924285889</v>
      </c>
      <c r="E251" t="s">
        <v>10</v>
      </c>
      <c r="F251" t="s">
        <v>15</v>
      </c>
      <c r="G251">
        <v>4.9000000000000004</v>
      </c>
    </row>
    <row r="252" spans="1:7" x14ac:dyDescent="0.25">
      <c r="A252" t="s">
        <v>4</v>
      </c>
      <c r="B252">
        <v>250</v>
      </c>
      <c r="C252">
        <v>100</v>
      </c>
      <c r="D252">
        <v>5.1415479183197021</v>
      </c>
      <c r="E252" t="s">
        <v>10</v>
      </c>
      <c r="F252" t="s">
        <v>15</v>
      </c>
      <c r="G252">
        <v>5</v>
      </c>
    </row>
    <row r="253" spans="1:7" x14ac:dyDescent="0.25">
      <c r="A253" t="s">
        <v>4</v>
      </c>
      <c r="B253">
        <v>251</v>
      </c>
      <c r="C253">
        <v>45</v>
      </c>
      <c r="D253">
        <v>4.7100934982299805</v>
      </c>
      <c r="E253" t="s">
        <v>10</v>
      </c>
      <c r="F253" t="s">
        <v>15</v>
      </c>
      <c r="G253">
        <v>5</v>
      </c>
    </row>
    <row r="254" spans="1:7" x14ac:dyDescent="0.25">
      <c r="A254" t="s">
        <v>4</v>
      </c>
      <c r="B254">
        <v>252</v>
      </c>
      <c r="C254">
        <v>74</v>
      </c>
      <c r="D254">
        <v>3.2390475273132324</v>
      </c>
      <c r="E254" t="s">
        <v>10</v>
      </c>
      <c r="F254" t="s">
        <v>15</v>
      </c>
      <c r="G254">
        <v>2.1</v>
      </c>
    </row>
    <row r="255" spans="1:7" x14ac:dyDescent="0.25">
      <c r="A255" t="s">
        <v>4</v>
      </c>
      <c r="B255">
        <v>253</v>
      </c>
      <c r="C255">
        <v>20</v>
      </c>
      <c r="D255">
        <v>2.7719507217407227</v>
      </c>
      <c r="E255" t="s">
        <v>10</v>
      </c>
      <c r="F255" t="s">
        <v>15</v>
      </c>
      <c r="G255">
        <v>2.1</v>
      </c>
    </row>
    <row r="256" spans="1:7" x14ac:dyDescent="0.25">
      <c r="A256" t="s">
        <v>4</v>
      </c>
      <c r="B256">
        <v>254</v>
      </c>
      <c r="C256">
        <v>100</v>
      </c>
      <c r="D256">
        <v>7.2631306648254395</v>
      </c>
      <c r="E256" t="s">
        <v>10</v>
      </c>
      <c r="F256" t="s">
        <v>17</v>
      </c>
      <c r="G256">
        <v>1.9</v>
      </c>
    </row>
    <row r="257" spans="1:7" x14ac:dyDescent="0.25">
      <c r="A257" t="s">
        <v>4</v>
      </c>
      <c r="B257">
        <v>255</v>
      </c>
      <c r="C257">
        <v>83</v>
      </c>
      <c r="D257">
        <v>6.3279266357421875</v>
      </c>
      <c r="E257" t="s">
        <v>10</v>
      </c>
      <c r="F257" t="s">
        <v>30</v>
      </c>
      <c r="G257">
        <v>6.8</v>
      </c>
    </row>
    <row r="258" spans="1:7" x14ac:dyDescent="0.25">
      <c r="A258" t="s">
        <v>4</v>
      </c>
      <c r="B258">
        <v>256</v>
      </c>
      <c r="C258">
        <v>84</v>
      </c>
      <c r="D258">
        <v>2.9272027015686035</v>
      </c>
      <c r="E258" t="s">
        <v>10</v>
      </c>
      <c r="F258" t="s">
        <v>15</v>
      </c>
      <c r="G258">
        <v>4.3</v>
      </c>
    </row>
    <row r="259" spans="1:7" x14ac:dyDescent="0.25">
      <c r="A259" t="s">
        <v>4</v>
      </c>
      <c r="B259">
        <v>257</v>
      </c>
      <c r="C259">
        <v>80</v>
      </c>
      <c r="D259">
        <v>2.4211792945861816</v>
      </c>
      <c r="E259" t="s">
        <v>10</v>
      </c>
      <c r="F259" t="s">
        <v>15</v>
      </c>
      <c r="G259">
        <v>5</v>
      </c>
    </row>
    <row r="260" spans="1:7" x14ac:dyDescent="0.25">
      <c r="A260" t="s">
        <v>4</v>
      </c>
      <c r="B260">
        <v>258</v>
      </c>
      <c r="C260">
        <v>0</v>
      </c>
      <c r="D260">
        <v>6.9119827747344971</v>
      </c>
      <c r="E260" t="s">
        <v>10</v>
      </c>
      <c r="F260" t="s">
        <v>14</v>
      </c>
      <c r="G260">
        <v>4.3</v>
      </c>
    </row>
    <row r="261" spans="1:7" x14ac:dyDescent="0.25">
      <c r="A261" t="s">
        <v>4</v>
      </c>
      <c r="B261">
        <v>259</v>
      </c>
      <c r="C261">
        <v>100</v>
      </c>
      <c r="D261">
        <v>6.3229317665100098</v>
      </c>
      <c r="E261" t="s">
        <v>10</v>
      </c>
      <c r="F261" t="s">
        <v>20</v>
      </c>
      <c r="G261">
        <v>4.3</v>
      </c>
    </row>
    <row r="262" spans="1:7" x14ac:dyDescent="0.25">
      <c r="A262" t="s">
        <v>4</v>
      </c>
      <c r="B262">
        <v>260</v>
      </c>
      <c r="C262">
        <v>100</v>
      </c>
      <c r="D262">
        <v>13.255843162536621</v>
      </c>
      <c r="E262" t="s">
        <v>10</v>
      </c>
      <c r="F262" t="s">
        <v>23</v>
      </c>
      <c r="G262">
        <v>4.4000000000000004</v>
      </c>
    </row>
    <row r="263" spans="1:7" x14ac:dyDescent="0.25">
      <c r="A263" t="s">
        <v>4</v>
      </c>
      <c r="B263">
        <v>261</v>
      </c>
      <c r="C263">
        <v>97</v>
      </c>
      <c r="D263">
        <v>3.692241907119751</v>
      </c>
      <c r="E263" t="s">
        <v>19</v>
      </c>
      <c r="F263" t="s">
        <v>28</v>
      </c>
      <c r="G263">
        <v>7.2</v>
      </c>
    </row>
    <row r="264" spans="1:7" x14ac:dyDescent="0.25">
      <c r="A264" t="s">
        <v>4</v>
      </c>
      <c r="B264">
        <v>262</v>
      </c>
      <c r="C264">
        <v>30</v>
      </c>
      <c r="D264">
        <v>4.836667537689209</v>
      </c>
      <c r="E264" t="s">
        <v>19</v>
      </c>
      <c r="F264" t="s">
        <v>28</v>
      </c>
      <c r="G264">
        <v>7.2</v>
      </c>
    </row>
    <row r="265" spans="1:7" x14ac:dyDescent="0.25">
      <c r="A265" t="s">
        <v>4</v>
      </c>
      <c r="B265">
        <v>263</v>
      </c>
      <c r="C265">
        <v>90</v>
      </c>
      <c r="D265">
        <v>4.9988441467285156</v>
      </c>
      <c r="E265" t="s">
        <v>19</v>
      </c>
      <c r="F265" t="s">
        <v>28</v>
      </c>
      <c r="G265">
        <v>7.2</v>
      </c>
    </row>
    <row r="266" spans="1:7" x14ac:dyDescent="0.25">
      <c r="A266" t="s">
        <v>4</v>
      </c>
      <c r="B266">
        <v>264</v>
      </c>
      <c r="C266">
        <v>83</v>
      </c>
      <c r="D266">
        <v>3.382098913192749</v>
      </c>
      <c r="E266" t="s">
        <v>10</v>
      </c>
      <c r="F266" t="s">
        <v>17</v>
      </c>
      <c r="G266">
        <v>5</v>
      </c>
    </row>
    <row r="267" spans="1:7" x14ac:dyDescent="0.25">
      <c r="A267" t="s">
        <v>4</v>
      </c>
      <c r="B267">
        <v>265</v>
      </c>
      <c r="C267">
        <v>87</v>
      </c>
      <c r="D267">
        <v>5.2938718795776367</v>
      </c>
      <c r="E267" t="s">
        <v>10</v>
      </c>
      <c r="F267" t="s">
        <v>17</v>
      </c>
      <c r="G267">
        <v>5</v>
      </c>
    </row>
    <row r="268" spans="1:7" x14ac:dyDescent="0.25">
      <c r="A268" t="s">
        <v>4</v>
      </c>
      <c r="B268">
        <v>266</v>
      </c>
      <c r="C268">
        <v>91</v>
      </c>
      <c r="D268">
        <v>4.4648184776306152</v>
      </c>
      <c r="E268" t="s">
        <v>19</v>
      </c>
      <c r="F268" t="s">
        <v>15</v>
      </c>
      <c r="G268">
        <v>4.3</v>
      </c>
    </row>
    <row r="269" spans="1:7" x14ac:dyDescent="0.25">
      <c r="A269" t="s">
        <v>4</v>
      </c>
      <c r="B269">
        <v>267</v>
      </c>
      <c r="C269">
        <v>30</v>
      </c>
      <c r="D269">
        <v>2.9773979187011719</v>
      </c>
      <c r="E269" t="s">
        <v>19</v>
      </c>
      <c r="F269" t="s">
        <v>15</v>
      </c>
      <c r="G269">
        <v>4.3</v>
      </c>
    </row>
    <row r="270" spans="1:7" x14ac:dyDescent="0.25">
      <c r="A270" t="s">
        <v>4</v>
      </c>
      <c r="B270">
        <v>268</v>
      </c>
      <c r="C270">
        <v>70</v>
      </c>
      <c r="D270">
        <v>3.3852930068969727</v>
      </c>
      <c r="E270" t="s">
        <v>19</v>
      </c>
      <c r="F270" t="s">
        <v>15</v>
      </c>
      <c r="G270">
        <v>4.3</v>
      </c>
    </row>
    <row r="271" spans="1:7" x14ac:dyDescent="0.25">
      <c r="A271" t="s">
        <v>4</v>
      </c>
      <c r="B271">
        <v>269</v>
      </c>
      <c r="C271">
        <v>83</v>
      </c>
      <c r="D271">
        <v>3.2622005939483643</v>
      </c>
      <c r="E271" t="s">
        <v>19</v>
      </c>
      <c r="F271" t="s">
        <v>15</v>
      </c>
      <c r="G271">
        <v>4.3</v>
      </c>
    </row>
    <row r="272" spans="1:7" x14ac:dyDescent="0.25">
      <c r="A272" t="s">
        <v>4</v>
      </c>
      <c r="B272">
        <v>270</v>
      </c>
      <c r="C272">
        <v>80</v>
      </c>
      <c r="D272">
        <v>2.8793377876281738</v>
      </c>
      <c r="E272" t="s">
        <v>19</v>
      </c>
      <c r="F272" t="s">
        <v>15</v>
      </c>
      <c r="G272">
        <v>4.3</v>
      </c>
    </row>
    <row r="273" spans="1:7" x14ac:dyDescent="0.25">
      <c r="A273" t="s">
        <v>4</v>
      </c>
      <c r="B273">
        <v>271</v>
      </c>
      <c r="C273">
        <v>80</v>
      </c>
      <c r="D273">
        <v>3.6433475017547607</v>
      </c>
      <c r="E273" t="s">
        <v>19</v>
      </c>
      <c r="F273" t="s">
        <v>15</v>
      </c>
      <c r="G273">
        <v>4.3</v>
      </c>
    </row>
    <row r="274" spans="1:7" x14ac:dyDescent="0.25">
      <c r="A274" t="s">
        <v>4</v>
      </c>
      <c r="B274">
        <v>272</v>
      </c>
      <c r="C274">
        <v>80</v>
      </c>
      <c r="D274">
        <v>2.9771871566772461</v>
      </c>
      <c r="E274" t="s">
        <v>19</v>
      </c>
      <c r="F274" t="s">
        <v>15</v>
      </c>
      <c r="G274">
        <v>4.3</v>
      </c>
    </row>
    <row r="275" spans="1:7" x14ac:dyDescent="0.25">
      <c r="A275" t="s">
        <v>4</v>
      </c>
      <c r="B275">
        <v>273</v>
      </c>
      <c r="C275">
        <v>0</v>
      </c>
      <c r="D275">
        <v>8.6436636447906494</v>
      </c>
      <c r="E275" t="s">
        <v>10</v>
      </c>
      <c r="F275" t="s">
        <v>15</v>
      </c>
      <c r="G275">
        <v>5</v>
      </c>
    </row>
    <row r="276" spans="1:7" x14ac:dyDescent="0.25">
      <c r="A276" t="s">
        <v>4</v>
      </c>
      <c r="B276">
        <v>274</v>
      </c>
      <c r="C276">
        <v>80</v>
      </c>
      <c r="D276">
        <v>5.5730593204498291</v>
      </c>
      <c r="E276" t="s">
        <v>10</v>
      </c>
      <c r="F276" t="s">
        <v>15</v>
      </c>
      <c r="G276">
        <v>4.9000000000000004</v>
      </c>
    </row>
    <row r="277" spans="1:7" x14ac:dyDescent="0.25">
      <c r="A277" t="s">
        <v>4</v>
      </c>
      <c r="B277">
        <v>275</v>
      </c>
      <c r="C277">
        <v>100</v>
      </c>
      <c r="D277">
        <v>6.6265723705291748</v>
      </c>
      <c r="E277" t="s">
        <v>10</v>
      </c>
      <c r="F277" t="s">
        <v>15</v>
      </c>
      <c r="G277">
        <v>4.9000000000000004</v>
      </c>
    </row>
    <row r="278" spans="1:7" x14ac:dyDescent="0.25">
      <c r="A278" t="s">
        <v>4</v>
      </c>
      <c r="B278">
        <v>276</v>
      </c>
      <c r="C278">
        <v>0</v>
      </c>
      <c r="D278">
        <v>2.7652158737182617</v>
      </c>
      <c r="E278" t="s">
        <v>10</v>
      </c>
      <c r="F278" t="s">
        <v>15</v>
      </c>
      <c r="G278">
        <v>4.9000000000000004</v>
      </c>
    </row>
    <row r="279" spans="1:7" x14ac:dyDescent="0.25">
      <c r="A279" t="s">
        <v>4</v>
      </c>
      <c r="B279">
        <v>277</v>
      </c>
      <c r="C279">
        <v>98</v>
      </c>
      <c r="D279">
        <v>6.8739218711853027</v>
      </c>
      <c r="E279" t="s">
        <v>10</v>
      </c>
      <c r="F279" t="s">
        <v>17</v>
      </c>
      <c r="G279">
        <v>4.3</v>
      </c>
    </row>
    <row r="280" spans="1:7" x14ac:dyDescent="0.25">
      <c r="A280" t="s">
        <v>4</v>
      </c>
      <c r="B280">
        <v>278</v>
      </c>
      <c r="C280">
        <v>95</v>
      </c>
      <c r="D280">
        <v>7.1243331432342529</v>
      </c>
      <c r="E280" t="s">
        <v>10</v>
      </c>
      <c r="F280" t="s">
        <v>12</v>
      </c>
      <c r="G280">
        <v>5.8</v>
      </c>
    </row>
    <row r="281" spans="1:7" x14ac:dyDescent="0.25">
      <c r="A281" t="s">
        <v>4</v>
      </c>
      <c r="B281">
        <v>279</v>
      </c>
      <c r="C281">
        <v>83</v>
      </c>
      <c r="D281">
        <v>5.7342808246612549</v>
      </c>
      <c r="E281" t="s">
        <v>10</v>
      </c>
      <c r="F281" t="s">
        <v>15</v>
      </c>
      <c r="G281">
        <v>4.3</v>
      </c>
    </row>
    <row r="282" spans="1:7" x14ac:dyDescent="0.25">
      <c r="A282" t="s">
        <v>4</v>
      </c>
      <c r="B282">
        <v>280</v>
      </c>
      <c r="C282">
        <v>84</v>
      </c>
      <c r="D282">
        <v>5.943082332611084</v>
      </c>
      <c r="E282" t="s">
        <v>10</v>
      </c>
      <c r="F282" t="s">
        <v>14</v>
      </c>
      <c r="G282">
        <v>4.3</v>
      </c>
    </row>
    <row r="283" spans="1:7" x14ac:dyDescent="0.25">
      <c r="A283" t="s">
        <v>4</v>
      </c>
      <c r="B283">
        <v>281</v>
      </c>
      <c r="C283">
        <v>79</v>
      </c>
      <c r="D283">
        <v>5.6477963924407959</v>
      </c>
      <c r="E283" t="s">
        <v>10</v>
      </c>
      <c r="F283" t="s">
        <v>29</v>
      </c>
      <c r="G283">
        <v>6.8</v>
      </c>
    </row>
    <row r="284" spans="1:7" x14ac:dyDescent="0.25">
      <c r="A284" t="s">
        <v>4</v>
      </c>
      <c r="B284">
        <v>282</v>
      </c>
      <c r="C284">
        <v>89</v>
      </c>
      <c r="D284">
        <v>5.0026175975799561</v>
      </c>
      <c r="E284" t="s">
        <v>10</v>
      </c>
      <c r="F284" t="s">
        <v>14</v>
      </c>
      <c r="G284">
        <v>6.8</v>
      </c>
    </row>
    <row r="285" spans="1:7" x14ac:dyDescent="0.25">
      <c r="A285" t="s">
        <v>4</v>
      </c>
      <c r="B285">
        <v>283</v>
      </c>
      <c r="C285">
        <v>68</v>
      </c>
      <c r="D285">
        <v>16.568469047546387</v>
      </c>
      <c r="E285" t="s">
        <v>10</v>
      </c>
      <c r="F285" t="s">
        <v>14</v>
      </c>
      <c r="G285">
        <v>7.5</v>
      </c>
    </row>
    <row r="286" spans="1:7" x14ac:dyDescent="0.25">
      <c r="A286" t="s">
        <v>4</v>
      </c>
      <c r="B286">
        <v>284</v>
      </c>
      <c r="C286">
        <v>81</v>
      </c>
      <c r="D286">
        <v>4.0932257175445557</v>
      </c>
      <c r="E286" t="s">
        <v>10</v>
      </c>
      <c r="F286" t="s">
        <v>14</v>
      </c>
      <c r="G286">
        <v>7.5</v>
      </c>
    </row>
    <row r="287" spans="1:7" x14ac:dyDescent="0.25">
      <c r="A287" t="s">
        <v>4</v>
      </c>
      <c r="B287">
        <v>285</v>
      </c>
      <c r="C287">
        <v>98</v>
      </c>
      <c r="D287">
        <v>8.0893385410308838</v>
      </c>
      <c r="E287" t="s">
        <v>10</v>
      </c>
      <c r="F287" t="s">
        <v>14</v>
      </c>
      <c r="G287">
        <v>7.5</v>
      </c>
    </row>
    <row r="288" spans="1:7" x14ac:dyDescent="0.25">
      <c r="A288" t="s">
        <v>4</v>
      </c>
      <c r="B288">
        <v>286</v>
      </c>
      <c r="C288">
        <v>90</v>
      </c>
      <c r="D288">
        <v>6.9137189388275146</v>
      </c>
      <c r="E288" t="s">
        <v>10</v>
      </c>
      <c r="F288" t="s">
        <v>14</v>
      </c>
      <c r="G288">
        <v>7.5</v>
      </c>
    </row>
    <row r="289" spans="1:7" x14ac:dyDescent="0.25">
      <c r="A289" t="s">
        <v>4</v>
      </c>
      <c r="B289">
        <v>287</v>
      </c>
      <c r="C289">
        <v>80</v>
      </c>
      <c r="D289">
        <v>7.9082715511322021</v>
      </c>
      <c r="E289" t="s">
        <v>10</v>
      </c>
      <c r="F289" t="s">
        <v>14</v>
      </c>
      <c r="G289">
        <v>7.5</v>
      </c>
    </row>
    <row r="290" spans="1:7" x14ac:dyDescent="0.25">
      <c r="A290" t="s">
        <v>4</v>
      </c>
      <c r="B290">
        <v>288</v>
      </c>
      <c r="C290">
        <v>30</v>
      </c>
      <c r="D290">
        <v>7.1879634857177734</v>
      </c>
      <c r="E290" t="s">
        <v>10</v>
      </c>
      <c r="F290" t="s">
        <v>14</v>
      </c>
      <c r="G290">
        <v>7.5</v>
      </c>
    </row>
    <row r="291" spans="1:7" x14ac:dyDescent="0.25">
      <c r="A291" t="s">
        <v>4</v>
      </c>
      <c r="B291">
        <v>289</v>
      </c>
      <c r="C291">
        <v>83</v>
      </c>
      <c r="D291">
        <v>4.0343518257141113</v>
      </c>
      <c r="E291" t="s">
        <v>10</v>
      </c>
      <c r="F291" t="s">
        <v>14</v>
      </c>
      <c r="G291">
        <v>7.5</v>
      </c>
    </row>
    <row r="292" spans="1:7" x14ac:dyDescent="0.25">
      <c r="A292" t="s">
        <v>4</v>
      </c>
      <c r="B292">
        <v>290</v>
      </c>
      <c r="C292">
        <v>100</v>
      </c>
      <c r="D292">
        <v>11.059268474578857</v>
      </c>
      <c r="E292" t="s">
        <v>10</v>
      </c>
      <c r="F292" t="s">
        <v>14</v>
      </c>
      <c r="G292">
        <v>7.5</v>
      </c>
    </row>
    <row r="293" spans="1:7" x14ac:dyDescent="0.25">
      <c r="A293" t="s">
        <v>4</v>
      </c>
      <c r="B293">
        <v>291</v>
      </c>
      <c r="C293">
        <v>80</v>
      </c>
      <c r="D293">
        <v>16.491316080093384</v>
      </c>
      <c r="E293" t="s">
        <v>10</v>
      </c>
      <c r="F293" t="s">
        <v>14</v>
      </c>
      <c r="G293">
        <v>6.8</v>
      </c>
    </row>
    <row r="294" spans="1:7" x14ac:dyDescent="0.25">
      <c r="A294" t="s">
        <v>4</v>
      </c>
      <c r="B294">
        <v>292</v>
      </c>
      <c r="C294">
        <v>72</v>
      </c>
      <c r="D294">
        <v>13.308880090713501</v>
      </c>
      <c r="E294" t="s">
        <v>10</v>
      </c>
      <c r="F294" t="s">
        <v>14</v>
      </c>
      <c r="G294">
        <v>6.8</v>
      </c>
    </row>
    <row r="295" spans="1:7" x14ac:dyDescent="0.25">
      <c r="A295" t="s">
        <v>4</v>
      </c>
      <c r="B295">
        <v>293</v>
      </c>
      <c r="C295">
        <v>83</v>
      </c>
      <c r="D295">
        <v>9.754469633102417</v>
      </c>
      <c r="E295" t="s">
        <v>10</v>
      </c>
      <c r="F295" t="s">
        <v>14</v>
      </c>
      <c r="G295">
        <v>6.8</v>
      </c>
    </row>
    <row r="296" spans="1:7" x14ac:dyDescent="0.25">
      <c r="A296" t="s">
        <v>4</v>
      </c>
      <c r="B296">
        <v>294</v>
      </c>
      <c r="C296">
        <v>84</v>
      </c>
      <c r="D296">
        <v>9.5773625373840332</v>
      </c>
      <c r="E296" t="s">
        <v>10</v>
      </c>
      <c r="F296" t="s">
        <v>14</v>
      </c>
      <c r="G296">
        <v>6.8</v>
      </c>
    </row>
    <row r="297" spans="1:7" x14ac:dyDescent="0.25">
      <c r="A297" t="s">
        <v>4</v>
      </c>
      <c r="B297">
        <v>295</v>
      </c>
      <c r="C297">
        <v>14</v>
      </c>
      <c r="D297">
        <v>11.786978960037231</v>
      </c>
      <c r="E297" t="s">
        <v>10</v>
      </c>
      <c r="F297" t="s">
        <v>14</v>
      </c>
      <c r="G297">
        <v>7.5</v>
      </c>
    </row>
    <row r="298" spans="1:7" x14ac:dyDescent="0.25">
      <c r="A298" t="s">
        <v>4</v>
      </c>
      <c r="B298">
        <v>296</v>
      </c>
      <c r="C298">
        <v>86</v>
      </c>
      <c r="D298">
        <v>8.6044521331787109</v>
      </c>
      <c r="E298" t="s">
        <v>10</v>
      </c>
      <c r="F298" t="s">
        <v>15</v>
      </c>
      <c r="G298">
        <v>7.5</v>
      </c>
    </row>
    <row r="299" spans="1:7" x14ac:dyDescent="0.25">
      <c r="A299" t="s">
        <v>4</v>
      </c>
      <c r="B299">
        <v>297</v>
      </c>
      <c r="C299">
        <v>12</v>
      </c>
      <c r="D299">
        <v>7.7543179988861084</v>
      </c>
      <c r="E299" t="s">
        <v>10</v>
      </c>
      <c r="F299" t="s">
        <v>15</v>
      </c>
      <c r="G299">
        <v>7.5</v>
      </c>
    </row>
    <row r="300" spans="1:7" x14ac:dyDescent="0.25">
      <c r="A300" t="s">
        <v>4</v>
      </c>
      <c r="B300">
        <v>298</v>
      </c>
      <c r="C300">
        <v>88</v>
      </c>
      <c r="D300">
        <v>11.739339828491211</v>
      </c>
      <c r="E300" t="s">
        <v>10</v>
      </c>
      <c r="F300" t="s">
        <v>15</v>
      </c>
      <c r="G300">
        <v>7.5</v>
      </c>
    </row>
    <row r="301" spans="1:7" x14ac:dyDescent="0.25">
      <c r="A301" t="s">
        <v>4</v>
      </c>
      <c r="B301">
        <v>299</v>
      </c>
      <c r="C301">
        <v>0</v>
      </c>
      <c r="D301">
        <v>17.806370496749878</v>
      </c>
      <c r="E301" t="s">
        <v>10</v>
      </c>
      <c r="F301" t="s">
        <v>20</v>
      </c>
      <c r="G301">
        <v>7.5</v>
      </c>
    </row>
    <row r="302" spans="1:7" x14ac:dyDescent="0.25">
      <c r="A302" t="s">
        <v>4</v>
      </c>
      <c r="B302">
        <v>300</v>
      </c>
      <c r="C302">
        <v>100</v>
      </c>
      <c r="D302">
        <v>5.5133287906646729</v>
      </c>
      <c r="E302" t="s">
        <v>10</v>
      </c>
      <c r="F302" t="s">
        <v>20</v>
      </c>
      <c r="G302">
        <v>7.5</v>
      </c>
    </row>
    <row r="303" spans="1:7" x14ac:dyDescent="0.25">
      <c r="A303" t="s">
        <v>4</v>
      </c>
      <c r="B303">
        <v>301</v>
      </c>
      <c r="C303">
        <v>25</v>
      </c>
      <c r="D303">
        <v>6.8357002735137939</v>
      </c>
      <c r="E303" t="s">
        <v>10</v>
      </c>
      <c r="F303" t="s">
        <v>15</v>
      </c>
      <c r="G303">
        <v>7.5</v>
      </c>
    </row>
    <row r="304" spans="1:7" x14ac:dyDescent="0.25">
      <c r="A304" t="s">
        <v>4</v>
      </c>
      <c r="B304">
        <v>302</v>
      </c>
      <c r="C304">
        <v>34</v>
      </c>
      <c r="D304">
        <v>9.1056385040283203</v>
      </c>
      <c r="E304" t="s">
        <v>10</v>
      </c>
      <c r="F304" t="s">
        <v>14</v>
      </c>
      <c r="G304">
        <v>7.5</v>
      </c>
    </row>
    <row r="305" spans="1:7" x14ac:dyDescent="0.25">
      <c r="A305" t="s">
        <v>4</v>
      </c>
      <c r="B305">
        <v>303</v>
      </c>
      <c r="C305">
        <v>0</v>
      </c>
      <c r="D305">
        <v>12.549828052520752</v>
      </c>
      <c r="E305" t="s">
        <v>10</v>
      </c>
      <c r="F305" t="s">
        <v>15</v>
      </c>
      <c r="G305">
        <v>5</v>
      </c>
    </row>
    <row r="306" spans="1:7" x14ac:dyDescent="0.25">
      <c r="A306" t="s">
        <v>4</v>
      </c>
      <c r="B306">
        <v>304</v>
      </c>
      <c r="C306">
        <v>10</v>
      </c>
      <c r="D306">
        <v>3.9184107780456543</v>
      </c>
      <c r="E306" t="s">
        <v>10</v>
      </c>
      <c r="F306" t="s">
        <v>15</v>
      </c>
      <c r="G306">
        <v>5</v>
      </c>
    </row>
    <row r="307" spans="1:7" x14ac:dyDescent="0.25">
      <c r="A307" t="s">
        <v>4</v>
      </c>
      <c r="B307">
        <v>305</v>
      </c>
      <c r="C307">
        <v>89</v>
      </c>
      <c r="D307">
        <v>6.8586485385894775</v>
      </c>
      <c r="E307" t="s">
        <v>10</v>
      </c>
      <c r="F307" t="s">
        <v>15</v>
      </c>
      <c r="G307">
        <v>5</v>
      </c>
    </row>
    <row r="308" spans="1:7" x14ac:dyDescent="0.25">
      <c r="A308" t="s">
        <v>4</v>
      </c>
      <c r="B308">
        <v>306</v>
      </c>
      <c r="C308">
        <v>89</v>
      </c>
      <c r="D308">
        <v>9.4938766956329346</v>
      </c>
      <c r="E308" t="s">
        <v>10</v>
      </c>
      <c r="F308" t="s">
        <v>13</v>
      </c>
      <c r="G308">
        <v>6.8</v>
      </c>
    </row>
    <row r="309" spans="1:7" x14ac:dyDescent="0.25">
      <c r="A309" t="s">
        <v>4</v>
      </c>
      <c r="B309">
        <v>307</v>
      </c>
      <c r="C309">
        <v>87</v>
      </c>
      <c r="D309">
        <v>3.5250194072723389</v>
      </c>
      <c r="E309" t="s">
        <v>10</v>
      </c>
      <c r="F309" t="s">
        <v>13</v>
      </c>
      <c r="G309">
        <v>6.8</v>
      </c>
    </row>
    <row r="310" spans="1:7" x14ac:dyDescent="0.25">
      <c r="A310" t="s">
        <v>4</v>
      </c>
      <c r="B310">
        <v>308</v>
      </c>
      <c r="C310">
        <v>83</v>
      </c>
      <c r="D310">
        <v>3.8290050029754639</v>
      </c>
      <c r="E310" t="s">
        <v>10</v>
      </c>
      <c r="F310" t="s">
        <v>13</v>
      </c>
      <c r="G310">
        <v>6.8</v>
      </c>
    </row>
    <row r="311" spans="1:7" x14ac:dyDescent="0.25">
      <c r="A311" t="s">
        <v>4</v>
      </c>
      <c r="B311">
        <v>309</v>
      </c>
      <c r="C311">
        <v>70</v>
      </c>
      <c r="D311">
        <v>7.6796512603759766</v>
      </c>
      <c r="E311" t="s">
        <v>10</v>
      </c>
      <c r="F311" t="s">
        <v>13</v>
      </c>
      <c r="G311">
        <v>6.8</v>
      </c>
    </row>
    <row r="312" spans="1:7" x14ac:dyDescent="0.25">
      <c r="A312" t="s">
        <v>4</v>
      </c>
      <c r="B312">
        <v>310</v>
      </c>
      <c r="C312">
        <v>71</v>
      </c>
      <c r="D312">
        <v>5.0253870487213135</v>
      </c>
      <c r="E312" t="s">
        <v>10</v>
      </c>
      <c r="F312" t="s">
        <v>31</v>
      </c>
      <c r="G312">
        <v>7.5</v>
      </c>
    </row>
    <row r="313" spans="1:7" x14ac:dyDescent="0.25">
      <c r="A313" t="s">
        <v>4</v>
      </c>
      <c r="B313">
        <v>311</v>
      </c>
      <c r="C313">
        <v>97</v>
      </c>
      <c r="D313">
        <v>5.308027982711792</v>
      </c>
      <c r="E313" t="s">
        <v>10</v>
      </c>
      <c r="F313" t="s">
        <v>21</v>
      </c>
      <c r="G313">
        <v>7.5</v>
      </c>
    </row>
    <row r="314" spans="1:7" x14ac:dyDescent="0.25">
      <c r="A314" t="s">
        <v>4</v>
      </c>
      <c r="B314">
        <v>312</v>
      </c>
      <c r="C314">
        <v>20</v>
      </c>
      <c r="D314">
        <v>2.9934988021850586</v>
      </c>
      <c r="E314" t="s">
        <v>19</v>
      </c>
      <c r="F314" t="s">
        <v>15</v>
      </c>
      <c r="G314">
        <v>5</v>
      </c>
    </row>
    <row r="315" spans="1:7" x14ac:dyDescent="0.25">
      <c r="A315" t="s">
        <v>4</v>
      </c>
      <c r="B315">
        <v>313</v>
      </c>
      <c r="C315">
        <v>80</v>
      </c>
      <c r="D315">
        <v>2.7554523944854736</v>
      </c>
      <c r="E315" t="s">
        <v>19</v>
      </c>
      <c r="F315" t="s">
        <v>15</v>
      </c>
      <c r="G315">
        <v>5</v>
      </c>
    </row>
    <row r="316" spans="1:7" x14ac:dyDescent="0.25">
      <c r="A316" t="s">
        <v>4</v>
      </c>
      <c r="B316">
        <v>314</v>
      </c>
      <c r="C316">
        <v>14</v>
      </c>
      <c r="D316">
        <v>3.5791676044464111</v>
      </c>
      <c r="E316" t="s">
        <v>19</v>
      </c>
      <c r="F316" t="s">
        <v>15</v>
      </c>
      <c r="G316">
        <v>5</v>
      </c>
    </row>
    <row r="317" spans="1:7" x14ac:dyDescent="0.25">
      <c r="A317" t="s">
        <v>4</v>
      </c>
      <c r="B317">
        <v>315</v>
      </c>
      <c r="C317">
        <v>0</v>
      </c>
      <c r="D317">
        <v>3.4669342041015625</v>
      </c>
      <c r="E317" t="s">
        <v>19</v>
      </c>
      <c r="F317" t="s">
        <v>15</v>
      </c>
      <c r="G317">
        <v>5</v>
      </c>
    </row>
    <row r="318" spans="1:7" x14ac:dyDescent="0.25">
      <c r="A318" t="s">
        <v>4</v>
      </c>
      <c r="B318">
        <v>316</v>
      </c>
      <c r="C318">
        <v>76</v>
      </c>
      <c r="D318">
        <v>3.4186556339263916</v>
      </c>
      <c r="E318" t="s">
        <v>19</v>
      </c>
      <c r="F318" t="s">
        <v>15</v>
      </c>
      <c r="G318">
        <v>5</v>
      </c>
    </row>
    <row r="319" spans="1:7" x14ac:dyDescent="0.25">
      <c r="A319" t="s">
        <v>4</v>
      </c>
      <c r="B319">
        <v>317</v>
      </c>
      <c r="C319">
        <v>30</v>
      </c>
      <c r="D319">
        <v>5.1868841648101807</v>
      </c>
      <c r="E319" t="s">
        <v>19</v>
      </c>
      <c r="F319" t="s">
        <v>15</v>
      </c>
      <c r="G319">
        <v>5</v>
      </c>
    </row>
    <row r="320" spans="1:7" x14ac:dyDescent="0.25">
      <c r="A320" t="s">
        <v>4</v>
      </c>
      <c r="B320">
        <v>318</v>
      </c>
      <c r="C320">
        <v>30</v>
      </c>
      <c r="D320">
        <v>8.1201696395874023</v>
      </c>
      <c r="E320" t="s">
        <v>10</v>
      </c>
      <c r="F320" t="s">
        <v>30</v>
      </c>
      <c r="G320">
        <v>7.5</v>
      </c>
    </row>
    <row r="321" spans="1:7" x14ac:dyDescent="0.25">
      <c r="A321" t="s">
        <v>4</v>
      </c>
      <c r="B321">
        <v>319</v>
      </c>
      <c r="C321">
        <v>90</v>
      </c>
      <c r="D321">
        <v>2.4077272415161133</v>
      </c>
      <c r="E321" t="s">
        <v>10</v>
      </c>
      <c r="F321" t="s">
        <v>15</v>
      </c>
      <c r="G321">
        <v>7.5</v>
      </c>
    </row>
    <row r="322" spans="1:7" x14ac:dyDescent="0.25">
      <c r="A322" t="s">
        <v>4</v>
      </c>
      <c r="B322">
        <v>320</v>
      </c>
      <c r="C322">
        <v>83</v>
      </c>
      <c r="D322">
        <v>6.4970488548278809</v>
      </c>
      <c r="E322" t="s">
        <v>10</v>
      </c>
      <c r="F322" t="s">
        <v>21</v>
      </c>
      <c r="G322">
        <v>7.5</v>
      </c>
    </row>
    <row r="323" spans="1:7" x14ac:dyDescent="0.25">
      <c r="A323" t="s">
        <v>4</v>
      </c>
      <c r="B323">
        <v>321</v>
      </c>
      <c r="C323">
        <v>80</v>
      </c>
      <c r="D323">
        <v>5.1336233615875244</v>
      </c>
      <c r="E323" t="s">
        <v>10</v>
      </c>
      <c r="F323" t="s">
        <v>15</v>
      </c>
      <c r="G323">
        <v>4.9000000000000004</v>
      </c>
    </row>
    <row r="324" spans="1:7" x14ac:dyDescent="0.25">
      <c r="A324" t="s">
        <v>4</v>
      </c>
      <c r="B324">
        <v>322</v>
      </c>
      <c r="C324">
        <v>65</v>
      </c>
      <c r="D324">
        <v>17.300582885742188</v>
      </c>
      <c r="E324" t="s">
        <v>10</v>
      </c>
      <c r="F324" t="s">
        <v>15</v>
      </c>
      <c r="G324">
        <v>2.1</v>
      </c>
    </row>
    <row r="325" spans="1:7" x14ac:dyDescent="0.25">
      <c r="A325" t="s">
        <v>4</v>
      </c>
      <c r="B325">
        <v>323</v>
      </c>
      <c r="C325">
        <v>45</v>
      </c>
      <c r="D325">
        <v>5.6773641109466553</v>
      </c>
      <c r="E325" t="s">
        <v>10</v>
      </c>
      <c r="F325" t="s">
        <v>21</v>
      </c>
      <c r="G325">
        <v>7.5</v>
      </c>
    </row>
    <row r="326" spans="1:7" x14ac:dyDescent="0.25">
      <c r="A326" t="s">
        <v>4</v>
      </c>
      <c r="B326">
        <v>324</v>
      </c>
      <c r="C326">
        <v>80</v>
      </c>
      <c r="D326">
        <v>13.625518083572388</v>
      </c>
      <c r="E326" t="s">
        <v>10</v>
      </c>
      <c r="F326" t="s">
        <v>21</v>
      </c>
      <c r="G326">
        <v>7.5</v>
      </c>
    </row>
    <row r="327" spans="1:7" x14ac:dyDescent="0.25">
      <c r="A327" t="s">
        <v>4</v>
      </c>
      <c r="B327">
        <v>325</v>
      </c>
      <c r="C327">
        <v>100</v>
      </c>
      <c r="D327">
        <v>3.1505959033966064</v>
      </c>
      <c r="E327" t="s">
        <v>10</v>
      </c>
      <c r="F327" t="s">
        <v>20</v>
      </c>
      <c r="G327">
        <v>7.5</v>
      </c>
    </row>
    <row r="328" spans="1:7" x14ac:dyDescent="0.25">
      <c r="A328" t="s">
        <v>4</v>
      </c>
      <c r="B328">
        <v>326</v>
      </c>
      <c r="C328">
        <v>100</v>
      </c>
      <c r="D328">
        <v>17.98468804359436</v>
      </c>
      <c r="E328" t="s">
        <v>19</v>
      </c>
      <c r="F328" t="s">
        <v>13</v>
      </c>
      <c r="G328">
        <v>4.3</v>
      </c>
    </row>
    <row r="329" spans="1:7" x14ac:dyDescent="0.25">
      <c r="A329" t="s">
        <v>4</v>
      </c>
      <c r="B329">
        <v>327</v>
      </c>
      <c r="C329">
        <v>72</v>
      </c>
      <c r="D329">
        <v>14.901534080505371</v>
      </c>
      <c r="E329" t="s">
        <v>10</v>
      </c>
      <c r="F329" t="s">
        <v>21</v>
      </c>
      <c r="G329">
        <v>7.5</v>
      </c>
    </row>
    <row r="330" spans="1:7" x14ac:dyDescent="0.25">
      <c r="A330" t="s">
        <v>4</v>
      </c>
      <c r="B330">
        <v>328</v>
      </c>
      <c r="C330">
        <v>100</v>
      </c>
      <c r="D330">
        <v>43.697607040405273</v>
      </c>
      <c r="E330" t="s">
        <v>10</v>
      </c>
      <c r="F330" t="s">
        <v>22</v>
      </c>
      <c r="G330">
        <v>7.5</v>
      </c>
    </row>
    <row r="331" spans="1:7" x14ac:dyDescent="0.25">
      <c r="A331" t="s">
        <v>4</v>
      </c>
      <c r="B331">
        <v>329</v>
      </c>
      <c r="C331">
        <v>85</v>
      </c>
      <c r="D331">
        <v>5.1241333484649658</v>
      </c>
      <c r="E331" t="s">
        <v>10</v>
      </c>
      <c r="F331" t="s">
        <v>22</v>
      </c>
      <c r="G331">
        <v>7.5</v>
      </c>
    </row>
    <row r="332" spans="1:7" x14ac:dyDescent="0.25">
      <c r="A332" t="s">
        <v>4</v>
      </c>
      <c r="B332">
        <v>330</v>
      </c>
      <c r="C332">
        <v>83</v>
      </c>
      <c r="D332">
        <v>2.9090480804443359</v>
      </c>
      <c r="E332" t="s">
        <v>10</v>
      </c>
      <c r="F332" t="s">
        <v>23</v>
      </c>
      <c r="G332">
        <v>4.5999999999999996</v>
      </c>
    </row>
    <row r="333" spans="1:7" x14ac:dyDescent="0.25">
      <c r="A333" t="s">
        <v>4</v>
      </c>
      <c r="B333">
        <v>331</v>
      </c>
      <c r="C333">
        <v>72</v>
      </c>
      <c r="D333">
        <v>7.1853265762329102</v>
      </c>
      <c r="E333" t="s">
        <v>10</v>
      </c>
      <c r="F333" t="s">
        <v>15</v>
      </c>
      <c r="G333">
        <v>4.9000000000000004</v>
      </c>
    </row>
    <row r="334" spans="1:7" x14ac:dyDescent="0.25">
      <c r="A334" t="s">
        <v>4</v>
      </c>
      <c r="B334">
        <v>332</v>
      </c>
      <c r="C334">
        <v>100</v>
      </c>
      <c r="D334">
        <v>2.3561420440673828</v>
      </c>
      <c r="E334" t="s">
        <v>10</v>
      </c>
      <c r="F334" t="s">
        <v>15</v>
      </c>
      <c r="G334">
        <v>4.9000000000000004</v>
      </c>
    </row>
    <row r="335" spans="1:7" x14ac:dyDescent="0.25">
      <c r="A335" t="s">
        <v>4</v>
      </c>
      <c r="B335">
        <v>333</v>
      </c>
      <c r="C335">
        <v>99</v>
      </c>
      <c r="D335">
        <v>4.5775549411773682</v>
      </c>
      <c r="E335" t="s">
        <v>10</v>
      </c>
      <c r="F335" t="s">
        <v>20</v>
      </c>
      <c r="G335">
        <v>6.8</v>
      </c>
    </row>
    <row r="336" spans="1:7" x14ac:dyDescent="0.25">
      <c r="A336" t="s">
        <v>4</v>
      </c>
      <c r="B336">
        <v>334</v>
      </c>
      <c r="C336">
        <v>14</v>
      </c>
      <c r="D336">
        <v>3.3656206130981445</v>
      </c>
      <c r="E336" t="s">
        <v>10</v>
      </c>
      <c r="F336" t="s">
        <v>14</v>
      </c>
      <c r="G336">
        <v>6.8</v>
      </c>
    </row>
    <row r="337" spans="1:7" x14ac:dyDescent="0.25">
      <c r="A337" t="s">
        <v>4</v>
      </c>
      <c r="B337">
        <v>335</v>
      </c>
      <c r="C337">
        <v>80</v>
      </c>
      <c r="D337">
        <v>10.506537437438965</v>
      </c>
      <c r="E337" t="s">
        <v>10</v>
      </c>
      <c r="F337" t="s">
        <v>23</v>
      </c>
      <c r="G337">
        <v>5</v>
      </c>
    </row>
    <row r="338" spans="1:7" x14ac:dyDescent="0.25">
      <c r="A338" t="s">
        <v>4</v>
      </c>
      <c r="B338">
        <v>336</v>
      </c>
      <c r="C338">
        <v>83</v>
      </c>
      <c r="D338">
        <v>3.1478579044342041</v>
      </c>
      <c r="E338" t="s">
        <v>10</v>
      </c>
      <c r="F338" t="s">
        <v>22</v>
      </c>
      <c r="G338">
        <v>7.5</v>
      </c>
    </row>
    <row r="339" spans="1:7" x14ac:dyDescent="0.25">
      <c r="A339" t="s">
        <v>4</v>
      </c>
      <c r="B339">
        <v>337</v>
      </c>
      <c r="C339">
        <v>89</v>
      </c>
      <c r="D339">
        <v>12.285594940185547</v>
      </c>
      <c r="E339" t="s">
        <v>10</v>
      </c>
      <c r="F339" t="s">
        <v>15</v>
      </c>
      <c r="G339">
        <v>5</v>
      </c>
    </row>
    <row r="340" spans="1:7" x14ac:dyDescent="0.25">
      <c r="A340" t="s">
        <v>4</v>
      </c>
      <c r="B340">
        <v>338</v>
      </c>
      <c r="C340">
        <v>84</v>
      </c>
      <c r="D340">
        <v>3.389789342880249</v>
      </c>
      <c r="E340" t="s">
        <v>10</v>
      </c>
      <c r="F340" t="s">
        <v>15</v>
      </c>
      <c r="G340">
        <v>5</v>
      </c>
    </row>
    <row r="341" spans="1:7" x14ac:dyDescent="0.25">
      <c r="A341" t="s">
        <v>4</v>
      </c>
      <c r="B341">
        <v>339</v>
      </c>
      <c r="C341">
        <v>100</v>
      </c>
      <c r="D341">
        <v>7.5752525329589844</v>
      </c>
      <c r="E341" t="s">
        <v>19</v>
      </c>
      <c r="F341" t="s">
        <v>32</v>
      </c>
      <c r="G341">
        <v>6.8</v>
      </c>
    </row>
    <row r="342" spans="1:7" x14ac:dyDescent="0.25">
      <c r="A342" t="s">
        <v>4</v>
      </c>
      <c r="B342">
        <v>340</v>
      </c>
      <c r="C342">
        <v>85</v>
      </c>
      <c r="D342">
        <v>5.0369794368743896</v>
      </c>
      <c r="E342" t="s">
        <v>19</v>
      </c>
      <c r="F342" t="s">
        <v>15</v>
      </c>
      <c r="G342">
        <v>6.8</v>
      </c>
    </row>
    <row r="343" spans="1:7" x14ac:dyDescent="0.25">
      <c r="A343" t="s">
        <v>4</v>
      </c>
      <c r="B343">
        <v>341</v>
      </c>
      <c r="C343">
        <v>99</v>
      </c>
      <c r="D343">
        <v>4.3877801895141602</v>
      </c>
      <c r="E343" t="s">
        <v>19</v>
      </c>
      <c r="F343" t="s">
        <v>15</v>
      </c>
      <c r="G343">
        <v>6.8</v>
      </c>
    </row>
    <row r="344" spans="1:7" x14ac:dyDescent="0.25">
      <c r="A344" t="s">
        <v>4</v>
      </c>
      <c r="B344">
        <v>342</v>
      </c>
      <c r="C344">
        <v>90</v>
      </c>
      <c r="D344">
        <v>6.3508450984954834</v>
      </c>
      <c r="E344" t="s">
        <v>10</v>
      </c>
      <c r="F344" t="s">
        <v>15</v>
      </c>
      <c r="G344">
        <v>2.1</v>
      </c>
    </row>
    <row r="345" spans="1:7" x14ac:dyDescent="0.25">
      <c r="A345" t="s">
        <v>4</v>
      </c>
      <c r="B345">
        <v>343</v>
      </c>
      <c r="C345">
        <v>89</v>
      </c>
      <c r="D345">
        <v>4.3514559268951416</v>
      </c>
      <c r="E345" t="s">
        <v>10</v>
      </c>
      <c r="F345" t="s">
        <v>15</v>
      </c>
      <c r="G345">
        <v>2.1</v>
      </c>
    </row>
    <row r="346" spans="1:7" x14ac:dyDescent="0.25">
      <c r="A346" t="s">
        <v>4</v>
      </c>
      <c r="B346">
        <v>344</v>
      </c>
      <c r="C346">
        <v>90</v>
      </c>
      <c r="D346">
        <v>4.2707383632659912</v>
      </c>
      <c r="E346" t="s">
        <v>10</v>
      </c>
      <c r="F346" t="s">
        <v>26</v>
      </c>
      <c r="G346">
        <v>2.1</v>
      </c>
    </row>
    <row r="347" spans="1:7" x14ac:dyDescent="0.25">
      <c r="A347" t="s">
        <v>4</v>
      </c>
      <c r="B347">
        <v>345</v>
      </c>
      <c r="C347">
        <v>83</v>
      </c>
      <c r="D347">
        <v>4.4840826988220215</v>
      </c>
      <c r="E347" t="s">
        <v>10</v>
      </c>
      <c r="F347" t="s">
        <v>15</v>
      </c>
      <c r="G347">
        <v>2.1</v>
      </c>
    </row>
    <row r="348" spans="1:7" x14ac:dyDescent="0.25">
      <c r="A348" t="s">
        <v>4</v>
      </c>
      <c r="B348">
        <v>346</v>
      </c>
      <c r="C348">
        <v>19</v>
      </c>
      <c r="D348">
        <v>2.612844705581665</v>
      </c>
      <c r="E348" t="s">
        <v>10</v>
      </c>
      <c r="F348" t="s">
        <v>15</v>
      </c>
      <c r="G348">
        <v>1.9</v>
      </c>
    </row>
    <row r="349" spans="1:7" x14ac:dyDescent="0.25">
      <c r="A349" t="s">
        <v>4</v>
      </c>
      <c r="B349">
        <v>347</v>
      </c>
      <c r="C349">
        <v>88</v>
      </c>
      <c r="D349">
        <v>6.8327407836914063</v>
      </c>
      <c r="E349" t="s">
        <v>10</v>
      </c>
      <c r="F349" t="s">
        <v>15</v>
      </c>
      <c r="G349">
        <v>1.9</v>
      </c>
    </row>
    <row r="350" spans="1:7" x14ac:dyDescent="0.25">
      <c r="A350" t="s">
        <v>4</v>
      </c>
      <c r="B350">
        <v>348</v>
      </c>
      <c r="C350">
        <v>70</v>
      </c>
      <c r="D350">
        <v>8.8365752696990967</v>
      </c>
      <c r="E350" t="s">
        <v>10</v>
      </c>
      <c r="F350" t="s">
        <v>15</v>
      </c>
      <c r="G350">
        <v>2.1</v>
      </c>
    </row>
    <row r="351" spans="1:7" x14ac:dyDescent="0.25">
      <c r="A351" t="s">
        <v>4</v>
      </c>
      <c r="B351">
        <v>349</v>
      </c>
      <c r="C351">
        <v>14</v>
      </c>
      <c r="D351">
        <v>9.7513253688812256</v>
      </c>
      <c r="E351" t="s">
        <v>10</v>
      </c>
      <c r="F351" t="s">
        <v>21</v>
      </c>
      <c r="G351">
        <v>7.5</v>
      </c>
    </row>
    <row r="352" spans="1:7" x14ac:dyDescent="0.25">
      <c r="A352" t="s">
        <v>4</v>
      </c>
      <c r="B352">
        <v>350</v>
      </c>
      <c r="C352">
        <v>33</v>
      </c>
      <c r="D352">
        <v>6.1824419498443604</v>
      </c>
      <c r="E352" t="s">
        <v>10</v>
      </c>
      <c r="F352" t="s">
        <v>13</v>
      </c>
      <c r="G352">
        <v>7.5</v>
      </c>
    </row>
    <row r="353" spans="1:7" x14ac:dyDescent="0.25">
      <c r="A353" t="s">
        <v>4</v>
      </c>
      <c r="B353">
        <v>351</v>
      </c>
      <c r="C353">
        <v>83</v>
      </c>
      <c r="D353">
        <v>6.4633522033691406</v>
      </c>
      <c r="E353" t="s">
        <v>10</v>
      </c>
      <c r="F353" t="s">
        <v>13</v>
      </c>
      <c r="G353">
        <v>7.5</v>
      </c>
    </row>
    <row r="354" spans="1:7" x14ac:dyDescent="0.25">
      <c r="A354" t="s">
        <v>4</v>
      </c>
      <c r="B354">
        <v>352</v>
      </c>
      <c r="C354">
        <v>80</v>
      </c>
      <c r="D354">
        <v>8.9312429428100586</v>
      </c>
      <c r="E354" t="s">
        <v>10</v>
      </c>
      <c r="F354" t="s">
        <v>13</v>
      </c>
      <c r="G354">
        <v>7.5</v>
      </c>
    </row>
    <row r="355" spans="1:7" x14ac:dyDescent="0.25">
      <c r="A355" t="s">
        <v>4</v>
      </c>
      <c r="B355">
        <v>353</v>
      </c>
      <c r="C355">
        <v>88</v>
      </c>
      <c r="D355">
        <v>3.9684836864471436</v>
      </c>
      <c r="E355" t="s">
        <v>10</v>
      </c>
      <c r="F355" t="s">
        <v>15</v>
      </c>
      <c r="G355">
        <v>5</v>
      </c>
    </row>
    <row r="356" spans="1:7" x14ac:dyDescent="0.25">
      <c r="A356" t="s">
        <v>4</v>
      </c>
      <c r="B356">
        <v>354</v>
      </c>
      <c r="C356">
        <v>97</v>
      </c>
      <c r="D356">
        <v>11.039766311645508</v>
      </c>
      <c r="E356" t="s">
        <v>10</v>
      </c>
      <c r="F356" t="s">
        <v>15</v>
      </c>
      <c r="G356">
        <v>5</v>
      </c>
    </row>
    <row r="357" spans="1:7" x14ac:dyDescent="0.25">
      <c r="A357" t="s">
        <v>4</v>
      </c>
      <c r="B357">
        <v>355</v>
      </c>
      <c r="C357">
        <v>80</v>
      </c>
      <c r="D357">
        <v>6.8497586250305176</v>
      </c>
      <c r="E357" t="s">
        <v>10</v>
      </c>
      <c r="F357" t="s">
        <v>15</v>
      </c>
      <c r="G357">
        <v>5</v>
      </c>
    </row>
    <row r="358" spans="1:7" x14ac:dyDescent="0.25">
      <c r="A358" t="s">
        <v>4</v>
      </c>
      <c r="B358">
        <v>356</v>
      </c>
      <c r="C358">
        <v>40</v>
      </c>
      <c r="D358">
        <v>5.3308632373809814</v>
      </c>
      <c r="E358" t="s">
        <v>10</v>
      </c>
      <c r="F358" t="s">
        <v>15</v>
      </c>
      <c r="G358">
        <v>5</v>
      </c>
    </row>
    <row r="359" spans="1:7" x14ac:dyDescent="0.25">
      <c r="A359" t="s">
        <v>4</v>
      </c>
      <c r="B359">
        <v>357</v>
      </c>
      <c r="C359">
        <v>35</v>
      </c>
      <c r="D359">
        <v>4.042811393737793</v>
      </c>
      <c r="E359" t="s">
        <v>10</v>
      </c>
      <c r="F359" t="s">
        <v>15</v>
      </c>
      <c r="G359">
        <v>5</v>
      </c>
    </row>
    <row r="360" spans="1:7" x14ac:dyDescent="0.25">
      <c r="A360" t="s">
        <v>4</v>
      </c>
      <c r="B360">
        <v>358</v>
      </c>
      <c r="C360">
        <v>84</v>
      </c>
      <c r="D360">
        <v>4.088686466217041</v>
      </c>
      <c r="E360" t="s">
        <v>10</v>
      </c>
      <c r="F360" t="s">
        <v>33</v>
      </c>
      <c r="G360">
        <v>7.5</v>
      </c>
    </row>
    <row r="361" spans="1:7" x14ac:dyDescent="0.25">
      <c r="A361" t="s">
        <v>4</v>
      </c>
      <c r="B361">
        <v>359</v>
      </c>
      <c r="C361">
        <v>92</v>
      </c>
      <c r="D361">
        <v>5.8097443580627441</v>
      </c>
      <c r="E361" t="s">
        <v>10</v>
      </c>
      <c r="F361" t="s">
        <v>28</v>
      </c>
      <c r="G361">
        <v>7.5</v>
      </c>
    </row>
    <row r="362" spans="1:7" x14ac:dyDescent="0.25">
      <c r="A362" t="s">
        <v>4</v>
      </c>
      <c r="B362">
        <v>360</v>
      </c>
      <c r="C362">
        <v>100</v>
      </c>
      <c r="D362">
        <v>3.7693002223968506</v>
      </c>
      <c r="E362" t="s">
        <v>10</v>
      </c>
      <c r="F362" t="s">
        <v>28</v>
      </c>
      <c r="G362">
        <v>7.5</v>
      </c>
    </row>
    <row r="363" spans="1:7" x14ac:dyDescent="0.25">
      <c r="A363" t="s">
        <v>4</v>
      </c>
      <c r="B363">
        <v>361</v>
      </c>
      <c r="C363">
        <v>90</v>
      </c>
      <c r="D363">
        <v>4.8442068099975586</v>
      </c>
      <c r="E363" t="s">
        <v>10</v>
      </c>
      <c r="F363" t="s">
        <v>15</v>
      </c>
      <c r="G363">
        <v>2.1</v>
      </c>
    </row>
    <row r="364" spans="1:7" x14ac:dyDescent="0.25">
      <c r="A364" t="s">
        <v>4</v>
      </c>
      <c r="B364">
        <v>362</v>
      </c>
      <c r="C364">
        <v>83</v>
      </c>
      <c r="D364">
        <v>4.1814785003662109</v>
      </c>
      <c r="E364" t="s">
        <v>10</v>
      </c>
      <c r="F364" t="s">
        <v>15</v>
      </c>
      <c r="G364">
        <v>2.1</v>
      </c>
    </row>
    <row r="365" spans="1:7" x14ac:dyDescent="0.25">
      <c r="A365" t="s">
        <v>4</v>
      </c>
      <c r="B365">
        <v>363</v>
      </c>
      <c r="C365">
        <v>90</v>
      </c>
      <c r="D365">
        <v>4.5004546642303467</v>
      </c>
      <c r="E365" t="s">
        <v>10</v>
      </c>
      <c r="F365" t="s">
        <v>15</v>
      </c>
      <c r="G365">
        <v>4.3</v>
      </c>
    </row>
    <row r="366" spans="1:7" x14ac:dyDescent="0.25">
      <c r="A366" t="s">
        <v>4</v>
      </c>
      <c r="B366">
        <v>364</v>
      </c>
      <c r="C366">
        <v>100</v>
      </c>
      <c r="D366">
        <v>6.879159688949585</v>
      </c>
      <c r="E366" t="s">
        <v>10</v>
      </c>
      <c r="F366" t="s">
        <v>15</v>
      </c>
      <c r="G366">
        <v>2.1</v>
      </c>
    </row>
    <row r="367" spans="1:7" x14ac:dyDescent="0.25">
      <c r="A367" t="s">
        <v>4</v>
      </c>
      <c r="B367">
        <v>365</v>
      </c>
      <c r="C367">
        <v>30</v>
      </c>
      <c r="D367">
        <v>3.0421006679534912</v>
      </c>
      <c r="E367" t="s">
        <v>10</v>
      </c>
      <c r="F367" t="s">
        <v>15</v>
      </c>
      <c r="G367">
        <v>2.1</v>
      </c>
    </row>
    <row r="368" spans="1:7" x14ac:dyDescent="0.25">
      <c r="A368" t="s">
        <v>4</v>
      </c>
      <c r="B368">
        <v>366</v>
      </c>
      <c r="C368">
        <v>32</v>
      </c>
      <c r="D368">
        <v>5.702965259552002</v>
      </c>
      <c r="E368" t="s">
        <v>19</v>
      </c>
      <c r="F368" t="s">
        <v>23</v>
      </c>
      <c r="G368">
        <v>5.0999999999999996</v>
      </c>
    </row>
    <row r="369" spans="1:7" x14ac:dyDescent="0.25">
      <c r="A369" t="s">
        <v>4</v>
      </c>
      <c r="B369">
        <v>367</v>
      </c>
      <c r="C369">
        <v>100</v>
      </c>
      <c r="D369">
        <v>5.8663492202758789</v>
      </c>
      <c r="E369" t="s">
        <v>10</v>
      </c>
      <c r="F369" t="s">
        <v>21</v>
      </c>
      <c r="G369">
        <v>7.5</v>
      </c>
    </row>
    <row r="370" spans="1:7" x14ac:dyDescent="0.25">
      <c r="A370" t="s">
        <v>4</v>
      </c>
      <c r="B370">
        <v>368</v>
      </c>
      <c r="C370">
        <v>68</v>
      </c>
      <c r="D370">
        <v>10.594398736953735</v>
      </c>
      <c r="E370" t="s">
        <v>10</v>
      </c>
      <c r="F370" t="s">
        <v>15</v>
      </c>
      <c r="G370">
        <v>2.1</v>
      </c>
    </row>
    <row r="371" spans="1:7" x14ac:dyDescent="0.25">
      <c r="A371" t="s">
        <v>4</v>
      </c>
      <c r="B371">
        <v>369</v>
      </c>
      <c r="C371">
        <v>34</v>
      </c>
      <c r="D371">
        <v>3.8361070156097412</v>
      </c>
      <c r="E371" t="s">
        <v>10</v>
      </c>
      <c r="F371" t="s">
        <v>23</v>
      </c>
      <c r="G371">
        <v>10</v>
      </c>
    </row>
    <row r="372" spans="1:7" x14ac:dyDescent="0.25">
      <c r="A372" t="s">
        <v>4</v>
      </c>
      <c r="B372">
        <v>370</v>
      </c>
      <c r="C372">
        <v>97</v>
      </c>
      <c r="D372">
        <v>2.9498386383056641</v>
      </c>
      <c r="E372" t="s">
        <v>10</v>
      </c>
      <c r="F372" t="s">
        <v>15</v>
      </c>
      <c r="G372">
        <v>2.1</v>
      </c>
    </row>
    <row r="373" spans="1:7" x14ac:dyDescent="0.25">
      <c r="A373" t="s">
        <v>4</v>
      </c>
      <c r="B373">
        <v>371</v>
      </c>
      <c r="C373">
        <v>32</v>
      </c>
      <c r="D373">
        <v>2.6981573104858398</v>
      </c>
      <c r="E373" t="s">
        <v>10</v>
      </c>
      <c r="F373" t="s">
        <v>15</v>
      </c>
      <c r="G373">
        <v>2.1</v>
      </c>
    </row>
    <row r="374" spans="1:7" x14ac:dyDescent="0.25">
      <c r="A374" t="s">
        <v>4</v>
      </c>
      <c r="B374">
        <v>372</v>
      </c>
      <c r="C374">
        <v>82</v>
      </c>
      <c r="D374">
        <v>3.3279693126678467</v>
      </c>
      <c r="E374" t="s">
        <v>10</v>
      </c>
      <c r="F374" t="s">
        <v>15</v>
      </c>
      <c r="G374">
        <v>2.1</v>
      </c>
    </row>
    <row r="375" spans="1:7" x14ac:dyDescent="0.25">
      <c r="A375" t="s">
        <v>4</v>
      </c>
      <c r="B375">
        <v>373</v>
      </c>
      <c r="C375">
        <v>12</v>
      </c>
      <c r="D375">
        <v>3.5633935928344727</v>
      </c>
      <c r="E375" t="s">
        <v>10</v>
      </c>
      <c r="F375" t="s">
        <v>15</v>
      </c>
      <c r="G375">
        <v>2.1</v>
      </c>
    </row>
    <row r="376" spans="1:7" x14ac:dyDescent="0.25">
      <c r="A376" t="s">
        <v>4</v>
      </c>
      <c r="B376">
        <v>374</v>
      </c>
      <c r="C376">
        <v>10</v>
      </c>
      <c r="D376">
        <v>5.4327738285064697</v>
      </c>
      <c r="E376" t="s">
        <v>10</v>
      </c>
      <c r="F376" t="s">
        <v>27</v>
      </c>
      <c r="G376">
        <v>2.1</v>
      </c>
    </row>
    <row r="377" spans="1:7" x14ac:dyDescent="0.25">
      <c r="A377" t="s">
        <v>4</v>
      </c>
      <c r="B377">
        <v>375</v>
      </c>
      <c r="C377">
        <v>20</v>
      </c>
      <c r="D377">
        <v>4.6465067863464355</v>
      </c>
      <c r="E377" t="s">
        <v>10</v>
      </c>
      <c r="F377" t="s">
        <v>27</v>
      </c>
      <c r="G377">
        <v>2.1</v>
      </c>
    </row>
    <row r="378" spans="1:7" x14ac:dyDescent="0.25">
      <c r="A378" t="s">
        <v>4</v>
      </c>
      <c r="B378">
        <v>376</v>
      </c>
      <c r="C378">
        <v>14</v>
      </c>
      <c r="D378">
        <v>5.1556360721588135</v>
      </c>
      <c r="E378" t="s">
        <v>10</v>
      </c>
      <c r="F378" t="s">
        <v>15</v>
      </c>
      <c r="G378">
        <v>5</v>
      </c>
    </row>
    <row r="379" spans="1:7" x14ac:dyDescent="0.25">
      <c r="A379" t="s">
        <v>4</v>
      </c>
      <c r="B379">
        <v>377</v>
      </c>
      <c r="C379">
        <v>70</v>
      </c>
      <c r="D379">
        <v>3.5821592807769775</v>
      </c>
      <c r="E379" t="s">
        <v>10</v>
      </c>
      <c r="F379" t="s">
        <v>15</v>
      </c>
      <c r="G379">
        <v>4.9000000000000004</v>
      </c>
    </row>
    <row r="380" spans="1:7" x14ac:dyDescent="0.25">
      <c r="A380" t="s">
        <v>4</v>
      </c>
      <c r="B380">
        <v>378</v>
      </c>
      <c r="C380">
        <v>70</v>
      </c>
      <c r="D380">
        <v>2.6614675521850586</v>
      </c>
      <c r="E380" t="s">
        <v>10</v>
      </c>
      <c r="F380" t="s">
        <v>17</v>
      </c>
      <c r="G380">
        <v>5</v>
      </c>
    </row>
    <row r="381" spans="1:7" x14ac:dyDescent="0.25">
      <c r="A381" t="s">
        <v>4</v>
      </c>
      <c r="B381">
        <v>379</v>
      </c>
      <c r="C381">
        <v>60</v>
      </c>
      <c r="D381">
        <v>10.497997999191284</v>
      </c>
      <c r="E381" t="s">
        <v>10</v>
      </c>
      <c r="F381" t="s">
        <v>17</v>
      </c>
      <c r="G381">
        <v>5</v>
      </c>
    </row>
    <row r="382" spans="1:7" x14ac:dyDescent="0.25">
      <c r="A382" t="s">
        <v>4</v>
      </c>
      <c r="B382">
        <v>380</v>
      </c>
      <c r="C382">
        <v>99</v>
      </c>
      <c r="D382">
        <v>9.166412353515625</v>
      </c>
      <c r="E382" t="s">
        <v>10</v>
      </c>
      <c r="F382" t="s">
        <v>15</v>
      </c>
      <c r="G382">
        <v>4.9000000000000004</v>
      </c>
    </row>
    <row r="383" spans="1:7" x14ac:dyDescent="0.25">
      <c r="A383" t="s">
        <v>4</v>
      </c>
      <c r="B383">
        <v>381</v>
      </c>
      <c r="C383">
        <v>33</v>
      </c>
      <c r="D383">
        <v>7.1690983772277832</v>
      </c>
      <c r="E383" t="s">
        <v>10</v>
      </c>
      <c r="F383" t="s">
        <v>14</v>
      </c>
      <c r="G383">
        <v>2.1</v>
      </c>
    </row>
    <row r="384" spans="1:7" x14ac:dyDescent="0.25">
      <c r="A384" t="s">
        <v>4</v>
      </c>
      <c r="B384">
        <v>382</v>
      </c>
      <c r="C384">
        <v>100</v>
      </c>
      <c r="D384">
        <v>17.967584133148193</v>
      </c>
      <c r="E384" t="s">
        <v>10</v>
      </c>
      <c r="F384" t="s">
        <v>15</v>
      </c>
      <c r="G384">
        <v>4.9000000000000004</v>
      </c>
    </row>
    <row r="385" spans="1:7" x14ac:dyDescent="0.25">
      <c r="A385" t="s">
        <v>4</v>
      </c>
      <c r="B385">
        <v>383</v>
      </c>
      <c r="C385">
        <v>83</v>
      </c>
      <c r="D385">
        <v>3.8630959987640381</v>
      </c>
      <c r="E385" t="s">
        <v>10</v>
      </c>
      <c r="F385" t="s">
        <v>14</v>
      </c>
      <c r="G385">
        <v>2.1</v>
      </c>
    </row>
    <row r="386" spans="1:7" x14ac:dyDescent="0.25">
      <c r="A386" t="s">
        <v>4</v>
      </c>
      <c r="B386">
        <v>384</v>
      </c>
      <c r="C386">
        <v>85</v>
      </c>
      <c r="D386">
        <v>3.3165357112884521</v>
      </c>
      <c r="E386" t="s">
        <v>10</v>
      </c>
      <c r="F386" t="s">
        <v>17</v>
      </c>
      <c r="G386">
        <v>2.1</v>
      </c>
    </row>
    <row r="387" spans="1:7" x14ac:dyDescent="0.25">
      <c r="A387" t="s">
        <v>4</v>
      </c>
      <c r="B387">
        <v>385</v>
      </c>
      <c r="C387">
        <v>70</v>
      </c>
      <c r="D387">
        <v>2.9403090476989746</v>
      </c>
      <c r="E387" t="s">
        <v>10</v>
      </c>
      <c r="F387" t="s">
        <v>15</v>
      </c>
      <c r="G387">
        <v>2.1</v>
      </c>
    </row>
    <row r="388" spans="1:7" x14ac:dyDescent="0.25">
      <c r="A388" t="s">
        <v>4</v>
      </c>
      <c r="B388">
        <v>386</v>
      </c>
      <c r="C388">
        <v>85</v>
      </c>
      <c r="D388">
        <v>6.2514832019805908</v>
      </c>
      <c r="E388" t="s">
        <v>10</v>
      </c>
      <c r="F388" t="s">
        <v>14</v>
      </c>
      <c r="G388">
        <v>2.1</v>
      </c>
    </row>
    <row r="389" spans="1:7" x14ac:dyDescent="0.25">
      <c r="A389" t="s">
        <v>4</v>
      </c>
      <c r="B389">
        <v>387</v>
      </c>
      <c r="C389">
        <v>0</v>
      </c>
      <c r="D389">
        <v>7.2971358299255371</v>
      </c>
      <c r="E389" t="s">
        <v>10</v>
      </c>
      <c r="F389" t="s">
        <v>14</v>
      </c>
      <c r="G389">
        <v>2.1</v>
      </c>
    </row>
    <row r="390" spans="1:7" x14ac:dyDescent="0.25">
      <c r="A390" t="s">
        <v>4</v>
      </c>
      <c r="B390">
        <v>388</v>
      </c>
      <c r="C390">
        <v>91</v>
      </c>
      <c r="D390">
        <v>5.0365996360778809</v>
      </c>
      <c r="E390" t="s">
        <v>10</v>
      </c>
      <c r="F390" t="s">
        <v>15</v>
      </c>
      <c r="G390">
        <v>2.1</v>
      </c>
    </row>
    <row r="391" spans="1:7" x14ac:dyDescent="0.25">
      <c r="A391" t="s">
        <v>4</v>
      </c>
      <c r="B391">
        <v>389</v>
      </c>
      <c r="C391">
        <v>90</v>
      </c>
      <c r="D391">
        <v>4.386775016784668</v>
      </c>
      <c r="E391" t="s">
        <v>10</v>
      </c>
      <c r="F391" t="s">
        <v>15</v>
      </c>
      <c r="G391">
        <v>2.1</v>
      </c>
    </row>
    <row r="392" spans="1:7" x14ac:dyDescent="0.25">
      <c r="A392" t="s">
        <v>4</v>
      </c>
      <c r="B392">
        <v>390</v>
      </c>
      <c r="C392">
        <v>85</v>
      </c>
      <c r="D392">
        <v>6.9240243434906006</v>
      </c>
      <c r="E392" t="s">
        <v>10</v>
      </c>
      <c r="F392" t="s">
        <v>14</v>
      </c>
      <c r="G392">
        <v>2.1</v>
      </c>
    </row>
    <row r="393" spans="1:7" x14ac:dyDescent="0.25">
      <c r="A393" t="s">
        <v>4</v>
      </c>
      <c r="B393">
        <v>391</v>
      </c>
      <c r="C393">
        <v>48</v>
      </c>
      <c r="D393">
        <v>3.693690299987793</v>
      </c>
      <c r="E393" t="s">
        <v>10</v>
      </c>
      <c r="F393" t="s">
        <v>15</v>
      </c>
      <c r="G393">
        <v>4.9000000000000004</v>
      </c>
    </row>
    <row r="394" spans="1:7" x14ac:dyDescent="0.25">
      <c r="A394" t="s">
        <v>4</v>
      </c>
      <c r="B394">
        <v>392</v>
      </c>
      <c r="C394">
        <v>43</v>
      </c>
      <c r="D394">
        <v>3.2230856418609619</v>
      </c>
      <c r="E394" t="s">
        <v>10</v>
      </c>
      <c r="F394" t="s">
        <v>15</v>
      </c>
      <c r="G394">
        <v>2.1</v>
      </c>
    </row>
    <row r="395" spans="1:7" x14ac:dyDescent="0.25">
      <c r="A395" t="s">
        <v>4</v>
      </c>
      <c r="B395">
        <v>393</v>
      </c>
      <c r="C395">
        <v>21</v>
      </c>
      <c r="D395">
        <v>3.4701952934265137</v>
      </c>
      <c r="E395" t="s">
        <v>10</v>
      </c>
      <c r="F395" t="s">
        <v>15</v>
      </c>
      <c r="G395">
        <v>2.1</v>
      </c>
    </row>
    <row r="396" spans="1:7" x14ac:dyDescent="0.25">
      <c r="A396" t="s">
        <v>4</v>
      </c>
      <c r="B396">
        <v>394</v>
      </c>
      <c r="C396">
        <v>72</v>
      </c>
      <c r="D396">
        <v>6.0369386672973633</v>
      </c>
      <c r="E396" t="s">
        <v>10</v>
      </c>
      <c r="F396" t="s">
        <v>15</v>
      </c>
      <c r="G396">
        <v>2.1</v>
      </c>
    </row>
    <row r="397" spans="1:7" x14ac:dyDescent="0.25">
      <c r="A397" t="s">
        <v>4</v>
      </c>
      <c r="B397">
        <v>395</v>
      </c>
      <c r="C397">
        <v>97</v>
      </c>
      <c r="D397">
        <v>7.0857169628143311</v>
      </c>
      <c r="E397" t="s">
        <v>10</v>
      </c>
      <c r="F397" t="s">
        <v>15</v>
      </c>
      <c r="G397">
        <v>2.1</v>
      </c>
    </row>
    <row r="398" spans="1:7" x14ac:dyDescent="0.25">
      <c r="A398" t="s">
        <v>4</v>
      </c>
      <c r="B398">
        <v>396</v>
      </c>
      <c r="C398">
        <v>90</v>
      </c>
      <c r="D398">
        <v>3.4224979877471924</v>
      </c>
      <c r="E398" t="s">
        <v>10</v>
      </c>
      <c r="F398" t="s">
        <v>14</v>
      </c>
      <c r="G398">
        <v>7.8</v>
      </c>
    </row>
    <row r="399" spans="1:7" x14ac:dyDescent="0.25">
      <c r="A399" t="s">
        <v>4</v>
      </c>
      <c r="B399">
        <v>397</v>
      </c>
      <c r="C399">
        <v>47</v>
      </c>
      <c r="D399">
        <v>2.6088917255401611</v>
      </c>
      <c r="E399" t="s">
        <v>10</v>
      </c>
      <c r="F399" t="s">
        <v>18</v>
      </c>
      <c r="G399">
        <v>7.2</v>
      </c>
    </row>
    <row r="400" spans="1:7" x14ac:dyDescent="0.25">
      <c r="A400" t="s">
        <v>4</v>
      </c>
      <c r="B400">
        <v>398</v>
      </c>
      <c r="C400">
        <v>12</v>
      </c>
      <c r="D400">
        <v>8.0686664581298828</v>
      </c>
      <c r="E400" t="s">
        <v>10</v>
      </c>
      <c r="F400" t="s">
        <v>15</v>
      </c>
      <c r="G400">
        <v>4.3</v>
      </c>
    </row>
    <row r="401" spans="1:7" x14ac:dyDescent="0.25">
      <c r="A401" t="s">
        <v>4</v>
      </c>
      <c r="B401">
        <v>399</v>
      </c>
      <c r="C401">
        <v>100</v>
      </c>
      <c r="D401">
        <v>7.1681299209594727</v>
      </c>
      <c r="E401" t="s">
        <v>10</v>
      </c>
      <c r="F401" t="s">
        <v>15</v>
      </c>
      <c r="G401">
        <v>4.3</v>
      </c>
    </row>
    <row r="402" spans="1:7" x14ac:dyDescent="0.25">
      <c r="A402" t="s">
        <v>4</v>
      </c>
      <c r="B402">
        <v>400</v>
      </c>
      <c r="C402">
        <v>0</v>
      </c>
      <c r="D402">
        <v>16.344739437103271</v>
      </c>
      <c r="E402" t="s">
        <v>10</v>
      </c>
      <c r="F402" t="s">
        <v>15</v>
      </c>
      <c r="G402">
        <v>7.8</v>
      </c>
    </row>
    <row r="403" spans="1:7" x14ac:dyDescent="0.25">
      <c r="A403" t="s">
        <v>4</v>
      </c>
      <c r="B403">
        <v>401</v>
      </c>
      <c r="C403">
        <v>67</v>
      </c>
      <c r="D403">
        <v>3.809356689453125</v>
      </c>
      <c r="E403" t="s">
        <v>10</v>
      </c>
      <c r="F403" t="s">
        <v>14</v>
      </c>
      <c r="G403">
        <v>7.5</v>
      </c>
    </row>
    <row r="404" spans="1:7" x14ac:dyDescent="0.25">
      <c r="A404" t="s">
        <v>4</v>
      </c>
      <c r="B404">
        <v>402</v>
      </c>
      <c r="C404">
        <v>83</v>
      </c>
      <c r="D404">
        <v>8.3581681251525879</v>
      </c>
      <c r="E404" t="s">
        <v>10</v>
      </c>
      <c r="F404" t="s">
        <v>15</v>
      </c>
      <c r="G404">
        <v>5</v>
      </c>
    </row>
    <row r="405" spans="1:7" x14ac:dyDescent="0.25">
      <c r="A405" t="s">
        <v>4</v>
      </c>
      <c r="B405">
        <v>403</v>
      </c>
      <c r="C405">
        <v>40</v>
      </c>
      <c r="D405">
        <v>5.3005726337432861</v>
      </c>
      <c r="E405" t="s">
        <v>10</v>
      </c>
      <c r="F405" t="s">
        <v>15</v>
      </c>
      <c r="G405">
        <v>7.8</v>
      </c>
    </row>
    <row r="406" spans="1:7" x14ac:dyDescent="0.25">
      <c r="A406" t="s">
        <v>4</v>
      </c>
      <c r="B406">
        <v>404</v>
      </c>
      <c r="C406">
        <v>88</v>
      </c>
      <c r="D406">
        <v>3.9698975086212158</v>
      </c>
      <c r="E406" t="s">
        <v>10</v>
      </c>
      <c r="F406" t="s">
        <v>14</v>
      </c>
      <c r="G406">
        <v>6.8</v>
      </c>
    </row>
    <row r="407" spans="1:7" x14ac:dyDescent="0.25">
      <c r="A407" t="s">
        <v>4</v>
      </c>
      <c r="B407">
        <v>405</v>
      </c>
      <c r="C407">
        <v>83</v>
      </c>
      <c r="D407">
        <v>5.0777232646942139</v>
      </c>
      <c r="E407" t="s">
        <v>10</v>
      </c>
      <c r="F407" t="s">
        <v>14</v>
      </c>
      <c r="G407">
        <v>6.8</v>
      </c>
    </row>
    <row r="408" spans="1:7" x14ac:dyDescent="0.25">
      <c r="A408" t="s">
        <v>4</v>
      </c>
      <c r="B408">
        <v>406</v>
      </c>
      <c r="C408">
        <v>72</v>
      </c>
      <c r="D408">
        <v>2.8046638965606689</v>
      </c>
      <c r="E408" t="s">
        <v>10</v>
      </c>
      <c r="F408" t="s">
        <v>15</v>
      </c>
      <c r="G408">
        <v>7.5</v>
      </c>
    </row>
    <row r="409" spans="1:7" x14ac:dyDescent="0.25">
      <c r="A409" t="s">
        <v>4</v>
      </c>
      <c r="B409">
        <v>407</v>
      </c>
      <c r="C409">
        <v>74</v>
      </c>
      <c r="D409">
        <v>3.1028299331665039</v>
      </c>
      <c r="E409" t="s">
        <v>10</v>
      </c>
      <c r="F409" t="s">
        <v>15</v>
      </c>
      <c r="G409">
        <v>7.5</v>
      </c>
    </row>
    <row r="410" spans="1:7" x14ac:dyDescent="0.25">
      <c r="A410" t="s">
        <v>4</v>
      </c>
      <c r="B410">
        <v>408</v>
      </c>
      <c r="C410">
        <v>85</v>
      </c>
      <c r="D410">
        <v>5.2062180042266846</v>
      </c>
      <c r="E410" t="s">
        <v>10</v>
      </c>
      <c r="F410" t="s">
        <v>15</v>
      </c>
      <c r="G410">
        <v>7.5</v>
      </c>
    </row>
    <row r="411" spans="1:7" x14ac:dyDescent="0.25">
      <c r="A411" t="s">
        <v>4</v>
      </c>
      <c r="B411">
        <v>409</v>
      </c>
      <c r="C411">
        <v>45</v>
      </c>
      <c r="D411">
        <v>4.0071709156036377</v>
      </c>
      <c r="E411" t="s">
        <v>10</v>
      </c>
      <c r="F411" t="s">
        <v>15</v>
      </c>
      <c r="G411">
        <v>7.5</v>
      </c>
    </row>
    <row r="412" spans="1:7" x14ac:dyDescent="0.25">
      <c r="A412" t="s">
        <v>4</v>
      </c>
      <c r="B412">
        <v>410</v>
      </c>
      <c r="C412">
        <v>80</v>
      </c>
      <c r="D412">
        <v>13.937564611434937</v>
      </c>
      <c r="E412" t="s">
        <v>10</v>
      </c>
      <c r="F412" t="s">
        <v>15</v>
      </c>
      <c r="G412">
        <v>7.5</v>
      </c>
    </row>
    <row r="413" spans="1:7" x14ac:dyDescent="0.25">
      <c r="A413" t="s">
        <v>4</v>
      </c>
      <c r="B413">
        <v>411</v>
      </c>
      <c r="C413">
        <v>83</v>
      </c>
      <c r="D413">
        <v>11.589346885681152</v>
      </c>
      <c r="E413" t="s">
        <v>10</v>
      </c>
      <c r="F413" t="s">
        <v>15</v>
      </c>
      <c r="G413">
        <v>7.5</v>
      </c>
    </row>
    <row r="414" spans="1:7" x14ac:dyDescent="0.25">
      <c r="A414" t="s">
        <v>4</v>
      </c>
      <c r="B414">
        <v>412</v>
      </c>
      <c r="C414">
        <v>24</v>
      </c>
      <c r="D414">
        <v>11.789882659912109</v>
      </c>
      <c r="E414" t="s">
        <v>10</v>
      </c>
      <c r="F414" t="s">
        <v>15</v>
      </c>
      <c r="G414">
        <v>7.5</v>
      </c>
    </row>
    <row r="415" spans="1:7" x14ac:dyDescent="0.25">
      <c r="A415" t="s">
        <v>4</v>
      </c>
      <c r="B415">
        <v>413</v>
      </c>
      <c r="C415">
        <v>90</v>
      </c>
      <c r="D415">
        <v>2.7106285095214844</v>
      </c>
      <c r="E415" t="s">
        <v>10</v>
      </c>
      <c r="F415" t="s">
        <v>15</v>
      </c>
      <c r="G415">
        <v>7.5</v>
      </c>
    </row>
    <row r="416" spans="1:7" x14ac:dyDescent="0.25">
      <c r="A416" t="s">
        <v>4</v>
      </c>
      <c r="B416">
        <v>414</v>
      </c>
      <c r="C416">
        <v>0</v>
      </c>
      <c r="D416">
        <v>6.3731293678283691</v>
      </c>
      <c r="E416" t="s">
        <v>10</v>
      </c>
      <c r="F416" t="s">
        <v>15</v>
      </c>
      <c r="G416">
        <v>7.5</v>
      </c>
    </row>
    <row r="417" spans="1:7" x14ac:dyDescent="0.25">
      <c r="A417" t="s">
        <v>4</v>
      </c>
      <c r="B417">
        <v>415</v>
      </c>
      <c r="C417">
        <v>83</v>
      </c>
      <c r="D417">
        <v>17.485743761062622</v>
      </c>
      <c r="E417" t="s">
        <v>10</v>
      </c>
      <c r="F417" t="s">
        <v>15</v>
      </c>
      <c r="G417">
        <v>7.5</v>
      </c>
    </row>
    <row r="418" spans="1:7" x14ac:dyDescent="0.25">
      <c r="A418" t="s">
        <v>4</v>
      </c>
      <c r="B418">
        <v>416</v>
      </c>
      <c r="C418">
        <v>0</v>
      </c>
      <c r="D418">
        <v>3.4978392124176025</v>
      </c>
      <c r="E418" t="s">
        <v>10</v>
      </c>
      <c r="F418" t="s">
        <v>15</v>
      </c>
      <c r="G418">
        <v>7.5</v>
      </c>
    </row>
    <row r="419" spans="1:7" x14ac:dyDescent="0.25">
      <c r="A419" t="s">
        <v>4</v>
      </c>
      <c r="B419">
        <v>417</v>
      </c>
      <c r="C419">
        <v>50</v>
      </c>
      <c r="D419">
        <v>4.6683602333068848</v>
      </c>
      <c r="E419" t="s">
        <v>10</v>
      </c>
      <c r="F419" t="s">
        <v>15</v>
      </c>
      <c r="G419">
        <v>7.5</v>
      </c>
    </row>
    <row r="420" spans="1:7" x14ac:dyDescent="0.25">
      <c r="A420" t="s">
        <v>4</v>
      </c>
      <c r="B420">
        <v>418</v>
      </c>
      <c r="C420">
        <v>87</v>
      </c>
      <c r="D420">
        <v>3.8976590633392334</v>
      </c>
      <c r="E420" t="s">
        <v>10</v>
      </c>
      <c r="F420" t="s">
        <v>14</v>
      </c>
      <c r="G420">
        <v>6.8</v>
      </c>
    </row>
    <row r="421" spans="1:7" x14ac:dyDescent="0.25">
      <c r="A421" t="s">
        <v>4</v>
      </c>
      <c r="B421">
        <v>419</v>
      </c>
      <c r="C421">
        <v>80</v>
      </c>
      <c r="D421">
        <v>4.1127181053161621</v>
      </c>
      <c r="E421" t="s">
        <v>10</v>
      </c>
      <c r="F421" t="s">
        <v>14</v>
      </c>
      <c r="G421">
        <v>6.8</v>
      </c>
    </row>
    <row r="422" spans="1:7" x14ac:dyDescent="0.25">
      <c r="A422" t="s">
        <v>4</v>
      </c>
      <c r="B422">
        <v>420</v>
      </c>
      <c r="C422">
        <v>97</v>
      </c>
      <c r="D422">
        <v>2.4639871120452881</v>
      </c>
      <c r="E422" t="s">
        <v>10</v>
      </c>
      <c r="F422" t="s">
        <v>15</v>
      </c>
      <c r="G422">
        <v>5</v>
      </c>
    </row>
    <row r="423" spans="1:7" x14ac:dyDescent="0.25">
      <c r="A423" t="s">
        <v>4</v>
      </c>
      <c r="B423">
        <v>421</v>
      </c>
      <c r="C423">
        <v>12</v>
      </c>
      <c r="D423">
        <v>6.825251579284668</v>
      </c>
      <c r="E423" t="s">
        <v>10</v>
      </c>
      <c r="F423" t="s">
        <v>17</v>
      </c>
      <c r="G423">
        <v>5</v>
      </c>
    </row>
    <row r="424" spans="1:7" x14ac:dyDescent="0.25">
      <c r="A424" t="s">
        <v>4</v>
      </c>
      <c r="B424">
        <v>422</v>
      </c>
      <c r="C424">
        <v>98</v>
      </c>
      <c r="D424">
        <v>5.1264126300811768</v>
      </c>
      <c r="E424" t="s">
        <v>10</v>
      </c>
      <c r="F424" t="s">
        <v>18</v>
      </c>
      <c r="G424">
        <v>6.8</v>
      </c>
    </row>
    <row r="425" spans="1:7" x14ac:dyDescent="0.25">
      <c r="A425" t="s">
        <v>4</v>
      </c>
      <c r="B425">
        <v>423</v>
      </c>
      <c r="C425">
        <v>87</v>
      </c>
      <c r="D425">
        <v>9.7422785758972168</v>
      </c>
      <c r="E425" t="s">
        <v>10</v>
      </c>
      <c r="F425" t="s">
        <v>14</v>
      </c>
      <c r="G425">
        <v>2.1</v>
      </c>
    </row>
    <row r="426" spans="1:7" x14ac:dyDescent="0.25">
      <c r="A426" t="s">
        <v>4</v>
      </c>
      <c r="B426">
        <v>424</v>
      </c>
      <c r="C426">
        <v>74</v>
      </c>
      <c r="D426">
        <v>2.9085566997528076</v>
      </c>
      <c r="E426" t="s">
        <v>10</v>
      </c>
      <c r="F426" t="s">
        <v>15</v>
      </c>
      <c r="G426">
        <v>4.9000000000000004</v>
      </c>
    </row>
    <row r="427" spans="1:7" x14ac:dyDescent="0.25">
      <c r="A427" t="s">
        <v>4</v>
      </c>
      <c r="B427">
        <v>425</v>
      </c>
      <c r="C427">
        <v>85</v>
      </c>
      <c r="D427">
        <v>13.380066871643066</v>
      </c>
      <c r="E427" t="s">
        <v>10</v>
      </c>
      <c r="F427" t="s">
        <v>14</v>
      </c>
      <c r="G427">
        <v>5</v>
      </c>
    </row>
    <row r="428" spans="1:7" x14ac:dyDescent="0.25">
      <c r="A428" t="s">
        <v>4</v>
      </c>
      <c r="B428">
        <v>426</v>
      </c>
      <c r="C428">
        <v>88</v>
      </c>
      <c r="D428">
        <v>19.106477499008179</v>
      </c>
      <c r="E428" t="s">
        <v>10</v>
      </c>
      <c r="F428" t="s">
        <v>14</v>
      </c>
      <c r="G428">
        <v>5</v>
      </c>
    </row>
    <row r="429" spans="1:7" x14ac:dyDescent="0.25">
      <c r="A429" t="s">
        <v>4</v>
      </c>
      <c r="B429">
        <v>427</v>
      </c>
      <c r="C429">
        <v>17</v>
      </c>
      <c r="D429">
        <v>5.962080717086792</v>
      </c>
      <c r="E429" t="s">
        <v>10</v>
      </c>
      <c r="F429" t="s">
        <v>14</v>
      </c>
      <c r="G429">
        <v>5</v>
      </c>
    </row>
    <row r="430" spans="1:7" x14ac:dyDescent="0.25">
      <c r="A430" t="s">
        <v>4</v>
      </c>
      <c r="B430">
        <v>428</v>
      </c>
      <c r="C430">
        <v>74</v>
      </c>
      <c r="D430">
        <v>4.1319808959960938</v>
      </c>
      <c r="E430" t="s">
        <v>19</v>
      </c>
      <c r="F430" t="s">
        <v>22</v>
      </c>
      <c r="G430">
        <v>6.8</v>
      </c>
    </row>
    <row r="431" spans="1:7" x14ac:dyDescent="0.25">
      <c r="A431" t="s">
        <v>4</v>
      </c>
      <c r="B431">
        <v>429</v>
      </c>
      <c r="C431">
        <v>19</v>
      </c>
      <c r="D431">
        <v>11.008884429931641</v>
      </c>
      <c r="E431" t="s">
        <v>19</v>
      </c>
      <c r="F431" t="s">
        <v>13</v>
      </c>
      <c r="G431">
        <v>4.3</v>
      </c>
    </row>
    <row r="432" spans="1:7" x14ac:dyDescent="0.25">
      <c r="A432" t="s">
        <v>4</v>
      </c>
      <c r="B432">
        <v>430</v>
      </c>
      <c r="C432">
        <v>83</v>
      </c>
      <c r="D432">
        <v>6.6624200344085693</v>
      </c>
      <c r="E432" t="s">
        <v>19</v>
      </c>
      <c r="F432" t="s">
        <v>13</v>
      </c>
      <c r="G432">
        <v>4.3</v>
      </c>
    </row>
    <row r="433" spans="1:7" x14ac:dyDescent="0.25">
      <c r="A433" t="s">
        <v>4</v>
      </c>
      <c r="B433">
        <v>431</v>
      </c>
      <c r="C433">
        <v>15</v>
      </c>
      <c r="D433">
        <v>13.757087230682373</v>
      </c>
      <c r="E433" t="s">
        <v>19</v>
      </c>
      <c r="F433" t="s">
        <v>13</v>
      </c>
      <c r="G433">
        <v>4.3</v>
      </c>
    </row>
    <row r="434" spans="1:7" x14ac:dyDescent="0.25">
      <c r="A434" t="s">
        <v>4</v>
      </c>
      <c r="B434">
        <v>432</v>
      </c>
      <c r="C434">
        <v>0</v>
      </c>
      <c r="D434">
        <v>8.0472512245178223</v>
      </c>
      <c r="E434" t="s">
        <v>19</v>
      </c>
      <c r="F434" t="s">
        <v>13</v>
      </c>
      <c r="G434">
        <v>4.3</v>
      </c>
    </row>
    <row r="435" spans="1:7" x14ac:dyDescent="0.25">
      <c r="A435" t="s">
        <v>4</v>
      </c>
      <c r="B435">
        <v>433</v>
      </c>
      <c r="C435">
        <v>84</v>
      </c>
      <c r="D435">
        <v>3.6989569664001465</v>
      </c>
      <c r="E435" t="s">
        <v>10</v>
      </c>
      <c r="F435" t="s">
        <v>20</v>
      </c>
      <c r="G435">
        <v>6.8</v>
      </c>
    </row>
    <row r="436" spans="1:7" x14ac:dyDescent="0.25">
      <c r="A436" t="s">
        <v>4</v>
      </c>
      <c r="B436">
        <v>434</v>
      </c>
      <c r="C436">
        <v>20</v>
      </c>
      <c r="D436">
        <v>5.4471657276153564</v>
      </c>
      <c r="E436" t="s">
        <v>10</v>
      </c>
      <c r="F436" t="s">
        <v>20</v>
      </c>
      <c r="G436">
        <v>6.8</v>
      </c>
    </row>
    <row r="437" spans="1:7" x14ac:dyDescent="0.25">
      <c r="A437" t="s">
        <v>4</v>
      </c>
      <c r="B437">
        <v>435</v>
      </c>
      <c r="C437">
        <v>24</v>
      </c>
      <c r="D437">
        <v>10.445817708969116</v>
      </c>
      <c r="E437" t="s">
        <v>10</v>
      </c>
      <c r="F437" t="s">
        <v>20</v>
      </c>
      <c r="G437">
        <v>6.8</v>
      </c>
    </row>
    <row r="438" spans="1:7" x14ac:dyDescent="0.25">
      <c r="A438" t="s">
        <v>4</v>
      </c>
      <c r="B438">
        <v>436</v>
      </c>
      <c r="C438">
        <v>98</v>
      </c>
      <c r="D438">
        <v>4.5313146114349365</v>
      </c>
      <c r="E438" t="s">
        <v>10</v>
      </c>
      <c r="F438" t="s">
        <v>20</v>
      </c>
      <c r="G438">
        <v>6.8</v>
      </c>
    </row>
    <row r="439" spans="1:7" x14ac:dyDescent="0.25">
      <c r="A439" t="s">
        <v>4</v>
      </c>
      <c r="B439">
        <v>437</v>
      </c>
      <c r="C439">
        <v>37</v>
      </c>
      <c r="D439">
        <v>7.0292999744415283</v>
      </c>
      <c r="E439" t="s">
        <v>10</v>
      </c>
      <c r="F439" t="s">
        <v>20</v>
      </c>
      <c r="G439">
        <v>6.8</v>
      </c>
    </row>
    <row r="440" spans="1:7" x14ac:dyDescent="0.25">
      <c r="A440" t="s">
        <v>4</v>
      </c>
      <c r="B440">
        <v>438</v>
      </c>
      <c r="C440">
        <v>30</v>
      </c>
      <c r="D440">
        <v>5.726076602935791</v>
      </c>
      <c r="E440" t="s">
        <v>10</v>
      </c>
      <c r="F440" t="s">
        <v>20</v>
      </c>
      <c r="G440">
        <v>5.0999999999999996</v>
      </c>
    </row>
    <row r="441" spans="1:7" x14ac:dyDescent="0.25">
      <c r="A441" t="s">
        <v>4</v>
      </c>
      <c r="B441">
        <v>439</v>
      </c>
      <c r="C441">
        <v>80</v>
      </c>
      <c r="D441">
        <v>9.3288905620574951</v>
      </c>
      <c r="E441" t="s">
        <v>10</v>
      </c>
      <c r="F441" t="s">
        <v>20</v>
      </c>
      <c r="G441">
        <v>6.8</v>
      </c>
    </row>
    <row r="442" spans="1:7" x14ac:dyDescent="0.25">
      <c r="A442" t="s">
        <v>4</v>
      </c>
      <c r="B442">
        <v>440</v>
      </c>
      <c r="C442">
        <v>89</v>
      </c>
      <c r="D442">
        <v>4.1696147918701172</v>
      </c>
      <c r="E442" t="s">
        <v>10</v>
      </c>
      <c r="F442" t="s">
        <v>20</v>
      </c>
      <c r="G442">
        <v>6.8</v>
      </c>
    </row>
    <row r="443" spans="1:7" x14ac:dyDescent="0.25">
      <c r="A443" t="s">
        <v>4</v>
      </c>
      <c r="B443">
        <v>441</v>
      </c>
      <c r="C443">
        <v>80</v>
      </c>
      <c r="D443">
        <v>15.428568363189697</v>
      </c>
      <c r="E443" t="s">
        <v>10</v>
      </c>
      <c r="F443" t="s">
        <v>20</v>
      </c>
      <c r="G443">
        <v>6.8</v>
      </c>
    </row>
    <row r="444" spans="1:7" x14ac:dyDescent="0.25">
      <c r="A444" t="s">
        <v>4</v>
      </c>
      <c r="B444">
        <v>442</v>
      </c>
      <c r="C444">
        <v>30</v>
      </c>
      <c r="D444">
        <v>8.0050041675567627</v>
      </c>
      <c r="E444" t="s">
        <v>10</v>
      </c>
      <c r="F444" t="s">
        <v>20</v>
      </c>
      <c r="G444">
        <v>6.8</v>
      </c>
    </row>
    <row r="445" spans="1:7" x14ac:dyDescent="0.25">
      <c r="A445" t="s">
        <v>4</v>
      </c>
      <c r="B445">
        <v>443</v>
      </c>
      <c r="C445">
        <v>83</v>
      </c>
      <c r="D445">
        <v>5.5964422225952148</v>
      </c>
      <c r="E445" t="s">
        <v>10</v>
      </c>
      <c r="F445" t="s">
        <v>34</v>
      </c>
      <c r="G445">
        <v>6.8</v>
      </c>
    </row>
    <row r="446" spans="1:7" x14ac:dyDescent="0.25">
      <c r="A446" t="s">
        <v>4</v>
      </c>
      <c r="B446">
        <v>444</v>
      </c>
      <c r="C446">
        <v>85</v>
      </c>
      <c r="D446">
        <v>5.1384575366973877</v>
      </c>
      <c r="E446" t="s">
        <v>10</v>
      </c>
      <c r="F446" t="s">
        <v>18</v>
      </c>
      <c r="G446">
        <v>6.8</v>
      </c>
    </row>
    <row r="447" spans="1:7" x14ac:dyDescent="0.25">
      <c r="A447" t="s">
        <v>4</v>
      </c>
      <c r="B447">
        <v>445</v>
      </c>
      <c r="C447">
        <v>70</v>
      </c>
      <c r="D447">
        <v>2.9394469261169434</v>
      </c>
      <c r="E447" t="s">
        <v>10</v>
      </c>
      <c r="F447" t="s">
        <v>13</v>
      </c>
      <c r="G447">
        <v>7.5</v>
      </c>
    </row>
    <row r="448" spans="1:7" x14ac:dyDescent="0.25">
      <c r="A448" t="s">
        <v>4</v>
      </c>
      <c r="B448">
        <v>446</v>
      </c>
      <c r="C448">
        <v>100</v>
      </c>
      <c r="D448">
        <v>3.0746660232543945</v>
      </c>
      <c r="E448" t="s">
        <v>10</v>
      </c>
      <c r="F448" t="s">
        <v>13</v>
      </c>
      <c r="G448">
        <v>1.9</v>
      </c>
    </row>
    <row r="449" spans="1:7" x14ac:dyDescent="0.25">
      <c r="A449" t="s">
        <v>4</v>
      </c>
      <c r="B449">
        <v>447</v>
      </c>
      <c r="C449">
        <v>95</v>
      </c>
      <c r="D449">
        <v>3.0708248615264893</v>
      </c>
      <c r="E449" t="s">
        <v>10</v>
      </c>
      <c r="F449" t="s">
        <v>13</v>
      </c>
      <c r="G449">
        <v>1.9</v>
      </c>
    </row>
    <row r="450" spans="1:7" x14ac:dyDescent="0.25">
      <c r="A450" t="s">
        <v>4</v>
      </c>
      <c r="B450">
        <v>448</v>
      </c>
      <c r="C450">
        <v>72</v>
      </c>
      <c r="D450">
        <v>4.5495350360870361</v>
      </c>
      <c r="E450" t="s">
        <v>10</v>
      </c>
      <c r="F450" t="s">
        <v>18</v>
      </c>
      <c r="G450">
        <v>4.5999999999999996</v>
      </c>
    </row>
    <row r="451" spans="1:7" x14ac:dyDescent="0.25">
      <c r="A451" t="s">
        <v>4</v>
      </c>
      <c r="B451">
        <v>449</v>
      </c>
      <c r="C451">
        <v>89</v>
      </c>
      <c r="D451">
        <v>12.130267858505249</v>
      </c>
      <c r="E451" t="s">
        <v>10</v>
      </c>
      <c r="F451" t="s">
        <v>17</v>
      </c>
      <c r="G451">
        <v>2.1</v>
      </c>
    </row>
    <row r="452" spans="1:7" x14ac:dyDescent="0.25">
      <c r="A452" t="s">
        <v>4</v>
      </c>
      <c r="B452">
        <v>450</v>
      </c>
      <c r="C452">
        <v>85</v>
      </c>
      <c r="D452">
        <v>6.5998983383178711</v>
      </c>
      <c r="E452" t="s">
        <v>10</v>
      </c>
      <c r="F452" t="s">
        <v>20</v>
      </c>
      <c r="G452">
        <v>4.5999999999999996</v>
      </c>
    </row>
    <row r="453" spans="1:7" x14ac:dyDescent="0.25">
      <c r="A453" t="s">
        <v>4</v>
      </c>
      <c r="B453">
        <v>451</v>
      </c>
      <c r="C453">
        <v>0</v>
      </c>
      <c r="D453">
        <v>13.041528463363647</v>
      </c>
      <c r="E453" t="s">
        <v>10</v>
      </c>
      <c r="F453" t="s">
        <v>13</v>
      </c>
      <c r="G453">
        <v>4.3</v>
      </c>
    </row>
    <row r="454" spans="1:7" x14ac:dyDescent="0.25">
      <c r="A454" t="s">
        <v>4</v>
      </c>
      <c r="B454">
        <v>452</v>
      </c>
      <c r="C454">
        <v>100</v>
      </c>
      <c r="D454">
        <v>17.796075344085693</v>
      </c>
      <c r="E454" t="s">
        <v>10</v>
      </c>
      <c r="F454" t="s">
        <v>13</v>
      </c>
      <c r="G454">
        <v>4.3</v>
      </c>
    </row>
    <row r="455" spans="1:7" x14ac:dyDescent="0.25">
      <c r="A455" t="s">
        <v>4</v>
      </c>
      <c r="B455">
        <v>453</v>
      </c>
      <c r="C455">
        <v>15</v>
      </c>
      <c r="D455">
        <v>3.1324706077575684</v>
      </c>
      <c r="E455" t="s">
        <v>10</v>
      </c>
      <c r="F455" t="s">
        <v>15</v>
      </c>
      <c r="G455">
        <v>4.9000000000000004</v>
      </c>
    </row>
    <row r="456" spans="1:7" x14ac:dyDescent="0.25">
      <c r="A456" t="s">
        <v>4</v>
      </c>
      <c r="B456">
        <v>454</v>
      </c>
      <c r="C456">
        <v>100</v>
      </c>
      <c r="D456">
        <v>9.4462392330169678</v>
      </c>
      <c r="E456" t="s">
        <v>10</v>
      </c>
      <c r="F456" t="s">
        <v>20</v>
      </c>
      <c r="G456">
        <v>7.5</v>
      </c>
    </row>
    <row r="457" spans="1:7" x14ac:dyDescent="0.25">
      <c r="A457" t="s">
        <v>4</v>
      </c>
      <c r="B457">
        <v>455</v>
      </c>
      <c r="C457">
        <v>10</v>
      </c>
      <c r="D457">
        <v>4.0616188049316406</v>
      </c>
      <c r="E457" t="s">
        <v>10</v>
      </c>
      <c r="F457" t="s">
        <v>35</v>
      </c>
      <c r="G457">
        <v>4.5999999999999996</v>
      </c>
    </row>
    <row r="458" spans="1:7" x14ac:dyDescent="0.25">
      <c r="A458" t="s">
        <v>4</v>
      </c>
      <c r="B458">
        <v>456</v>
      </c>
      <c r="C458">
        <v>100</v>
      </c>
      <c r="D458">
        <v>5.4112265110015869</v>
      </c>
      <c r="E458" t="s">
        <v>10</v>
      </c>
      <c r="F458" t="s">
        <v>15</v>
      </c>
      <c r="G458">
        <v>5</v>
      </c>
    </row>
    <row r="459" spans="1:7" x14ac:dyDescent="0.25">
      <c r="A459" t="s">
        <v>4</v>
      </c>
      <c r="B459">
        <v>457</v>
      </c>
      <c r="C459">
        <v>87</v>
      </c>
      <c r="D459">
        <v>3.1567060947418213</v>
      </c>
      <c r="E459" t="s">
        <v>10</v>
      </c>
      <c r="F459" t="s">
        <v>13</v>
      </c>
      <c r="G459">
        <v>4.3</v>
      </c>
    </row>
    <row r="460" spans="1:7" x14ac:dyDescent="0.25">
      <c r="A460" t="s">
        <v>4</v>
      </c>
      <c r="B460">
        <v>458</v>
      </c>
      <c r="C460">
        <v>0</v>
      </c>
      <c r="D460">
        <v>15.863530874252319</v>
      </c>
      <c r="E460" t="s">
        <v>10</v>
      </c>
      <c r="F460" t="s">
        <v>15</v>
      </c>
      <c r="G460">
        <v>4.3</v>
      </c>
    </row>
    <row r="461" spans="1:7" x14ac:dyDescent="0.25">
      <c r="A461" t="s">
        <v>4</v>
      </c>
      <c r="B461">
        <v>459</v>
      </c>
      <c r="C461">
        <v>25</v>
      </c>
      <c r="D461">
        <v>4.01116943359375</v>
      </c>
      <c r="E461" t="s">
        <v>10</v>
      </c>
      <c r="F461" t="s">
        <v>15</v>
      </c>
      <c r="G461">
        <v>4.3</v>
      </c>
    </row>
    <row r="462" spans="1:7" x14ac:dyDescent="0.25">
      <c r="A462" t="s">
        <v>4</v>
      </c>
      <c r="B462">
        <v>460</v>
      </c>
      <c r="C462">
        <v>83</v>
      </c>
      <c r="D462">
        <v>2.6928796768188477</v>
      </c>
      <c r="E462" t="s">
        <v>19</v>
      </c>
      <c r="F462" t="s">
        <v>22</v>
      </c>
      <c r="G462">
        <v>7.2</v>
      </c>
    </row>
    <row r="463" spans="1:7" x14ac:dyDescent="0.25">
      <c r="A463" t="s">
        <v>4</v>
      </c>
      <c r="B463">
        <v>461</v>
      </c>
      <c r="C463">
        <v>20</v>
      </c>
      <c r="D463">
        <v>8.535834789276123</v>
      </c>
      <c r="E463" t="s">
        <v>19</v>
      </c>
      <c r="F463" t="s">
        <v>17</v>
      </c>
      <c r="G463">
        <v>5</v>
      </c>
    </row>
    <row r="464" spans="1:7" x14ac:dyDescent="0.25">
      <c r="A464" t="s">
        <v>4</v>
      </c>
      <c r="B464">
        <v>462</v>
      </c>
      <c r="C464">
        <v>74</v>
      </c>
      <c r="D464">
        <v>10.461694240570068</v>
      </c>
      <c r="E464" t="s">
        <v>19</v>
      </c>
      <c r="F464" t="s">
        <v>17</v>
      </c>
      <c r="G464">
        <v>5</v>
      </c>
    </row>
    <row r="465" spans="1:7" x14ac:dyDescent="0.25">
      <c r="A465" t="s">
        <v>4</v>
      </c>
      <c r="B465">
        <v>463</v>
      </c>
      <c r="C465">
        <v>100</v>
      </c>
      <c r="D465">
        <v>8.3688793182373047</v>
      </c>
      <c r="E465" t="s">
        <v>10</v>
      </c>
      <c r="F465" t="s">
        <v>13</v>
      </c>
      <c r="G465">
        <v>4.3</v>
      </c>
    </row>
    <row r="466" spans="1:7" x14ac:dyDescent="0.25">
      <c r="A466" t="s">
        <v>4</v>
      </c>
      <c r="B466">
        <v>464</v>
      </c>
      <c r="C466">
        <v>90</v>
      </c>
      <c r="D466">
        <v>7.9141676425933838</v>
      </c>
      <c r="E466" t="s">
        <v>10</v>
      </c>
      <c r="F466" t="s">
        <v>13</v>
      </c>
      <c r="G466">
        <v>4.3</v>
      </c>
    </row>
    <row r="467" spans="1:7" x14ac:dyDescent="0.25">
      <c r="A467" t="s">
        <v>4</v>
      </c>
      <c r="B467">
        <v>465</v>
      </c>
      <c r="C467">
        <v>34</v>
      </c>
      <c r="D467">
        <v>7.4169468879699707</v>
      </c>
      <c r="E467" t="s">
        <v>10</v>
      </c>
      <c r="F467" t="s">
        <v>15</v>
      </c>
      <c r="G467">
        <v>5</v>
      </c>
    </row>
    <row r="468" spans="1:7" x14ac:dyDescent="0.25">
      <c r="A468" t="s">
        <v>4</v>
      </c>
      <c r="B468">
        <v>466</v>
      </c>
      <c r="C468">
        <v>20</v>
      </c>
      <c r="D468">
        <v>3.2996571063995361</v>
      </c>
      <c r="E468" t="s">
        <v>10</v>
      </c>
      <c r="F468" t="s">
        <v>15</v>
      </c>
      <c r="G468">
        <v>5</v>
      </c>
    </row>
    <row r="469" spans="1:7" x14ac:dyDescent="0.25">
      <c r="A469" t="s">
        <v>4</v>
      </c>
      <c r="B469">
        <v>467</v>
      </c>
      <c r="C469">
        <v>48</v>
      </c>
      <c r="D469">
        <v>5.5936737060546875</v>
      </c>
      <c r="E469" t="s">
        <v>10</v>
      </c>
      <c r="F469" t="s">
        <v>14</v>
      </c>
      <c r="G469">
        <v>7.5</v>
      </c>
    </row>
    <row r="470" spans="1:7" x14ac:dyDescent="0.25">
      <c r="A470" t="s">
        <v>4</v>
      </c>
      <c r="B470">
        <v>468</v>
      </c>
      <c r="C470">
        <v>0</v>
      </c>
      <c r="D470">
        <v>5.950458288192749</v>
      </c>
      <c r="E470" t="s">
        <v>10</v>
      </c>
      <c r="F470" t="s">
        <v>14</v>
      </c>
      <c r="G470">
        <v>7.5</v>
      </c>
    </row>
    <row r="471" spans="1:7" x14ac:dyDescent="0.25">
      <c r="A471" t="s">
        <v>4</v>
      </c>
      <c r="B471">
        <v>469</v>
      </c>
      <c r="C471">
        <v>88</v>
      </c>
      <c r="D471">
        <v>5.0874133110046387</v>
      </c>
      <c r="E471" t="s">
        <v>10</v>
      </c>
      <c r="F471" t="s">
        <v>14</v>
      </c>
      <c r="G471">
        <v>7.5</v>
      </c>
    </row>
    <row r="472" spans="1:7" x14ac:dyDescent="0.25">
      <c r="A472" t="s">
        <v>4</v>
      </c>
      <c r="B472">
        <v>470</v>
      </c>
      <c r="C472">
        <v>85</v>
      </c>
      <c r="D472">
        <v>3.9599671363830566</v>
      </c>
      <c r="E472" t="s">
        <v>10</v>
      </c>
      <c r="F472" t="s">
        <v>15</v>
      </c>
      <c r="G472">
        <v>7.5</v>
      </c>
    </row>
    <row r="473" spans="1:7" x14ac:dyDescent="0.25">
      <c r="A473" t="s">
        <v>4</v>
      </c>
      <c r="B473">
        <v>471</v>
      </c>
      <c r="C473">
        <v>80</v>
      </c>
      <c r="D473">
        <v>2.4820256233215332</v>
      </c>
      <c r="E473" t="s">
        <v>10</v>
      </c>
      <c r="F473" t="s">
        <v>14</v>
      </c>
      <c r="G473">
        <v>7.5</v>
      </c>
    </row>
    <row r="474" spans="1:7" x14ac:dyDescent="0.25">
      <c r="A474" t="s">
        <v>4</v>
      </c>
      <c r="B474">
        <v>472</v>
      </c>
      <c r="C474">
        <v>89</v>
      </c>
      <c r="D474">
        <v>3.5002148151397705</v>
      </c>
      <c r="E474" t="s">
        <v>10</v>
      </c>
      <c r="F474" t="s">
        <v>14</v>
      </c>
      <c r="G474">
        <v>7.5</v>
      </c>
    </row>
    <row r="475" spans="1:7" x14ac:dyDescent="0.25">
      <c r="A475" t="s">
        <v>4</v>
      </c>
      <c r="B475">
        <v>473</v>
      </c>
      <c r="C475">
        <v>90</v>
      </c>
      <c r="D475">
        <v>4.1393547058105469</v>
      </c>
      <c r="E475" t="s">
        <v>10</v>
      </c>
      <c r="F475" t="s">
        <v>14</v>
      </c>
      <c r="G475">
        <v>7.5</v>
      </c>
    </row>
    <row r="476" spans="1:7" x14ac:dyDescent="0.25">
      <c r="A476" t="s">
        <v>4</v>
      </c>
      <c r="B476">
        <v>474</v>
      </c>
      <c r="C476">
        <v>90</v>
      </c>
      <c r="D476">
        <v>7.4321939945220947</v>
      </c>
      <c r="E476" t="s">
        <v>10</v>
      </c>
      <c r="F476" t="s">
        <v>14</v>
      </c>
      <c r="G476">
        <v>7.5</v>
      </c>
    </row>
    <row r="477" spans="1:7" x14ac:dyDescent="0.25">
      <c r="A477" t="s">
        <v>4</v>
      </c>
      <c r="B477">
        <v>475</v>
      </c>
      <c r="C477">
        <v>99</v>
      </c>
      <c r="D477">
        <v>3.0965468883514404</v>
      </c>
      <c r="E477" t="s">
        <v>10</v>
      </c>
      <c r="F477" t="s">
        <v>14</v>
      </c>
      <c r="G477">
        <v>7.5</v>
      </c>
    </row>
    <row r="478" spans="1:7" x14ac:dyDescent="0.25">
      <c r="A478" t="s">
        <v>4</v>
      </c>
      <c r="B478">
        <v>476</v>
      </c>
      <c r="C478">
        <v>70</v>
      </c>
      <c r="D478">
        <v>7.780540943145752</v>
      </c>
      <c r="E478" t="s">
        <v>10</v>
      </c>
      <c r="F478" t="s">
        <v>14</v>
      </c>
      <c r="G478">
        <v>7.5</v>
      </c>
    </row>
    <row r="479" spans="1:7" x14ac:dyDescent="0.25">
      <c r="A479" t="s">
        <v>4</v>
      </c>
      <c r="B479">
        <v>477</v>
      </c>
      <c r="C479">
        <v>83</v>
      </c>
      <c r="D479">
        <v>4.4051003456115723</v>
      </c>
      <c r="E479" t="s">
        <v>10</v>
      </c>
      <c r="F479" t="s">
        <v>14</v>
      </c>
      <c r="G479">
        <v>7.5</v>
      </c>
    </row>
    <row r="480" spans="1:7" x14ac:dyDescent="0.25">
      <c r="A480" t="s">
        <v>4</v>
      </c>
      <c r="B480">
        <v>478</v>
      </c>
      <c r="C480">
        <v>84</v>
      </c>
      <c r="D480">
        <v>6.2968921661376953</v>
      </c>
      <c r="E480" t="s">
        <v>10</v>
      </c>
      <c r="F480" t="s">
        <v>14</v>
      </c>
      <c r="G480">
        <v>7.5</v>
      </c>
    </row>
    <row r="481" spans="1:7" x14ac:dyDescent="0.25">
      <c r="A481" t="s">
        <v>4</v>
      </c>
      <c r="B481">
        <v>479</v>
      </c>
      <c r="C481">
        <v>84</v>
      </c>
      <c r="D481">
        <v>3.8700306415557861</v>
      </c>
      <c r="E481" t="s">
        <v>10</v>
      </c>
      <c r="F481" t="s">
        <v>14</v>
      </c>
      <c r="G481">
        <v>7.5</v>
      </c>
    </row>
    <row r="482" spans="1:7" x14ac:dyDescent="0.25">
      <c r="A482" t="s">
        <v>4</v>
      </c>
      <c r="B482">
        <v>480</v>
      </c>
      <c r="C482">
        <v>98</v>
      </c>
      <c r="D482">
        <v>2.9277243614196777</v>
      </c>
      <c r="E482" t="s">
        <v>10</v>
      </c>
      <c r="F482" t="s">
        <v>14</v>
      </c>
      <c r="G482">
        <v>7.5</v>
      </c>
    </row>
    <row r="483" spans="1:7" x14ac:dyDescent="0.25">
      <c r="A483" t="s">
        <v>4</v>
      </c>
      <c r="B483">
        <v>481</v>
      </c>
      <c r="C483">
        <v>81</v>
      </c>
      <c r="D483">
        <v>5.1906263828277588</v>
      </c>
      <c r="E483" t="s">
        <v>10</v>
      </c>
      <c r="F483" t="s">
        <v>14</v>
      </c>
      <c r="G483">
        <v>7.5</v>
      </c>
    </row>
    <row r="484" spans="1:7" x14ac:dyDescent="0.25">
      <c r="A484" t="s">
        <v>4</v>
      </c>
      <c r="B484">
        <v>482</v>
      </c>
      <c r="C484">
        <v>95</v>
      </c>
      <c r="D484">
        <v>5.2790732383728027</v>
      </c>
      <c r="E484" t="s">
        <v>10</v>
      </c>
      <c r="F484" t="s">
        <v>14</v>
      </c>
      <c r="G484">
        <v>7.5</v>
      </c>
    </row>
    <row r="485" spans="1:7" x14ac:dyDescent="0.25">
      <c r="A485" t="s">
        <v>4</v>
      </c>
      <c r="B485">
        <v>483</v>
      </c>
      <c r="C485">
        <v>88</v>
      </c>
      <c r="D485">
        <v>4.8179214000701904</v>
      </c>
      <c r="E485" t="s">
        <v>10</v>
      </c>
      <c r="F485" t="s">
        <v>14</v>
      </c>
      <c r="G485">
        <v>7.5</v>
      </c>
    </row>
    <row r="486" spans="1:7" x14ac:dyDescent="0.25">
      <c r="A486" t="s">
        <v>4</v>
      </c>
      <c r="B486">
        <v>484</v>
      </c>
      <c r="C486">
        <v>74</v>
      </c>
      <c r="D486">
        <v>3.0201451778411865</v>
      </c>
      <c r="E486" t="s">
        <v>10</v>
      </c>
      <c r="F486" t="s">
        <v>13</v>
      </c>
      <c r="G486">
        <v>4.3</v>
      </c>
    </row>
    <row r="487" spans="1:7" x14ac:dyDescent="0.25">
      <c r="A487" t="s">
        <v>4</v>
      </c>
      <c r="B487">
        <v>485</v>
      </c>
      <c r="C487">
        <v>67</v>
      </c>
      <c r="D487">
        <v>3.7934787273406982</v>
      </c>
      <c r="E487" t="s">
        <v>10</v>
      </c>
      <c r="F487" t="s">
        <v>14</v>
      </c>
      <c r="G487">
        <v>5</v>
      </c>
    </row>
    <row r="488" spans="1:7" x14ac:dyDescent="0.25">
      <c r="A488" t="s">
        <v>4</v>
      </c>
      <c r="B488">
        <v>486</v>
      </c>
      <c r="C488">
        <v>99</v>
      </c>
      <c r="D488">
        <v>5.9463386535644531</v>
      </c>
      <c r="E488" t="s">
        <v>10</v>
      </c>
      <c r="F488" t="s">
        <v>14</v>
      </c>
      <c r="G488">
        <v>5</v>
      </c>
    </row>
    <row r="489" spans="1:7" x14ac:dyDescent="0.25">
      <c r="A489" t="s">
        <v>4</v>
      </c>
      <c r="B489">
        <v>487</v>
      </c>
      <c r="C489">
        <v>100</v>
      </c>
      <c r="D489">
        <v>2.7804417610168457</v>
      </c>
      <c r="E489" t="s">
        <v>10</v>
      </c>
      <c r="F489" t="s">
        <v>14</v>
      </c>
      <c r="G489">
        <v>5</v>
      </c>
    </row>
    <row r="490" spans="1:7" x14ac:dyDescent="0.25">
      <c r="A490" t="s">
        <v>4</v>
      </c>
      <c r="B490">
        <v>488</v>
      </c>
      <c r="C490">
        <v>34</v>
      </c>
      <c r="D490">
        <v>2.6657800674438477</v>
      </c>
      <c r="E490" t="s">
        <v>10</v>
      </c>
      <c r="F490" t="s">
        <v>14</v>
      </c>
      <c r="G490">
        <v>5</v>
      </c>
    </row>
    <row r="491" spans="1:7" x14ac:dyDescent="0.25">
      <c r="A491" t="s">
        <v>4</v>
      </c>
      <c r="B491">
        <v>489</v>
      </c>
      <c r="C491">
        <v>80</v>
      </c>
      <c r="D491">
        <v>5.8412990570068359</v>
      </c>
      <c r="E491" t="s">
        <v>10</v>
      </c>
      <c r="F491" t="s">
        <v>15</v>
      </c>
      <c r="G491">
        <v>5</v>
      </c>
    </row>
    <row r="492" spans="1:7" x14ac:dyDescent="0.25">
      <c r="A492" t="s">
        <v>4</v>
      </c>
      <c r="B492">
        <v>490</v>
      </c>
      <c r="C492">
        <v>80</v>
      </c>
      <c r="D492">
        <v>11.582393884658813</v>
      </c>
      <c r="E492" t="s">
        <v>10</v>
      </c>
      <c r="F492" t="s">
        <v>14</v>
      </c>
      <c r="G492">
        <v>5</v>
      </c>
    </row>
    <row r="493" spans="1:7" x14ac:dyDescent="0.25">
      <c r="A493" t="s">
        <v>4</v>
      </c>
      <c r="B493">
        <v>491</v>
      </c>
      <c r="C493">
        <v>0</v>
      </c>
      <c r="D493">
        <v>15.866663217544556</v>
      </c>
      <c r="E493" t="s">
        <v>10</v>
      </c>
      <c r="F493" t="s">
        <v>15</v>
      </c>
      <c r="G493">
        <v>5</v>
      </c>
    </row>
    <row r="494" spans="1:7" x14ac:dyDescent="0.25">
      <c r="A494" t="s">
        <v>4</v>
      </c>
      <c r="B494">
        <v>492</v>
      </c>
      <c r="C494">
        <v>70</v>
      </c>
      <c r="D494">
        <v>6.8895206451416016</v>
      </c>
      <c r="E494" t="s">
        <v>10</v>
      </c>
      <c r="F494" t="s">
        <v>22</v>
      </c>
      <c r="G494">
        <v>7.5</v>
      </c>
    </row>
    <row r="495" spans="1:7" x14ac:dyDescent="0.25">
      <c r="A495" t="s">
        <v>4</v>
      </c>
      <c r="B495">
        <v>493</v>
      </c>
      <c r="C495">
        <v>70</v>
      </c>
      <c r="D495">
        <v>3.1647257804870605</v>
      </c>
      <c r="E495" t="s">
        <v>10</v>
      </c>
      <c r="F495" t="s">
        <v>22</v>
      </c>
      <c r="G495">
        <v>7.5</v>
      </c>
    </row>
    <row r="496" spans="1:7" x14ac:dyDescent="0.25">
      <c r="A496" t="s">
        <v>4</v>
      </c>
      <c r="B496">
        <v>494</v>
      </c>
      <c r="C496">
        <v>20</v>
      </c>
      <c r="D496">
        <v>3.2334814071655273</v>
      </c>
      <c r="E496" t="s">
        <v>10</v>
      </c>
      <c r="F496" t="s">
        <v>22</v>
      </c>
      <c r="G496">
        <v>7.5</v>
      </c>
    </row>
    <row r="497" spans="1:7" x14ac:dyDescent="0.25">
      <c r="A497" t="s">
        <v>4</v>
      </c>
      <c r="B497">
        <v>495</v>
      </c>
      <c r="C497">
        <v>20</v>
      </c>
      <c r="D497">
        <v>3.0329756736755371</v>
      </c>
      <c r="E497" t="s">
        <v>10</v>
      </c>
      <c r="F497" t="s">
        <v>22</v>
      </c>
      <c r="G497">
        <v>7.5</v>
      </c>
    </row>
    <row r="498" spans="1:7" x14ac:dyDescent="0.25">
      <c r="A498" t="s">
        <v>4</v>
      </c>
      <c r="B498">
        <v>496</v>
      </c>
      <c r="C498">
        <v>85</v>
      </c>
      <c r="D498">
        <v>9.591801643371582</v>
      </c>
      <c r="E498" t="s">
        <v>10</v>
      </c>
      <c r="F498" t="s">
        <v>22</v>
      </c>
      <c r="G498">
        <v>7.5</v>
      </c>
    </row>
    <row r="499" spans="1:7" x14ac:dyDescent="0.25">
      <c r="A499" t="s">
        <v>4</v>
      </c>
      <c r="B499">
        <v>497</v>
      </c>
      <c r="C499">
        <v>70</v>
      </c>
      <c r="D499">
        <v>5.8347547054290771</v>
      </c>
      <c r="E499" t="s">
        <v>10</v>
      </c>
      <c r="F499" t="s">
        <v>22</v>
      </c>
      <c r="G499">
        <v>7.5</v>
      </c>
    </row>
    <row r="500" spans="1:7" x14ac:dyDescent="0.25">
      <c r="A500" t="s">
        <v>4</v>
      </c>
      <c r="B500">
        <v>498</v>
      </c>
      <c r="C500">
        <v>45</v>
      </c>
      <c r="D500">
        <v>8.9858224391937256</v>
      </c>
      <c r="E500" t="s">
        <v>10</v>
      </c>
      <c r="F500" t="s">
        <v>22</v>
      </c>
      <c r="G500">
        <v>7.5</v>
      </c>
    </row>
    <row r="501" spans="1:7" x14ac:dyDescent="0.25">
      <c r="A501" t="s">
        <v>4</v>
      </c>
      <c r="B501">
        <v>499</v>
      </c>
      <c r="C501">
        <v>60</v>
      </c>
      <c r="D501">
        <v>5.012380838394165</v>
      </c>
      <c r="E501" t="s">
        <v>10</v>
      </c>
      <c r="F501" t="s">
        <v>22</v>
      </c>
      <c r="G501">
        <v>7.5</v>
      </c>
    </row>
    <row r="502" spans="1:7" x14ac:dyDescent="0.25">
      <c r="A502" t="s">
        <v>4</v>
      </c>
      <c r="B502">
        <v>500</v>
      </c>
      <c r="C502">
        <v>100</v>
      </c>
      <c r="D502">
        <v>9.4693880081176758</v>
      </c>
      <c r="E502" t="s">
        <v>10</v>
      </c>
      <c r="F502" t="s">
        <v>22</v>
      </c>
      <c r="G502">
        <v>7.5</v>
      </c>
    </row>
    <row r="503" spans="1:7" x14ac:dyDescent="0.25">
      <c r="A503" t="s">
        <v>4</v>
      </c>
      <c r="B503">
        <v>501</v>
      </c>
      <c r="C503">
        <v>15</v>
      </c>
      <c r="D503">
        <v>3.2724535465240479</v>
      </c>
      <c r="E503" t="s">
        <v>10</v>
      </c>
      <c r="F503" t="s">
        <v>22</v>
      </c>
      <c r="G503">
        <v>7.5</v>
      </c>
    </row>
    <row r="504" spans="1:7" x14ac:dyDescent="0.25">
      <c r="A504" t="s">
        <v>4</v>
      </c>
      <c r="B504">
        <v>502</v>
      </c>
      <c r="C504">
        <v>45</v>
      </c>
      <c r="D504">
        <v>5.6956663131713867</v>
      </c>
      <c r="E504" t="s">
        <v>10</v>
      </c>
      <c r="F504" t="s">
        <v>22</v>
      </c>
      <c r="G504">
        <v>7.5</v>
      </c>
    </row>
    <row r="505" spans="1:7" x14ac:dyDescent="0.25">
      <c r="A505" t="s">
        <v>4</v>
      </c>
      <c r="B505">
        <v>503</v>
      </c>
      <c r="C505">
        <v>79</v>
      </c>
      <c r="D505">
        <v>5.015805721282959</v>
      </c>
      <c r="E505" t="s">
        <v>10</v>
      </c>
      <c r="F505" t="s">
        <v>22</v>
      </c>
      <c r="G505">
        <v>7.5</v>
      </c>
    </row>
    <row r="506" spans="1:7" x14ac:dyDescent="0.25">
      <c r="A506" t="s">
        <v>4</v>
      </c>
      <c r="B506">
        <v>504</v>
      </c>
      <c r="C506">
        <v>80</v>
      </c>
      <c r="D506">
        <v>5.1061351299285889</v>
      </c>
      <c r="E506" t="s">
        <v>10</v>
      </c>
      <c r="F506" t="s">
        <v>22</v>
      </c>
      <c r="G506">
        <v>7.5</v>
      </c>
    </row>
    <row r="507" spans="1:7" x14ac:dyDescent="0.25">
      <c r="A507" t="s">
        <v>4</v>
      </c>
      <c r="B507">
        <v>505</v>
      </c>
      <c r="C507">
        <v>70</v>
      </c>
      <c r="D507">
        <v>3.2890071868896484</v>
      </c>
      <c r="E507" t="s">
        <v>10</v>
      </c>
      <c r="F507" t="s">
        <v>22</v>
      </c>
      <c r="G507">
        <v>7.5</v>
      </c>
    </row>
    <row r="508" spans="1:7" x14ac:dyDescent="0.25">
      <c r="A508" t="s">
        <v>4</v>
      </c>
      <c r="B508">
        <v>506</v>
      </c>
      <c r="C508">
        <v>90</v>
      </c>
      <c r="D508">
        <v>4.4296128749847412</v>
      </c>
      <c r="E508" t="s">
        <v>10</v>
      </c>
      <c r="F508" t="s">
        <v>22</v>
      </c>
      <c r="G508">
        <v>7.5</v>
      </c>
    </row>
    <row r="509" spans="1:7" x14ac:dyDescent="0.25">
      <c r="A509" t="s">
        <v>4</v>
      </c>
      <c r="B509">
        <v>507</v>
      </c>
      <c r="C509">
        <v>70</v>
      </c>
      <c r="D509">
        <v>2.913414478302002</v>
      </c>
      <c r="E509" t="s">
        <v>10</v>
      </c>
      <c r="F509" t="s">
        <v>22</v>
      </c>
      <c r="G509">
        <v>7.5</v>
      </c>
    </row>
    <row r="510" spans="1:7" x14ac:dyDescent="0.25">
      <c r="A510" t="s">
        <v>4</v>
      </c>
      <c r="B510">
        <v>508</v>
      </c>
      <c r="C510">
        <v>21</v>
      </c>
      <c r="D510">
        <v>10.417659044265747</v>
      </c>
      <c r="E510" t="s">
        <v>10</v>
      </c>
      <c r="F510" t="s">
        <v>22</v>
      </c>
      <c r="G510">
        <v>7.5</v>
      </c>
    </row>
    <row r="511" spans="1:7" x14ac:dyDescent="0.25">
      <c r="A511" t="s">
        <v>4</v>
      </c>
      <c r="B511">
        <v>509</v>
      </c>
      <c r="C511">
        <v>100</v>
      </c>
      <c r="D511">
        <v>5.7712666988372803</v>
      </c>
      <c r="E511" t="s">
        <v>10</v>
      </c>
      <c r="F511" t="s">
        <v>22</v>
      </c>
      <c r="G511">
        <v>7.5</v>
      </c>
    </row>
    <row r="512" spans="1:7" x14ac:dyDescent="0.25">
      <c r="A512" t="s">
        <v>4</v>
      </c>
      <c r="B512">
        <v>510</v>
      </c>
      <c r="C512">
        <v>93</v>
      </c>
      <c r="D512">
        <v>3.6516954898834229</v>
      </c>
      <c r="E512" t="s">
        <v>10</v>
      </c>
      <c r="F512" t="s">
        <v>22</v>
      </c>
      <c r="G512">
        <v>7.5</v>
      </c>
    </row>
    <row r="513" spans="1:7" x14ac:dyDescent="0.25">
      <c r="A513" t="s">
        <v>4</v>
      </c>
      <c r="B513">
        <v>511</v>
      </c>
      <c r="C513">
        <v>85</v>
      </c>
      <c r="D513">
        <v>4.8196461200714111</v>
      </c>
      <c r="E513" t="s">
        <v>10</v>
      </c>
      <c r="F513" t="s">
        <v>15</v>
      </c>
      <c r="G513">
        <v>4.9000000000000004</v>
      </c>
    </row>
    <row r="514" spans="1:7" x14ac:dyDescent="0.25">
      <c r="A514" t="s">
        <v>4</v>
      </c>
      <c r="B514">
        <v>512</v>
      </c>
      <c r="C514">
        <v>12</v>
      </c>
      <c r="D514">
        <v>5.9022617340087891</v>
      </c>
      <c r="E514" t="s">
        <v>10</v>
      </c>
      <c r="F514" t="s">
        <v>17</v>
      </c>
      <c r="G514">
        <v>2.1</v>
      </c>
    </row>
    <row r="515" spans="1:7" x14ac:dyDescent="0.25">
      <c r="A515" t="s">
        <v>4</v>
      </c>
      <c r="B515">
        <v>513</v>
      </c>
      <c r="C515">
        <v>30</v>
      </c>
      <c r="D515">
        <v>4.1035065650939941</v>
      </c>
      <c r="E515" t="s">
        <v>10</v>
      </c>
      <c r="F515" t="s">
        <v>15</v>
      </c>
      <c r="G515">
        <v>4.3</v>
      </c>
    </row>
    <row r="516" spans="1:7" x14ac:dyDescent="0.25">
      <c r="A516" t="s">
        <v>4</v>
      </c>
      <c r="B516">
        <v>514</v>
      </c>
      <c r="C516">
        <v>99</v>
      </c>
      <c r="D516">
        <v>3.5545053482055664</v>
      </c>
      <c r="E516" t="s">
        <v>10</v>
      </c>
      <c r="F516" t="s">
        <v>14</v>
      </c>
      <c r="G516">
        <v>4.3</v>
      </c>
    </row>
    <row r="517" spans="1:7" x14ac:dyDescent="0.25">
      <c r="A517" t="s">
        <v>4</v>
      </c>
      <c r="B517">
        <v>515</v>
      </c>
      <c r="C517">
        <v>90</v>
      </c>
      <c r="D517">
        <v>12.221532821655273</v>
      </c>
      <c r="E517" t="s">
        <v>10</v>
      </c>
      <c r="F517" t="s">
        <v>12</v>
      </c>
      <c r="G517">
        <v>6.4</v>
      </c>
    </row>
    <row r="518" spans="1:7" x14ac:dyDescent="0.25">
      <c r="A518" t="s">
        <v>4</v>
      </c>
      <c r="B518">
        <v>516</v>
      </c>
      <c r="C518">
        <v>99</v>
      </c>
      <c r="D518">
        <v>8.397956371307373</v>
      </c>
      <c r="E518" t="s">
        <v>10</v>
      </c>
      <c r="F518" t="s">
        <v>14</v>
      </c>
      <c r="G518">
        <v>5</v>
      </c>
    </row>
    <row r="519" spans="1:7" x14ac:dyDescent="0.25">
      <c r="A519" t="s">
        <v>4</v>
      </c>
      <c r="B519">
        <v>517</v>
      </c>
      <c r="C519">
        <v>25</v>
      </c>
      <c r="D519">
        <v>8.751030445098877</v>
      </c>
      <c r="E519" t="s">
        <v>10</v>
      </c>
      <c r="F519" t="s">
        <v>30</v>
      </c>
      <c r="G519">
        <v>5</v>
      </c>
    </row>
    <row r="520" spans="1:7" x14ac:dyDescent="0.25">
      <c r="A520" t="s">
        <v>4</v>
      </c>
      <c r="B520">
        <v>518</v>
      </c>
      <c r="C520">
        <v>95</v>
      </c>
      <c r="D520">
        <v>2.7659189701080322</v>
      </c>
      <c r="E520" t="s">
        <v>10</v>
      </c>
      <c r="F520" t="s">
        <v>36</v>
      </c>
      <c r="G520">
        <v>3.6</v>
      </c>
    </row>
    <row r="521" spans="1:7" x14ac:dyDescent="0.25">
      <c r="A521" t="s">
        <v>4</v>
      </c>
      <c r="B521">
        <v>519</v>
      </c>
      <c r="C521">
        <v>89</v>
      </c>
      <c r="D521">
        <v>2.3517305850982666</v>
      </c>
      <c r="E521" t="s">
        <v>10</v>
      </c>
      <c r="F521" t="s">
        <v>36</v>
      </c>
      <c r="G521">
        <v>3.6</v>
      </c>
    </row>
    <row r="522" spans="1:7" x14ac:dyDescent="0.25">
      <c r="A522" t="s">
        <v>4</v>
      </c>
      <c r="B522">
        <v>520</v>
      </c>
      <c r="C522">
        <v>48</v>
      </c>
      <c r="D522">
        <v>2.7578456401824951</v>
      </c>
      <c r="E522" t="s">
        <v>10</v>
      </c>
      <c r="F522" t="s">
        <v>36</v>
      </c>
      <c r="G522">
        <v>3.6</v>
      </c>
    </row>
    <row r="523" spans="1:7" x14ac:dyDescent="0.25">
      <c r="A523" t="s">
        <v>4</v>
      </c>
      <c r="B523">
        <v>521</v>
      </c>
      <c r="C523">
        <v>67</v>
      </c>
      <c r="D523">
        <v>3.1182610988616943</v>
      </c>
      <c r="E523" t="s">
        <v>10</v>
      </c>
      <c r="F523" t="s">
        <v>36</v>
      </c>
      <c r="G523">
        <v>3.6</v>
      </c>
    </row>
    <row r="524" spans="1:7" x14ac:dyDescent="0.25">
      <c r="A524" t="s">
        <v>4</v>
      </c>
      <c r="B524">
        <v>522</v>
      </c>
      <c r="C524">
        <v>84</v>
      </c>
      <c r="D524">
        <v>2.476865291595459</v>
      </c>
      <c r="E524" t="s">
        <v>10</v>
      </c>
      <c r="F524" t="s">
        <v>36</v>
      </c>
      <c r="G524">
        <v>3.6</v>
      </c>
    </row>
    <row r="525" spans="1:7" x14ac:dyDescent="0.25">
      <c r="A525" t="s">
        <v>4</v>
      </c>
      <c r="B525">
        <v>523</v>
      </c>
      <c r="C525">
        <v>50</v>
      </c>
      <c r="D525">
        <v>3.1026456356048584</v>
      </c>
      <c r="E525" t="s">
        <v>10</v>
      </c>
      <c r="F525" t="s">
        <v>36</v>
      </c>
      <c r="G525">
        <v>3.6</v>
      </c>
    </row>
    <row r="526" spans="1:7" x14ac:dyDescent="0.25">
      <c r="A526" t="s">
        <v>4</v>
      </c>
      <c r="B526">
        <v>524</v>
      </c>
      <c r="C526">
        <v>70</v>
      </c>
      <c r="D526">
        <v>2.7443351745605469</v>
      </c>
      <c r="E526" t="s">
        <v>10</v>
      </c>
      <c r="F526" t="s">
        <v>36</v>
      </c>
      <c r="G526">
        <v>3.6</v>
      </c>
    </row>
    <row r="527" spans="1:7" x14ac:dyDescent="0.25">
      <c r="A527" t="s">
        <v>4</v>
      </c>
      <c r="B527">
        <v>525</v>
      </c>
      <c r="C527">
        <v>70</v>
      </c>
      <c r="D527">
        <v>2.6322028636932373</v>
      </c>
      <c r="E527" t="s">
        <v>10</v>
      </c>
      <c r="F527" t="s">
        <v>36</v>
      </c>
      <c r="G527">
        <v>3.6</v>
      </c>
    </row>
    <row r="528" spans="1:7" x14ac:dyDescent="0.25">
      <c r="A528" t="s">
        <v>4</v>
      </c>
      <c r="B528">
        <v>526</v>
      </c>
      <c r="C528">
        <v>80</v>
      </c>
      <c r="D528">
        <v>4.8444137573242188</v>
      </c>
      <c r="E528" t="s">
        <v>10</v>
      </c>
      <c r="F528" t="s">
        <v>36</v>
      </c>
      <c r="G528">
        <v>3.6</v>
      </c>
    </row>
    <row r="529" spans="1:7" x14ac:dyDescent="0.25">
      <c r="A529" t="s">
        <v>4</v>
      </c>
      <c r="B529">
        <v>527</v>
      </c>
      <c r="C529">
        <v>90</v>
      </c>
      <c r="D529">
        <v>2.5106935501098633</v>
      </c>
      <c r="E529" t="s">
        <v>10</v>
      </c>
      <c r="F529" t="s">
        <v>36</v>
      </c>
      <c r="G529">
        <v>3.6</v>
      </c>
    </row>
    <row r="530" spans="1:7" x14ac:dyDescent="0.25">
      <c r="A530" t="s">
        <v>4</v>
      </c>
      <c r="B530">
        <v>528</v>
      </c>
      <c r="C530">
        <v>80</v>
      </c>
      <c r="D530">
        <v>2.5124814510345459</v>
      </c>
      <c r="E530" t="s">
        <v>10</v>
      </c>
      <c r="F530" t="s">
        <v>36</v>
      </c>
      <c r="G530">
        <v>3.6</v>
      </c>
    </row>
    <row r="531" spans="1:7" x14ac:dyDescent="0.25">
      <c r="A531" t="s">
        <v>4</v>
      </c>
      <c r="B531">
        <v>529</v>
      </c>
      <c r="C531">
        <v>95</v>
      </c>
      <c r="D531">
        <v>2.6647603511810303</v>
      </c>
      <c r="E531" t="s">
        <v>10</v>
      </c>
      <c r="F531" t="s">
        <v>36</v>
      </c>
      <c r="G531">
        <v>3.6</v>
      </c>
    </row>
    <row r="532" spans="1:7" x14ac:dyDescent="0.25">
      <c r="A532" t="s">
        <v>4</v>
      </c>
      <c r="B532">
        <v>530</v>
      </c>
      <c r="C532">
        <v>84</v>
      </c>
      <c r="D532">
        <v>2.6219909191131592</v>
      </c>
      <c r="E532" t="s">
        <v>10</v>
      </c>
      <c r="F532" t="s">
        <v>36</v>
      </c>
      <c r="G532">
        <v>3.6</v>
      </c>
    </row>
    <row r="533" spans="1:7" x14ac:dyDescent="0.25">
      <c r="A533" t="s">
        <v>4</v>
      </c>
      <c r="B533">
        <v>531</v>
      </c>
      <c r="C533">
        <v>90</v>
      </c>
      <c r="D533">
        <v>3.6662659645080566</v>
      </c>
      <c r="E533" t="s">
        <v>10</v>
      </c>
      <c r="F533" t="s">
        <v>36</v>
      </c>
      <c r="G533">
        <v>3.6</v>
      </c>
    </row>
    <row r="534" spans="1:7" x14ac:dyDescent="0.25">
      <c r="A534" t="s">
        <v>4</v>
      </c>
      <c r="B534">
        <v>532</v>
      </c>
      <c r="C534">
        <v>32</v>
      </c>
      <c r="D534">
        <v>2.9085390567779541</v>
      </c>
      <c r="E534" t="s">
        <v>10</v>
      </c>
      <c r="F534" t="s">
        <v>36</v>
      </c>
      <c r="G534">
        <v>3.6</v>
      </c>
    </row>
    <row r="535" spans="1:7" x14ac:dyDescent="0.25">
      <c r="A535" t="s">
        <v>4</v>
      </c>
      <c r="B535">
        <v>533</v>
      </c>
      <c r="C535">
        <v>100</v>
      </c>
      <c r="D535">
        <v>2.8575196266174316</v>
      </c>
      <c r="E535" t="s">
        <v>10</v>
      </c>
      <c r="F535" t="s">
        <v>36</v>
      </c>
      <c r="G535">
        <v>3.6</v>
      </c>
    </row>
    <row r="536" spans="1:7" x14ac:dyDescent="0.25">
      <c r="A536" t="s">
        <v>4</v>
      </c>
      <c r="B536">
        <v>534</v>
      </c>
      <c r="C536">
        <v>87</v>
      </c>
      <c r="D536">
        <v>2.6677343845367432</v>
      </c>
      <c r="E536" t="s">
        <v>10</v>
      </c>
      <c r="F536" t="s">
        <v>36</v>
      </c>
      <c r="G536">
        <v>3.6</v>
      </c>
    </row>
    <row r="537" spans="1:7" x14ac:dyDescent="0.25">
      <c r="A537" t="s">
        <v>4</v>
      </c>
      <c r="B537">
        <v>535</v>
      </c>
      <c r="C537">
        <v>45</v>
      </c>
      <c r="D537">
        <v>3.1243548393249512</v>
      </c>
      <c r="E537" t="s">
        <v>10</v>
      </c>
      <c r="F537" t="s">
        <v>36</v>
      </c>
      <c r="G537">
        <v>3.6</v>
      </c>
    </row>
    <row r="538" spans="1:7" x14ac:dyDescent="0.25">
      <c r="A538" t="s">
        <v>4</v>
      </c>
      <c r="B538">
        <v>536</v>
      </c>
      <c r="C538">
        <v>50</v>
      </c>
      <c r="D538">
        <v>2.8523471355438232</v>
      </c>
      <c r="E538" t="s">
        <v>10</v>
      </c>
      <c r="F538" t="s">
        <v>36</v>
      </c>
      <c r="G538">
        <v>3.6</v>
      </c>
    </row>
    <row r="539" spans="1:7" x14ac:dyDescent="0.25">
      <c r="A539" t="s">
        <v>4</v>
      </c>
      <c r="B539">
        <v>537</v>
      </c>
      <c r="C539">
        <v>43</v>
      </c>
      <c r="D539">
        <v>2.864011287689209</v>
      </c>
      <c r="E539" t="s">
        <v>10</v>
      </c>
      <c r="F539" t="s">
        <v>36</v>
      </c>
      <c r="G539">
        <v>3.6</v>
      </c>
    </row>
    <row r="540" spans="1:7" x14ac:dyDescent="0.25">
      <c r="A540" t="s">
        <v>4</v>
      </c>
      <c r="B540">
        <v>538</v>
      </c>
      <c r="C540">
        <v>48</v>
      </c>
      <c r="D540">
        <v>2.9887921810150146</v>
      </c>
      <c r="E540" t="s">
        <v>10</v>
      </c>
      <c r="F540" t="s">
        <v>36</v>
      </c>
      <c r="G540">
        <v>3.6</v>
      </c>
    </row>
    <row r="541" spans="1:7" x14ac:dyDescent="0.25">
      <c r="A541" t="s">
        <v>4</v>
      </c>
      <c r="B541">
        <v>539</v>
      </c>
      <c r="C541">
        <v>70</v>
      </c>
      <c r="D541">
        <v>2.3431038856506348</v>
      </c>
      <c r="E541" t="s">
        <v>10</v>
      </c>
      <c r="F541" t="s">
        <v>36</v>
      </c>
      <c r="G541">
        <v>3.6</v>
      </c>
    </row>
    <row r="542" spans="1:7" x14ac:dyDescent="0.25">
      <c r="A542" t="s">
        <v>4</v>
      </c>
      <c r="B542">
        <v>540</v>
      </c>
      <c r="C542">
        <v>90</v>
      </c>
      <c r="D542">
        <v>2.4981791973114014</v>
      </c>
      <c r="E542" t="s">
        <v>10</v>
      </c>
      <c r="F542" t="s">
        <v>36</v>
      </c>
      <c r="G542">
        <v>3.6</v>
      </c>
    </row>
    <row r="543" spans="1:7" x14ac:dyDescent="0.25">
      <c r="A543" t="s">
        <v>4</v>
      </c>
      <c r="B543">
        <v>541</v>
      </c>
      <c r="C543">
        <v>87</v>
      </c>
      <c r="D543">
        <v>2.5385491847991943</v>
      </c>
      <c r="E543" t="s">
        <v>10</v>
      </c>
      <c r="F543" t="s">
        <v>36</v>
      </c>
      <c r="G543">
        <v>3.6</v>
      </c>
    </row>
    <row r="544" spans="1:7" x14ac:dyDescent="0.25">
      <c r="A544" t="s">
        <v>4</v>
      </c>
      <c r="B544">
        <v>542</v>
      </c>
      <c r="C544">
        <v>90</v>
      </c>
      <c r="D544">
        <v>2.4529454708099365</v>
      </c>
      <c r="E544" t="s">
        <v>10</v>
      </c>
      <c r="F544" t="s">
        <v>36</v>
      </c>
      <c r="G544">
        <v>3.6</v>
      </c>
    </row>
    <row r="545" spans="1:7" x14ac:dyDescent="0.25">
      <c r="A545" t="s">
        <v>4</v>
      </c>
      <c r="B545">
        <v>543</v>
      </c>
      <c r="C545">
        <v>9</v>
      </c>
      <c r="D545">
        <v>2.8727843761444092</v>
      </c>
      <c r="E545" t="s">
        <v>10</v>
      </c>
      <c r="F545" t="s">
        <v>36</v>
      </c>
      <c r="G545">
        <v>3.6</v>
      </c>
    </row>
    <row r="546" spans="1:7" x14ac:dyDescent="0.25">
      <c r="A546" t="s">
        <v>4</v>
      </c>
      <c r="B546">
        <v>544</v>
      </c>
      <c r="C546">
        <v>30</v>
      </c>
      <c r="D546">
        <v>2.4616761207580566</v>
      </c>
      <c r="E546" t="s">
        <v>10</v>
      </c>
      <c r="F546" t="s">
        <v>36</v>
      </c>
      <c r="G546">
        <v>3.6</v>
      </c>
    </row>
    <row r="547" spans="1:7" x14ac:dyDescent="0.25">
      <c r="A547" t="s">
        <v>4</v>
      </c>
      <c r="B547">
        <v>545</v>
      </c>
      <c r="C547">
        <v>20</v>
      </c>
      <c r="D547">
        <v>2.0738263130187988</v>
      </c>
      <c r="E547" t="s">
        <v>10</v>
      </c>
      <c r="F547" t="s">
        <v>36</v>
      </c>
      <c r="G547">
        <v>3.6</v>
      </c>
    </row>
    <row r="548" spans="1:7" x14ac:dyDescent="0.25">
      <c r="A548" t="s">
        <v>4</v>
      </c>
      <c r="B548">
        <v>546</v>
      </c>
      <c r="C548">
        <v>84</v>
      </c>
      <c r="D548">
        <v>2.8897716999053955</v>
      </c>
      <c r="E548" t="s">
        <v>10</v>
      </c>
      <c r="F548" t="s">
        <v>36</v>
      </c>
      <c r="G548">
        <v>3.6</v>
      </c>
    </row>
    <row r="549" spans="1:7" x14ac:dyDescent="0.25">
      <c r="A549" t="s">
        <v>4</v>
      </c>
      <c r="B549">
        <v>547</v>
      </c>
      <c r="C549">
        <v>80</v>
      </c>
      <c r="D549">
        <v>2.6911242008209229</v>
      </c>
      <c r="E549" t="s">
        <v>10</v>
      </c>
      <c r="F549" t="s">
        <v>36</v>
      </c>
      <c r="G549">
        <v>3.6</v>
      </c>
    </row>
    <row r="550" spans="1:7" x14ac:dyDescent="0.25">
      <c r="A550" t="s">
        <v>4</v>
      </c>
      <c r="B550">
        <v>548</v>
      </c>
      <c r="C550">
        <v>84</v>
      </c>
      <c r="D550">
        <v>2.9698276519775391</v>
      </c>
      <c r="E550" t="s">
        <v>10</v>
      </c>
      <c r="F550" t="s">
        <v>36</v>
      </c>
      <c r="G550">
        <v>3.6</v>
      </c>
    </row>
    <row r="551" spans="1:7" x14ac:dyDescent="0.25">
      <c r="A551" t="s">
        <v>4</v>
      </c>
      <c r="B551">
        <v>549</v>
      </c>
      <c r="C551">
        <v>48</v>
      </c>
      <c r="D551">
        <v>2.9895370006561279</v>
      </c>
      <c r="E551" t="s">
        <v>10</v>
      </c>
      <c r="F551" t="s">
        <v>36</v>
      </c>
      <c r="G551">
        <v>3.6</v>
      </c>
    </row>
    <row r="552" spans="1:7" x14ac:dyDescent="0.25">
      <c r="A552" t="s">
        <v>4</v>
      </c>
      <c r="B552">
        <v>550</v>
      </c>
      <c r="C552">
        <v>87</v>
      </c>
      <c r="D552">
        <v>3.0097255706787109</v>
      </c>
      <c r="E552" t="s">
        <v>10</v>
      </c>
      <c r="F552" t="s">
        <v>36</v>
      </c>
      <c r="G552">
        <v>3.6</v>
      </c>
    </row>
    <row r="553" spans="1:7" x14ac:dyDescent="0.25">
      <c r="A553" t="s">
        <v>4</v>
      </c>
      <c r="B553">
        <v>551</v>
      </c>
      <c r="C553">
        <v>83</v>
      </c>
      <c r="D553">
        <v>3.2835559844970703</v>
      </c>
      <c r="E553" t="s">
        <v>10</v>
      </c>
      <c r="F553" t="s">
        <v>36</v>
      </c>
      <c r="G553">
        <v>3.6</v>
      </c>
    </row>
    <row r="554" spans="1:7" x14ac:dyDescent="0.25">
      <c r="A554" t="s">
        <v>4</v>
      </c>
      <c r="B554">
        <v>552</v>
      </c>
      <c r="C554">
        <v>88</v>
      </c>
      <c r="D554">
        <v>6.7490580081939697</v>
      </c>
      <c r="E554" t="s">
        <v>10</v>
      </c>
      <c r="F554" t="s">
        <v>36</v>
      </c>
      <c r="G554">
        <v>3.6</v>
      </c>
    </row>
    <row r="555" spans="1:7" x14ac:dyDescent="0.25">
      <c r="A555" t="s">
        <v>4</v>
      </c>
      <c r="B555">
        <v>553</v>
      </c>
      <c r="C555">
        <v>30</v>
      </c>
      <c r="D555">
        <v>2.546926736831665</v>
      </c>
      <c r="E555" t="s">
        <v>10</v>
      </c>
      <c r="F555" t="s">
        <v>36</v>
      </c>
      <c r="G555">
        <v>3.6</v>
      </c>
    </row>
    <row r="556" spans="1:7" x14ac:dyDescent="0.25">
      <c r="A556" t="s">
        <v>4</v>
      </c>
      <c r="B556">
        <v>554</v>
      </c>
      <c r="C556">
        <v>26</v>
      </c>
      <c r="D556">
        <v>3.0208766460418701</v>
      </c>
      <c r="E556" t="s">
        <v>10</v>
      </c>
      <c r="F556" t="s">
        <v>36</v>
      </c>
      <c r="G556">
        <v>3.6</v>
      </c>
    </row>
    <row r="557" spans="1:7" x14ac:dyDescent="0.25">
      <c r="A557" t="s">
        <v>4</v>
      </c>
      <c r="B557">
        <v>555</v>
      </c>
      <c r="C557">
        <v>100</v>
      </c>
      <c r="D557">
        <v>4.3036017417907715</v>
      </c>
      <c r="E557" t="s">
        <v>10</v>
      </c>
      <c r="F557" t="s">
        <v>36</v>
      </c>
      <c r="G557">
        <v>3.6</v>
      </c>
    </row>
    <row r="558" spans="1:7" x14ac:dyDescent="0.25">
      <c r="A558" t="s">
        <v>4</v>
      </c>
      <c r="B558">
        <v>556</v>
      </c>
      <c r="C558">
        <v>83</v>
      </c>
      <c r="D558">
        <v>3.0054552555084229</v>
      </c>
      <c r="E558" t="s">
        <v>10</v>
      </c>
      <c r="F558" t="s">
        <v>36</v>
      </c>
      <c r="G558">
        <v>3.6</v>
      </c>
    </row>
    <row r="559" spans="1:7" x14ac:dyDescent="0.25">
      <c r="A559" t="s">
        <v>4</v>
      </c>
      <c r="B559">
        <v>557</v>
      </c>
      <c r="C559">
        <v>65</v>
      </c>
      <c r="D559">
        <v>2.6427457332611084</v>
      </c>
      <c r="E559" t="s">
        <v>10</v>
      </c>
      <c r="F559" t="s">
        <v>36</v>
      </c>
      <c r="G559">
        <v>3.6</v>
      </c>
    </row>
    <row r="560" spans="1:7" x14ac:dyDescent="0.25">
      <c r="A560" t="s">
        <v>4</v>
      </c>
      <c r="B560">
        <v>558</v>
      </c>
      <c r="C560">
        <v>89</v>
      </c>
      <c r="D560">
        <v>3.0851585865020752</v>
      </c>
      <c r="E560" t="s">
        <v>10</v>
      </c>
      <c r="F560" t="s">
        <v>36</v>
      </c>
      <c r="G560">
        <v>3.6</v>
      </c>
    </row>
    <row r="561" spans="1:7" x14ac:dyDescent="0.25">
      <c r="A561" t="s">
        <v>4</v>
      </c>
      <c r="B561">
        <v>559</v>
      </c>
      <c r="C561">
        <v>14</v>
      </c>
      <c r="D561">
        <v>2.2598626613616943</v>
      </c>
      <c r="E561" t="s">
        <v>10</v>
      </c>
      <c r="F561" t="s">
        <v>36</v>
      </c>
      <c r="G561">
        <v>3.6</v>
      </c>
    </row>
    <row r="562" spans="1:7" x14ac:dyDescent="0.25">
      <c r="A562" t="s">
        <v>4</v>
      </c>
      <c r="B562">
        <v>560</v>
      </c>
      <c r="C562">
        <v>83</v>
      </c>
      <c r="D562">
        <v>2.6017341613769531</v>
      </c>
      <c r="E562" t="s">
        <v>10</v>
      </c>
      <c r="F562" t="s">
        <v>36</v>
      </c>
      <c r="G562">
        <v>3.6</v>
      </c>
    </row>
    <row r="563" spans="1:7" x14ac:dyDescent="0.25">
      <c r="A563" t="s">
        <v>4</v>
      </c>
      <c r="B563">
        <v>561</v>
      </c>
      <c r="C563">
        <v>90</v>
      </c>
      <c r="D563">
        <v>2.9664123058319092</v>
      </c>
      <c r="E563" t="s">
        <v>10</v>
      </c>
      <c r="F563" t="s">
        <v>36</v>
      </c>
      <c r="G563">
        <v>3.6</v>
      </c>
    </row>
    <row r="564" spans="1:7" x14ac:dyDescent="0.25">
      <c r="A564" t="s">
        <v>4</v>
      </c>
      <c r="B564">
        <v>562</v>
      </c>
      <c r="C564">
        <v>90</v>
      </c>
      <c r="D564">
        <v>2.7370700836181641</v>
      </c>
      <c r="E564" t="s">
        <v>10</v>
      </c>
      <c r="F564" t="s">
        <v>36</v>
      </c>
      <c r="G564">
        <v>3.6</v>
      </c>
    </row>
    <row r="565" spans="1:7" x14ac:dyDescent="0.25">
      <c r="A565" t="s">
        <v>4</v>
      </c>
      <c r="B565">
        <v>563</v>
      </c>
      <c r="C565">
        <v>12</v>
      </c>
      <c r="D565">
        <v>2.4304661750793457</v>
      </c>
      <c r="E565" t="s">
        <v>10</v>
      </c>
      <c r="F565" t="s">
        <v>36</v>
      </c>
      <c r="G565">
        <v>3.6</v>
      </c>
    </row>
    <row r="566" spans="1:7" x14ac:dyDescent="0.25">
      <c r="A566" t="s">
        <v>4</v>
      </c>
      <c r="B566">
        <v>564</v>
      </c>
      <c r="C566">
        <v>85</v>
      </c>
      <c r="D566">
        <v>8.1887190341949463</v>
      </c>
      <c r="E566" t="s">
        <v>10</v>
      </c>
      <c r="F566" t="s">
        <v>34</v>
      </c>
      <c r="G566">
        <v>7.1</v>
      </c>
    </row>
    <row r="567" spans="1:7" x14ac:dyDescent="0.25">
      <c r="A567" t="s">
        <v>4</v>
      </c>
      <c r="B567">
        <v>565</v>
      </c>
      <c r="C567">
        <v>23</v>
      </c>
      <c r="D567">
        <v>5.2745230197906494</v>
      </c>
      <c r="E567" t="s">
        <v>10</v>
      </c>
      <c r="F567" t="s">
        <v>34</v>
      </c>
      <c r="G567">
        <v>7.1</v>
      </c>
    </row>
    <row r="568" spans="1:7" x14ac:dyDescent="0.25">
      <c r="A568" t="s">
        <v>4</v>
      </c>
      <c r="B568">
        <v>566</v>
      </c>
      <c r="C568">
        <v>87</v>
      </c>
      <c r="D568">
        <v>6.4240553379058838</v>
      </c>
      <c r="E568" t="s">
        <v>10</v>
      </c>
      <c r="F568" t="s">
        <v>34</v>
      </c>
      <c r="G568">
        <v>7.1</v>
      </c>
    </row>
    <row r="569" spans="1:7" x14ac:dyDescent="0.25">
      <c r="A569" t="s">
        <v>4</v>
      </c>
      <c r="B569">
        <v>567</v>
      </c>
      <c r="C569">
        <v>89</v>
      </c>
      <c r="D569">
        <v>5.6557419300079346</v>
      </c>
      <c r="E569" t="s">
        <v>10</v>
      </c>
      <c r="F569" t="s">
        <v>34</v>
      </c>
      <c r="G569">
        <v>7.1</v>
      </c>
    </row>
    <row r="570" spans="1:7" x14ac:dyDescent="0.25">
      <c r="A570" t="s">
        <v>4</v>
      </c>
      <c r="B570">
        <v>568</v>
      </c>
      <c r="C570">
        <v>14</v>
      </c>
      <c r="D570">
        <v>4.8034663200378418</v>
      </c>
      <c r="E570" t="s">
        <v>10</v>
      </c>
      <c r="F570" t="s">
        <v>17</v>
      </c>
      <c r="G570">
        <v>2.1</v>
      </c>
    </row>
    <row r="571" spans="1:7" x14ac:dyDescent="0.25">
      <c r="A571" t="s">
        <v>4</v>
      </c>
      <c r="B571">
        <v>569</v>
      </c>
      <c r="C571">
        <v>99</v>
      </c>
      <c r="D571">
        <v>10.042554616928101</v>
      </c>
      <c r="E571" t="s">
        <v>10</v>
      </c>
      <c r="F571" t="s">
        <v>17</v>
      </c>
      <c r="G571">
        <v>2.1</v>
      </c>
    </row>
    <row r="572" spans="1:7" x14ac:dyDescent="0.25">
      <c r="A572" t="s">
        <v>4</v>
      </c>
      <c r="B572">
        <v>570</v>
      </c>
      <c r="C572">
        <v>67</v>
      </c>
      <c r="D572">
        <v>2.9452872276306152</v>
      </c>
      <c r="E572" t="s">
        <v>10</v>
      </c>
      <c r="F572" t="s">
        <v>11</v>
      </c>
      <c r="G572">
        <v>5</v>
      </c>
    </row>
    <row r="573" spans="1:7" x14ac:dyDescent="0.25">
      <c r="A573" t="s">
        <v>4</v>
      </c>
      <c r="B573">
        <v>571</v>
      </c>
      <c r="C573">
        <v>87</v>
      </c>
      <c r="D573">
        <v>3.0749790668487549</v>
      </c>
      <c r="E573" t="s">
        <v>10</v>
      </c>
      <c r="F573" t="s">
        <v>15</v>
      </c>
      <c r="G573">
        <v>4.3</v>
      </c>
    </row>
    <row r="574" spans="1:7" x14ac:dyDescent="0.25">
      <c r="A574" t="s">
        <v>4</v>
      </c>
      <c r="B574">
        <v>572</v>
      </c>
      <c r="C574">
        <v>20</v>
      </c>
      <c r="D574">
        <v>2.962094783782959</v>
      </c>
      <c r="E574" t="s">
        <v>10</v>
      </c>
      <c r="F574" t="s">
        <v>15</v>
      </c>
      <c r="G574">
        <v>4.3</v>
      </c>
    </row>
    <row r="575" spans="1:7" x14ac:dyDescent="0.25">
      <c r="A575" t="s">
        <v>4</v>
      </c>
      <c r="B575">
        <v>573</v>
      </c>
      <c r="C575">
        <v>48</v>
      </c>
      <c r="D575">
        <v>3.301750659942627</v>
      </c>
      <c r="E575" t="s">
        <v>10</v>
      </c>
      <c r="F575" t="s">
        <v>13</v>
      </c>
      <c r="G575">
        <v>4.3</v>
      </c>
    </row>
    <row r="576" spans="1:7" x14ac:dyDescent="0.25">
      <c r="A576" t="s">
        <v>4</v>
      </c>
      <c r="B576">
        <v>574</v>
      </c>
      <c r="C576">
        <v>100</v>
      </c>
      <c r="D576">
        <v>3.6824007034301758</v>
      </c>
      <c r="E576" t="s">
        <v>10</v>
      </c>
      <c r="F576" t="s">
        <v>13</v>
      </c>
      <c r="G576">
        <v>4.3</v>
      </c>
    </row>
    <row r="577" spans="1:7" x14ac:dyDescent="0.25">
      <c r="A577" t="s">
        <v>4</v>
      </c>
      <c r="B577">
        <v>575</v>
      </c>
      <c r="C577">
        <v>81</v>
      </c>
      <c r="D577">
        <v>5.8982179164886475</v>
      </c>
      <c r="E577" t="s">
        <v>10</v>
      </c>
      <c r="F577" t="s">
        <v>17</v>
      </c>
      <c r="G577">
        <v>4.3</v>
      </c>
    </row>
    <row r="578" spans="1:7" x14ac:dyDescent="0.25">
      <c r="A578" t="s">
        <v>4</v>
      </c>
      <c r="B578">
        <v>576</v>
      </c>
      <c r="C578">
        <v>100</v>
      </c>
      <c r="D578">
        <v>6.8221180438995361</v>
      </c>
      <c r="E578" t="s">
        <v>10</v>
      </c>
      <c r="F578" t="s">
        <v>17</v>
      </c>
      <c r="G578">
        <v>4.3</v>
      </c>
    </row>
    <row r="579" spans="1:7" x14ac:dyDescent="0.25">
      <c r="A579" t="s">
        <v>4</v>
      </c>
      <c r="B579">
        <v>577</v>
      </c>
      <c r="C579">
        <v>85</v>
      </c>
      <c r="D579">
        <v>2.9252655506134033</v>
      </c>
      <c r="E579" t="s">
        <v>10</v>
      </c>
      <c r="F579" t="s">
        <v>17</v>
      </c>
      <c r="G579">
        <v>4.3</v>
      </c>
    </row>
    <row r="580" spans="1:7" x14ac:dyDescent="0.25">
      <c r="A580" t="s">
        <v>4</v>
      </c>
      <c r="B580">
        <v>578</v>
      </c>
      <c r="C580">
        <v>73</v>
      </c>
      <c r="D580">
        <v>2.3630006313323975</v>
      </c>
      <c r="E580" t="s">
        <v>10</v>
      </c>
      <c r="F580" t="s">
        <v>13</v>
      </c>
      <c r="G580">
        <v>5</v>
      </c>
    </row>
    <row r="581" spans="1:7" x14ac:dyDescent="0.25">
      <c r="A581" t="s">
        <v>4</v>
      </c>
      <c r="B581">
        <v>579</v>
      </c>
      <c r="C581">
        <v>85</v>
      </c>
      <c r="D581">
        <v>4.0942950248718262</v>
      </c>
      <c r="E581" t="s">
        <v>10</v>
      </c>
      <c r="F581" t="s">
        <v>13</v>
      </c>
      <c r="G581">
        <v>5</v>
      </c>
    </row>
    <row r="582" spans="1:7" x14ac:dyDescent="0.25">
      <c r="A582" t="s">
        <v>4</v>
      </c>
      <c r="B582">
        <v>580</v>
      </c>
      <c r="C582">
        <v>85</v>
      </c>
      <c r="D582">
        <v>4.747504711151123</v>
      </c>
      <c r="E582" t="s">
        <v>10</v>
      </c>
      <c r="F582" t="s">
        <v>13</v>
      </c>
      <c r="G582">
        <v>5</v>
      </c>
    </row>
    <row r="583" spans="1:7" x14ac:dyDescent="0.25">
      <c r="A583" t="s">
        <v>4</v>
      </c>
      <c r="B583">
        <v>581</v>
      </c>
      <c r="C583">
        <v>40</v>
      </c>
      <c r="D583">
        <v>4.6355717182159424</v>
      </c>
      <c r="E583" t="s">
        <v>10</v>
      </c>
      <c r="F583" t="s">
        <v>15</v>
      </c>
      <c r="G583">
        <v>5</v>
      </c>
    </row>
    <row r="584" spans="1:7" x14ac:dyDescent="0.25">
      <c r="A584" t="s">
        <v>4</v>
      </c>
      <c r="B584">
        <v>582</v>
      </c>
      <c r="C584">
        <v>83</v>
      </c>
      <c r="D584">
        <v>9.4130990505218506</v>
      </c>
      <c r="E584" t="s">
        <v>10</v>
      </c>
      <c r="F584" t="s">
        <v>15</v>
      </c>
      <c r="G584">
        <v>5</v>
      </c>
    </row>
    <row r="585" spans="1:7" x14ac:dyDescent="0.25">
      <c r="A585" t="s">
        <v>4</v>
      </c>
      <c r="B585">
        <v>583</v>
      </c>
      <c r="C585">
        <v>84</v>
      </c>
      <c r="D585">
        <v>4.0125026702880859</v>
      </c>
      <c r="E585" t="s">
        <v>10</v>
      </c>
      <c r="F585" t="s">
        <v>15</v>
      </c>
      <c r="G585">
        <v>5</v>
      </c>
    </row>
    <row r="586" spans="1:7" x14ac:dyDescent="0.25">
      <c r="A586" t="s">
        <v>4</v>
      </c>
      <c r="B586">
        <v>584</v>
      </c>
      <c r="C586">
        <v>83</v>
      </c>
      <c r="D586">
        <v>6.2200043201446533</v>
      </c>
      <c r="E586" t="s">
        <v>10</v>
      </c>
      <c r="F586" t="s">
        <v>20</v>
      </c>
      <c r="G586">
        <v>6.8</v>
      </c>
    </row>
    <row r="587" spans="1:7" x14ac:dyDescent="0.25">
      <c r="A587" t="s">
        <v>4</v>
      </c>
      <c r="B587">
        <v>585</v>
      </c>
      <c r="C587">
        <v>79</v>
      </c>
      <c r="D587">
        <v>3.6300899982452393</v>
      </c>
      <c r="E587" t="s">
        <v>10</v>
      </c>
      <c r="F587" t="s">
        <v>20</v>
      </c>
      <c r="G587">
        <v>7.5</v>
      </c>
    </row>
    <row r="588" spans="1:7" x14ac:dyDescent="0.25">
      <c r="A588" t="s">
        <v>4</v>
      </c>
      <c r="B588">
        <v>586</v>
      </c>
      <c r="C588">
        <v>84</v>
      </c>
      <c r="D588">
        <v>2.9274265766143799</v>
      </c>
      <c r="E588" t="s">
        <v>10</v>
      </c>
      <c r="F588" t="s">
        <v>17</v>
      </c>
      <c r="G588">
        <v>2.1</v>
      </c>
    </row>
    <row r="589" spans="1:7" x14ac:dyDescent="0.25">
      <c r="A589" t="s">
        <v>4</v>
      </c>
      <c r="B589">
        <v>587</v>
      </c>
      <c r="C589">
        <v>85</v>
      </c>
      <c r="D589">
        <v>5.0086336135864258</v>
      </c>
      <c r="E589" t="s">
        <v>10</v>
      </c>
      <c r="F589" t="s">
        <v>17</v>
      </c>
      <c r="G589">
        <v>2.1</v>
      </c>
    </row>
    <row r="590" spans="1:7" x14ac:dyDescent="0.25">
      <c r="A590" t="s">
        <v>4</v>
      </c>
      <c r="B590">
        <v>588</v>
      </c>
      <c r="C590">
        <v>0</v>
      </c>
      <c r="D590">
        <v>3.2179172039031982</v>
      </c>
      <c r="E590" t="s">
        <v>10</v>
      </c>
      <c r="F590" t="s">
        <v>15</v>
      </c>
      <c r="G590">
        <v>4</v>
      </c>
    </row>
    <row r="591" spans="1:7" x14ac:dyDescent="0.25">
      <c r="A591" t="s">
        <v>4</v>
      </c>
      <c r="B591">
        <v>589</v>
      </c>
      <c r="C591">
        <v>100</v>
      </c>
      <c r="D591">
        <v>4.5933229923248291</v>
      </c>
      <c r="E591" t="s">
        <v>10</v>
      </c>
      <c r="F591" t="s">
        <v>15</v>
      </c>
      <c r="G591">
        <v>5</v>
      </c>
    </row>
    <row r="592" spans="1:7" x14ac:dyDescent="0.25">
      <c r="A592" t="s">
        <v>4</v>
      </c>
      <c r="B592">
        <v>590</v>
      </c>
      <c r="C592">
        <v>32</v>
      </c>
      <c r="D592">
        <v>16.995654582977295</v>
      </c>
      <c r="E592" t="s">
        <v>10</v>
      </c>
      <c r="F592" t="s">
        <v>15</v>
      </c>
      <c r="G592">
        <v>5</v>
      </c>
    </row>
    <row r="593" spans="1:7" x14ac:dyDescent="0.25">
      <c r="A593" t="s">
        <v>4</v>
      </c>
      <c r="B593">
        <v>591</v>
      </c>
      <c r="C593">
        <v>12</v>
      </c>
      <c r="D593">
        <v>14.925496816635132</v>
      </c>
      <c r="E593" t="s">
        <v>10</v>
      </c>
      <c r="F593" t="s">
        <v>15</v>
      </c>
      <c r="G593">
        <v>5</v>
      </c>
    </row>
    <row r="594" spans="1:7" x14ac:dyDescent="0.25">
      <c r="A594" t="s">
        <v>4</v>
      </c>
      <c r="B594">
        <v>592</v>
      </c>
      <c r="C594">
        <v>24</v>
      </c>
      <c r="D594">
        <v>3.0745596885681152</v>
      </c>
      <c r="E594" t="s">
        <v>10</v>
      </c>
      <c r="F594" t="s">
        <v>11</v>
      </c>
      <c r="G594">
        <v>4.3</v>
      </c>
    </row>
    <row r="595" spans="1:7" x14ac:dyDescent="0.25">
      <c r="A595" t="s">
        <v>4</v>
      </c>
      <c r="B595">
        <v>593</v>
      </c>
      <c r="C595">
        <v>100</v>
      </c>
      <c r="D595">
        <v>13.682722091674805</v>
      </c>
      <c r="E595" t="s">
        <v>10</v>
      </c>
      <c r="F595" t="s">
        <v>11</v>
      </c>
      <c r="G595">
        <v>4.3</v>
      </c>
    </row>
    <row r="596" spans="1:7" x14ac:dyDescent="0.25">
      <c r="A596" t="s">
        <v>4</v>
      </c>
      <c r="B596">
        <v>594</v>
      </c>
      <c r="C596">
        <v>0</v>
      </c>
      <c r="D596">
        <v>2.7362470626831055</v>
      </c>
      <c r="E596" t="s">
        <v>10</v>
      </c>
      <c r="F596" t="s">
        <v>11</v>
      </c>
      <c r="G596">
        <v>4.3</v>
      </c>
    </row>
    <row r="597" spans="1:7" x14ac:dyDescent="0.25">
      <c r="A597" t="s">
        <v>4</v>
      </c>
      <c r="B597">
        <v>595</v>
      </c>
      <c r="C597">
        <v>32</v>
      </c>
      <c r="D597">
        <v>7.383326530456543</v>
      </c>
      <c r="E597" t="s">
        <v>10</v>
      </c>
      <c r="F597" t="s">
        <v>15</v>
      </c>
      <c r="G597">
        <v>7.1</v>
      </c>
    </row>
    <row r="598" spans="1:7" x14ac:dyDescent="0.25">
      <c r="A598" t="s">
        <v>4</v>
      </c>
      <c r="B598">
        <v>596</v>
      </c>
      <c r="C598">
        <v>0</v>
      </c>
      <c r="D598">
        <v>5.3097178936004639</v>
      </c>
      <c r="E598" t="s">
        <v>10</v>
      </c>
      <c r="F598" t="s">
        <v>24</v>
      </c>
      <c r="G598">
        <v>6.4</v>
      </c>
    </row>
    <row r="599" spans="1:7" x14ac:dyDescent="0.25">
      <c r="A599" t="s">
        <v>4</v>
      </c>
      <c r="B599">
        <v>597</v>
      </c>
      <c r="C599">
        <v>100</v>
      </c>
      <c r="D599">
        <v>14.672716856002808</v>
      </c>
      <c r="E599" t="s">
        <v>10</v>
      </c>
      <c r="F599" t="s">
        <v>20</v>
      </c>
      <c r="G599">
        <v>6.8</v>
      </c>
    </row>
    <row r="600" spans="1:7" x14ac:dyDescent="0.25">
      <c r="A600" t="s">
        <v>4</v>
      </c>
      <c r="B600">
        <v>598</v>
      </c>
      <c r="C600">
        <v>87</v>
      </c>
      <c r="D600">
        <v>16.159334182739258</v>
      </c>
      <c r="E600" t="s">
        <v>10</v>
      </c>
      <c r="F600" t="s">
        <v>20</v>
      </c>
      <c r="G600">
        <v>6.8</v>
      </c>
    </row>
    <row r="601" spans="1:7" x14ac:dyDescent="0.25">
      <c r="A601" t="s">
        <v>4</v>
      </c>
      <c r="B601">
        <v>599</v>
      </c>
      <c r="C601">
        <v>0</v>
      </c>
      <c r="D601">
        <v>5.9037501811981201</v>
      </c>
      <c r="E601" t="s">
        <v>10</v>
      </c>
      <c r="F601" t="s">
        <v>12</v>
      </c>
      <c r="G601">
        <v>6.4</v>
      </c>
    </row>
    <row r="602" spans="1:7" x14ac:dyDescent="0.25">
      <c r="A602" t="s">
        <v>4</v>
      </c>
      <c r="B602">
        <v>600</v>
      </c>
      <c r="C602">
        <v>33</v>
      </c>
      <c r="D602">
        <v>15.684913396835327</v>
      </c>
      <c r="E602" t="s">
        <v>10</v>
      </c>
      <c r="F602" t="s">
        <v>12</v>
      </c>
      <c r="G602">
        <v>6.4</v>
      </c>
    </row>
    <row r="603" spans="1:7" x14ac:dyDescent="0.25">
      <c r="A603" t="s">
        <v>4</v>
      </c>
      <c r="B603">
        <v>601</v>
      </c>
      <c r="C603">
        <v>90</v>
      </c>
      <c r="D603">
        <v>8.326425313949585</v>
      </c>
      <c r="E603" t="s">
        <v>10</v>
      </c>
      <c r="F603" t="s">
        <v>29</v>
      </c>
      <c r="G603">
        <v>7.5</v>
      </c>
    </row>
    <row r="604" spans="1:7" x14ac:dyDescent="0.25">
      <c r="A604" t="s">
        <v>4</v>
      </c>
      <c r="B604">
        <v>602</v>
      </c>
      <c r="C604">
        <v>99</v>
      </c>
      <c r="D604">
        <v>5.2279987335205078</v>
      </c>
      <c r="E604" t="s">
        <v>10</v>
      </c>
      <c r="F604" t="s">
        <v>22</v>
      </c>
      <c r="G604">
        <v>7.5</v>
      </c>
    </row>
    <row r="605" spans="1:7" x14ac:dyDescent="0.25">
      <c r="A605" t="s">
        <v>4</v>
      </c>
      <c r="B605">
        <v>603</v>
      </c>
      <c r="C605">
        <v>83</v>
      </c>
      <c r="D605">
        <v>15.705163955688477</v>
      </c>
      <c r="E605" t="s">
        <v>10</v>
      </c>
      <c r="F605" t="s">
        <v>22</v>
      </c>
      <c r="G605">
        <v>7.5</v>
      </c>
    </row>
    <row r="606" spans="1:7" x14ac:dyDescent="0.25">
      <c r="A606" t="s">
        <v>4</v>
      </c>
      <c r="B606">
        <v>604</v>
      </c>
      <c r="C606">
        <v>80</v>
      </c>
      <c r="D606">
        <v>3.9141120910644531</v>
      </c>
      <c r="E606" t="s">
        <v>10</v>
      </c>
      <c r="F606" t="s">
        <v>28</v>
      </c>
      <c r="G606">
        <v>4.4000000000000004</v>
      </c>
    </row>
    <row r="607" spans="1:7" x14ac:dyDescent="0.25">
      <c r="A607" t="s">
        <v>4</v>
      </c>
      <c r="B607">
        <v>605</v>
      </c>
      <c r="C607">
        <v>100</v>
      </c>
      <c r="D607">
        <v>11.909543037414551</v>
      </c>
      <c r="E607" t="s">
        <v>10</v>
      </c>
      <c r="F607" t="s">
        <v>28</v>
      </c>
      <c r="G607">
        <v>4.4000000000000004</v>
      </c>
    </row>
    <row r="608" spans="1:7" x14ac:dyDescent="0.25">
      <c r="A608" t="s">
        <v>4</v>
      </c>
      <c r="B608">
        <v>606</v>
      </c>
      <c r="C608">
        <v>21</v>
      </c>
      <c r="D608">
        <v>9.1399152278900146</v>
      </c>
      <c r="E608" t="s">
        <v>10</v>
      </c>
      <c r="F608" t="s">
        <v>15</v>
      </c>
      <c r="G608">
        <v>7.1</v>
      </c>
    </row>
    <row r="609" spans="1:7" x14ac:dyDescent="0.25">
      <c r="A609" t="s">
        <v>4</v>
      </c>
      <c r="B609">
        <v>607</v>
      </c>
      <c r="C609">
        <v>0</v>
      </c>
      <c r="D609">
        <v>5.6752297878265381</v>
      </c>
      <c r="E609" t="s">
        <v>10</v>
      </c>
      <c r="F609" t="s">
        <v>15</v>
      </c>
      <c r="G609">
        <v>7.1</v>
      </c>
    </row>
    <row r="610" spans="1:7" x14ac:dyDescent="0.25">
      <c r="A610" t="s">
        <v>4</v>
      </c>
      <c r="B610">
        <v>608</v>
      </c>
      <c r="C610">
        <v>100</v>
      </c>
      <c r="D610">
        <v>4.0064258575439453</v>
      </c>
      <c r="E610" t="s">
        <v>10</v>
      </c>
      <c r="F610" t="s">
        <v>14</v>
      </c>
      <c r="G610">
        <v>7.5</v>
      </c>
    </row>
    <row r="611" spans="1:7" x14ac:dyDescent="0.25">
      <c r="A611" t="s">
        <v>4</v>
      </c>
      <c r="B611">
        <v>609</v>
      </c>
      <c r="C611">
        <v>97</v>
      </c>
      <c r="D611">
        <v>3.5833275318145752</v>
      </c>
      <c r="E611" t="s">
        <v>10</v>
      </c>
      <c r="F611" t="s">
        <v>14</v>
      </c>
      <c r="G611">
        <v>7.5</v>
      </c>
    </row>
    <row r="612" spans="1:7" x14ac:dyDescent="0.25">
      <c r="A612" t="s">
        <v>4</v>
      </c>
      <c r="B612">
        <v>610</v>
      </c>
      <c r="C612">
        <v>100</v>
      </c>
      <c r="D612">
        <v>9.7571842670440674</v>
      </c>
      <c r="E612" t="s">
        <v>10</v>
      </c>
      <c r="F612" t="s">
        <v>13</v>
      </c>
      <c r="G612">
        <v>4.3</v>
      </c>
    </row>
    <row r="613" spans="1:7" x14ac:dyDescent="0.25">
      <c r="A613" t="s">
        <v>4</v>
      </c>
      <c r="B613">
        <v>611</v>
      </c>
      <c r="C613">
        <v>100</v>
      </c>
      <c r="D613">
        <v>15.521875381469727</v>
      </c>
      <c r="E613" t="s">
        <v>10</v>
      </c>
      <c r="F613" t="s">
        <v>15</v>
      </c>
      <c r="G613">
        <v>6.8</v>
      </c>
    </row>
    <row r="614" spans="1:7" x14ac:dyDescent="0.25">
      <c r="A614" t="s">
        <v>4</v>
      </c>
      <c r="B614">
        <v>612</v>
      </c>
      <c r="C614">
        <v>90</v>
      </c>
      <c r="D614">
        <v>7.1333892345428467</v>
      </c>
      <c r="E614" t="s">
        <v>10</v>
      </c>
      <c r="F614" t="s">
        <v>17</v>
      </c>
      <c r="G614">
        <v>4.3</v>
      </c>
    </row>
    <row r="615" spans="1:7" x14ac:dyDescent="0.25">
      <c r="A615" t="s">
        <v>4</v>
      </c>
      <c r="B615">
        <v>613</v>
      </c>
      <c r="C615">
        <v>82</v>
      </c>
      <c r="D615">
        <v>2.9348478317260742</v>
      </c>
      <c r="E615" t="s">
        <v>10</v>
      </c>
      <c r="F615" t="s">
        <v>13</v>
      </c>
      <c r="G615">
        <v>6.8</v>
      </c>
    </row>
    <row r="616" spans="1:7" x14ac:dyDescent="0.25">
      <c r="A616" t="s">
        <v>4</v>
      </c>
      <c r="B616">
        <v>614</v>
      </c>
      <c r="C616">
        <v>90</v>
      </c>
      <c r="D616">
        <v>3.4197170734405518</v>
      </c>
      <c r="E616" t="s">
        <v>10</v>
      </c>
      <c r="F616" t="s">
        <v>13</v>
      </c>
      <c r="G616">
        <v>6.8</v>
      </c>
    </row>
    <row r="617" spans="1:7" x14ac:dyDescent="0.25">
      <c r="A617" t="s">
        <v>4</v>
      </c>
      <c r="B617">
        <v>615</v>
      </c>
      <c r="C617">
        <v>30</v>
      </c>
      <c r="D617">
        <v>4.3924796581268311</v>
      </c>
      <c r="E617" t="s">
        <v>10</v>
      </c>
      <c r="F617" t="s">
        <v>11</v>
      </c>
      <c r="G617">
        <v>4</v>
      </c>
    </row>
    <row r="618" spans="1:7" x14ac:dyDescent="0.25">
      <c r="A618" t="s">
        <v>4</v>
      </c>
      <c r="B618">
        <v>616</v>
      </c>
      <c r="C618">
        <v>73</v>
      </c>
      <c r="D618">
        <v>3.6345267295837402</v>
      </c>
      <c r="E618" t="s">
        <v>10</v>
      </c>
      <c r="F618" t="s">
        <v>29</v>
      </c>
      <c r="G618">
        <v>1.9</v>
      </c>
    </row>
    <row r="619" spans="1:7" x14ac:dyDescent="0.25">
      <c r="A619" t="s">
        <v>4</v>
      </c>
      <c r="B619">
        <v>617</v>
      </c>
      <c r="C619">
        <v>72</v>
      </c>
      <c r="D619">
        <v>2.7465500831604004</v>
      </c>
      <c r="E619" t="s">
        <v>10</v>
      </c>
      <c r="F619" t="s">
        <v>29</v>
      </c>
      <c r="G619">
        <v>1.9</v>
      </c>
    </row>
    <row r="620" spans="1:7" x14ac:dyDescent="0.25">
      <c r="A620" t="s">
        <v>4</v>
      </c>
      <c r="B620">
        <v>618</v>
      </c>
      <c r="C620">
        <v>30</v>
      </c>
      <c r="D620">
        <v>2.9146444797515869</v>
      </c>
      <c r="E620" t="s">
        <v>10</v>
      </c>
      <c r="F620" t="s">
        <v>14</v>
      </c>
      <c r="G620">
        <v>2.1</v>
      </c>
    </row>
    <row r="621" spans="1:7" x14ac:dyDescent="0.25">
      <c r="A621" t="s">
        <v>4</v>
      </c>
      <c r="B621">
        <v>619</v>
      </c>
      <c r="C621">
        <v>88</v>
      </c>
      <c r="D621">
        <v>13.472087621688843</v>
      </c>
      <c r="E621" t="s">
        <v>10</v>
      </c>
      <c r="F621" t="s">
        <v>14</v>
      </c>
      <c r="G621">
        <v>10</v>
      </c>
    </row>
    <row r="622" spans="1:7" x14ac:dyDescent="0.25">
      <c r="A622" t="s">
        <v>4</v>
      </c>
      <c r="B622">
        <v>620</v>
      </c>
      <c r="C622">
        <v>40</v>
      </c>
      <c r="D622">
        <v>2.7047557830810547</v>
      </c>
      <c r="E622" t="s">
        <v>10</v>
      </c>
      <c r="F622" t="s">
        <v>15</v>
      </c>
      <c r="G622">
        <v>2.1</v>
      </c>
    </row>
    <row r="623" spans="1:7" x14ac:dyDescent="0.25">
      <c r="A623" t="s">
        <v>4</v>
      </c>
      <c r="B623">
        <v>621</v>
      </c>
      <c r="C623">
        <v>70</v>
      </c>
      <c r="D623">
        <v>4.8457038402557373</v>
      </c>
      <c r="E623" t="s">
        <v>10</v>
      </c>
      <c r="F623" t="s">
        <v>12</v>
      </c>
      <c r="G623">
        <v>3.6</v>
      </c>
    </row>
    <row r="624" spans="1:7" x14ac:dyDescent="0.25">
      <c r="A624" t="s">
        <v>4</v>
      </c>
      <c r="B624">
        <v>622</v>
      </c>
      <c r="C624">
        <v>89</v>
      </c>
      <c r="D624">
        <v>3.8021016120910645</v>
      </c>
      <c r="E624" t="s">
        <v>10</v>
      </c>
      <c r="F624" t="s">
        <v>12</v>
      </c>
      <c r="G624">
        <v>3.6</v>
      </c>
    </row>
    <row r="625" spans="1:7" x14ac:dyDescent="0.25">
      <c r="A625" t="s">
        <v>4</v>
      </c>
      <c r="B625">
        <v>623</v>
      </c>
      <c r="C625">
        <v>83</v>
      </c>
      <c r="D625">
        <v>2.5363783836364746</v>
      </c>
      <c r="E625" t="s">
        <v>10</v>
      </c>
      <c r="F625" t="s">
        <v>15</v>
      </c>
      <c r="G625">
        <v>2.1</v>
      </c>
    </row>
    <row r="626" spans="1:7" x14ac:dyDescent="0.25">
      <c r="A626" t="s">
        <v>4</v>
      </c>
      <c r="B626">
        <v>624</v>
      </c>
      <c r="C626">
        <v>89</v>
      </c>
      <c r="D626">
        <v>7.2924220561981201</v>
      </c>
      <c r="E626" t="s">
        <v>10</v>
      </c>
      <c r="F626" t="s">
        <v>15</v>
      </c>
      <c r="G626">
        <v>2.1</v>
      </c>
    </row>
    <row r="627" spans="1:7" x14ac:dyDescent="0.25">
      <c r="A627" t="s">
        <v>4</v>
      </c>
      <c r="B627">
        <v>625</v>
      </c>
      <c r="C627">
        <v>84</v>
      </c>
      <c r="D627">
        <v>5.4395177364349365</v>
      </c>
      <c r="E627" t="s">
        <v>10</v>
      </c>
      <c r="F627" t="s">
        <v>20</v>
      </c>
      <c r="G627">
        <v>7.6</v>
      </c>
    </row>
    <row r="628" spans="1:7" x14ac:dyDescent="0.25">
      <c r="A628" t="s">
        <v>4</v>
      </c>
      <c r="B628">
        <v>626</v>
      </c>
      <c r="C628">
        <v>100</v>
      </c>
      <c r="D628">
        <v>4.7032985687255859</v>
      </c>
      <c r="E628" t="s">
        <v>10</v>
      </c>
      <c r="F628" t="s">
        <v>37</v>
      </c>
      <c r="G628">
        <v>4.5999999999999996</v>
      </c>
    </row>
    <row r="629" spans="1:7" x14ac:dyDescent="0.25">
      <c r="A629" t="s">
        <v>4</v>
      </c>
      <c r="B629">
        <v>627</v>
      </c>
      <c r="C629">
        <v>30</v>
      </c>
      <c r="D629">
        <v>5.2856297492980957</v>
      </c>
      <c r="E629" t="s">
        <v>10</v>
      </c>
      <c r="F629" t="s">
        <v>37</v>
      </c>
      <c r="G629">
        <v>4.5999999999999996</v>
      </c>
    </row>
    <row r="630" spans="1:7" x14ac:dyDescent="0.25">
      <c r="A630" t="s">
        <v>4</v>
      </c>
      <c r="B630">
        <v>628</v>
      </c>
      <c r="C630">
        <v>24</v>
      </c>
      <c r="D630">
        <v>6.0144915580749512</v>
      </c>
      <c r="E630" t="s">
        <v>10</v>
      </c>
      <c r="F630" t="s">
        <v>37</v>
      </c>
      <c r="G630">
        <v>4.5999999999999996</v>
      </c>
    </row>
    <row r="631" spans="1:7" x14ac:dyDescent="0.25">
      <c r="A631" t="s">
        <v>4</v>
      </c>
      <c r="B631">
        <v>629</v>
      </c>
      <c r="C631">
        <v>100</v>
      </c>
      <c r="D631">
        <v>23.211646318435669</v>
      </c>
      <c r="E631" t="s">
        <v>10</v>
      </c>
      <c r="F631" t="s">
        <v>22</v>
      </c>
      <c r="G631">
        <v>6.8</v>
      </c>
    </row>
    <row r="632" spans="1:7" x14ac:dyDescent="0.25">
      <c r="A632" t="s">
        <v>4</v>
      </c>
      <c r="B632">
        <v>630</v>
      </c>
      <c r="C632">
        <v>0</v>
      </c>
      <c r="D632">
        <v>4.7147858142852783</v>
      </c>
      <c r="E632" t="s">
        <v>10</v>
      </c>
      <c r="F632" t="s">
        <v>15</v>
      </c>
      <c r="G632">
        <v>5</v>
      </c>
    </row>
    <row r="633" spans="1:7" x14ac:dyDescent="0.25">
      <c r="A633" t="s">
        <v>4</v>
      </c>
      <c r="B633">
        <v>631</v>
      </c>
      <c r="C633">
        <v>84</v>
      </c>
      <c r="D633">
        <v>2.8186001777648926</v>
      </c>
      <c r="E633" t="s">
        <v>10</v>
      </c>
      <c r="F633" t="s">
        <v>15</v>
      </c>
      <c r="G633">
        <v>5</v>
      </c>
    </row>
    <row r="634" spans="1:7" x14ac:dyDescent="0.25">
      <c r="A634" t="s">
        <v>4</v>
      </c>
      <c r="B634">
        <v>632</v>
      </c>
      <c r="C634">
        <v>80</v>
      </c>
      <c r="D634">
        <v>13.671144485473633</v>
      </c>
      <c r="E634" t="s">
        <v>10</v>
      </c>
      <c r="F634" t="s">
        <v>15</v>
      </c>
      <c r="G634">
        <v>5</v>
      </c>
    </row>
    <row r="635" spans="1:7" x14ac:dyDescent="0.25">
      <c r="A635" t="s">
        <v>4</v>
      </c>
      <c r="B635">
        <v>633</v>
      </c>
      <c r="C635">
        <v>90</v>
      </c>
      <c r="D635">
        <v>3.534602165222168</v>
      </c>
      <c r="E635" t="s">
        <v>10</v>
      </c>
      <c r="F635" t="s">
        <v>15</v>
      </c>
      <c r="G635">
        <v>5</v>
      </c>
    </row>
    <row r="636" spans="1:7" x14ac:dyDescent="0.25">
      <c r="A636" t="s">
        <v>4</v>
      </c>
      <c r="B636">
        <v>634</v>
      </c>
      <c r="C636">
        <v>98</v>
      </c>
      <c r="D636">
        <v>5.2292635440826416</v>
      </c>
      <c r="E636" t="s">
        <v>10</v>
      </c>
      <c r="F636" t="s">
        <v>15</v>
      </c>
      <c r="G636">
        <v>5</v>
      </c>
    </row>
    <row r="637" spans="1:7" x14ac:dyDescent="0.25">
      <c r="A637" t="s">
        <v>4</v>
      </c>
      <c r="B637">
        <v>635</v>
      </c>
      <c r="C637">
        <v>85</v>
      </c>
      <c r="D637">
        <v>5.05025315284729</v>
      </c>
      <c r="E637" t="s">
        <v>10</v>
      </c>
      <c r="F637" t="s">
        <v>15</v>
      </c>
      <c r="G637">
        <v>5</v>
      </c>
    </row>
    <row r="638" spans="1:7" x14ac:dyDescent="0.25">
      <c r="A638" t="s">
        <v>4</v>
      </c>
      <c r="B638">
        <v>636</v>
      </c>
      <c r="C638">
        <v>77</v>
      </c>
      <c r="D638">
        <v>6.1608493328094482</v>
      </c>
      <c r="E638" t="s">
        <v>10</v>
      </c>
      <c r="F638" t="s">
        <v>14</v>
      </c>
      <c r="G638">
        <v>7.5</v>
      </c>
    </row>
    <row r="639" spans="1:7" x14ac:dyDescent="0.25">
      <c r="A639" t="s">
        <v>4</v>
      </c>
      <c r="B639">
        <v>637</v>
      </c>
      <c r="C639">
        <v>15</v>
      </c>
      <c r="D639">
        <v>10.679506063461304</v>
      </c>
      <c r="E639" t="s">
        <v>10</v>
      </c>
      <c r="F639" t="s">
        <v>14</v>
      </c>
      <c r="G639">
        <v>7.5</v>
      </c>
    </row>
    <row r="640" spans="1:7" x14ac:dyDescent="0.25">
      <c r="A640" t="s">
        <v>4</v>
      </c>
      <c r="B640">
        <v>638</v>
      </c>
      <c r="C640">
        <v>85</v>
      </c>
      <c r="D640">
        <v>6.2696678638458252</v>
      </c>
      <c r="E640" t="s">
        <v>10</v>
      </c>
      <c r="F640" t="s">
        <v>14</v>
      </c>
      <c r="G640">
        <v>7.5</v>
      </c>
    </row>
    <row r="641" spans="1:7" x14ac:dyDescent="0.25">
      <c r="A641" t="s">
        <v>4</v>
      </c>
      <c r="B641">
        <v>639</v>
      </c>
      <c r="C641">
        <v>88</v>
      </c>
      <c r="D641">
        <v>3.5632658004760742</v>
      </c>
      <c r="E641" t="s">
        <v>10</v>
      </c>
      <c r="F641" t="s">
        <v>14</v>
      </c>
      <c r="G641">
        <v>7.5</v>
      </c>
    </row>
    <row r="642" spans="1:7" x14ac:dyDescent="0.25">
      <c r="A642" t="s">
        <v>4</v>
      </c>
      <c r="B642">
        <v>640</v>
      </c>
      <c r="C642">
        <v>15</v>
      </c>
      <c r="D642">
        <v>3.9435527324676514</v>
      </c>
      <c r="E642" t="s">
        <v>10</v>
      </c>
      <c r="F642" t="s">
        <v>14</v>
      </c>
      <c r="G642">
        <v>7.5</v>
      </c>
    </row>
    <row r="643" spans="1:7" x14ac:dyDescent="0.25">
      <c r="A643" t="s">
        <v>4</v>
      </c>
      <c r="B643">
        <v>641</v>
      </c>
      <c r="C643">
        <v>24</v>
      </c>
      <c r="D643">
        <v>17.071307897567749</v>
      </c>
      <c r="E643" t="s">
        <v>10</v>
      </c>
      <c r="F643" t="s">
        <v>14</v>
      </c>
      <c r="G643">
        <v>7.5</v>
      </c>
    </row>
    <row r="644" spans="1:7" x14ac:dyDescent="0.25">
      <c r="A644" t="s">
        <v>4</v>
      </c>
      <c r="B644">
        <v>642</v>
      </c>
      <c r="C644">
        <v>89</v>
      </c>
      <c r="D644">
        <v>5.7714691162109375</v>
      </c>
      <c r="E644" t="s">
        <v>10</v>
      </c>
      <c r="F644" t="s">
        <v>14</v>
      </c>
      <c r="G644">
        <v>7.5</v>
      </c>
    </row>
    <row r="645" spans="1:7" x14ac:dyDescent="0.25">
      <c r="A645" t="s">
        <v>4</v>
      </c>
      <c r="B645">
        <v>643</v>
      </c>
      <c r="C645">
        <v>91</v>
      </c>
      <c r="D645">
        <v>11.292397737503052</v>
      </c>
      <c r="E645" t="s">
        <v>10</v>
      </c>
      <c r="F645" t="s">
        <v>12</v>
      </c>
      <c r="G645">
        <v>6.4</v>
      </c>
    </row>
    <row r="646" spans="1:7" x14ac:dyDescent="0.25">
      <c r="A646" t="s">
        <v>4</v>
      </c>
      <c r="B646">
        <v>644</v>
      </c>
      <c r="C646">
        <v>20</v>
      </c>
      <c r="D646">
        <v>3.8778312206268311</v>
      </c>
      <c r="E646" t="s">
        <v>10</v>
      </c>
      <c r="F646" t="s">
        <v>15</v>
      </c>
      <c r="G646">
        <v>7.8</v>
      </c>
    </row>
    <row r="647" spans="1:7" x14ac:dyDescent="0.25">
      <c r="A647" t="s">
        <v>4</v>
      </c>
      <c r="B647">
        <v>645</v>
      </c>
      <c r="C647">
        <v>90</v>
      </c>
      <c r="D647">
        <v>4.2547998428344727</v>
      </c>
      <c r="E647" t="s">
        <v>10</v>
      </c>
      <c r="F647" t="s">
        <v>16</v>
      </c>
      <c r="G647">
        <v>10</v>
      </c>
    </row>
    <row r="648" spans="1:7" x14ac:dyDescent="0.25">
      <c r="A648" t="s">
        <v>4</v>
      </c>
      <c r="B648">
        <v>646</v>
      </c>
      <c r="C648">
        <v>88</v>
      </c>
      <c r="D648">
        <v>3.4499857425689697</v>
      </c>
      <c r="E648" t="s">
        <v>10</v>
      </c>
      <c r="F648" t="s">
        <v>16</v>
      </c>
      <c r="G648">
        <v>10</v>
      </c>
    </row>
    <row r="649" spans="1:7" x14ac:dyDescent="0.25">
      <c r="A649" t="s">
        <v>4</v>
      </c>
      <c r="B649">
        <v>647</v>
      </c>
      <c r="C649">
        <v>80</v>
      </c>
      <c r="D649">
        <v>4.8521842956542969</v>
      </c>
      <c r="E649" t="s">
        <v>10</v>
      </c>
      <c r="F649" t="s">
        <v>16</v>
      </c>
      <c r="G649">
        <v>10</v>
      </c>
    </row>
    <row r="650" spans="1:7" x14ac:dyDescent="0.25">
      <c r="A650" t="s">
        <v>4</v>
      </c>
      <c r="B650">
        <v>648</v>
      </c>
      <c r="C650">
        <v>83</v>
      </c>
      <c r="D650">
        <v>9.6160094738006592</v>
      </c>
      <c r="E650" t="s">
        <v>10</v>
      </c>
      <c r="F650" t="s">
        <v>16</v>
      </c>
      <c r="G650">
        <v>10</v>
      </c>
    </row>
    <row r="651" spans="1:7" x14ac:dyDescent="0.25">
      <c r="A651" t="s">
        <v>4</v>
      </c>
      <c r="B651">
        <v>649</v>
      </c>
      <c r="C651">
        <v>79</v>
      </c>
      <c r="D651">
        <v>7.9837701320648193</v>
      </c>
      <c r="E651" t="s">
        <v>10</v>
      </c>
      <c r="F651" t="s">
        <v>16</v>
      </c>
      <c r="G651">
        <v>10</v>
      </c>
    </row>
    <row r="652" spans="1:7" x14ac:dyDescent="0.25">
      <c r="A652" t="s">
        <v>4</v>
      </c>
      <c r="B652">
        <v>650</v>
      </c>
      <c r="C652">
        <v>100</v>
      </c>
      <c r="D652">
        <v>6.4303536415100098</v>
      </c>
      <c r="E652" t="s">
        <v>10</v>
      </c>
      <c r="F652" t="s">
        <v>17</v>
      </c>
      <c r="G652">
        <v>2.6</v>
      </c>
    </row>
    <row r="653" spans="1:7" x14ac:dyDescent="0.25">
      <c r="A653" t="s">
        <v>4</v>
      </c>
      <c r="B653">
        <v>651</v>
      </c>
      <c r="C653">
        <v>65</v>
      </c>
      <c r="D653">
        <v>14.21257472038269</v>
      </c>
      <c r="E653" t="s">
        <v>10</v>
      </c>
      <c r="F653" t="s">
        <v>17</v>
      </c>
      <c r="G653">
        <v>2.6</v>
      </c>
    </row>
    <row r="654" spans="1:7" x14ac:dyDescent="0.25">
      <c r="A654" t="s">
        <v>4</v>
      </c>
      <c r="B654">
        <v>652</v>
      </c>
      <c r="C654">
        <v>34</v>
      </c>
      <c r="D654">
        <v>5.0480344295501709</v>
      </c>
      <c r="E654" t="s">
        <v>10</v>
      </c>
      <c r="F654" t="s">
        <v>29</v>
      </c>
      <c r="G654">
        <v>5</v>
      </c>
    </row>
    <row r="655" spans="1:7" x14ac:dyDescent="0.25">
      <c r="A655" t="s">
        <v>4</v>
      </c>
      <c r="B655">
        <v>653</v>
      </c>
      <c r="C655">
        <v>90</v>
      </c>
      <c r="D655">
        <v>4.4149117469787598</v>
      </c>
      <c r="E655" t="s">
        <v>10</v>
      </c>
      <c r="F655" t="s">
        <v>29</v>
      </c>
      <c r="G655">
        <v>5</v>
      </c>
    </row>
    <row r="656" spans="1:7" x14ac:dyDescent="0.25">
      <c r="A656" t="s">
        <v>4</v>
      </c>
      <c r="B656">
        <v>654</v>
      </c>
      <c r="C656">
        <v>83</v>
      </c>
      <c r="D656">
        <v>3.4472038745880127</v>
      </c>
      <c r="E656" t="s">
        <v>10</v>
      </c>
      <c r="F656" t="s">
        <v>22</v>
      </c>
      <c r="G656">
        <v>7.6</v>
      </c>
    </row>
    <row r="657" spans="1:7" x14ac:dyDescent="0.25">
      <c r="A657" t="s">
        <v>4</v>
      </c>
      <c r="B657">
        <v>655</v>
      </c>
      <c r="C657">
        <v>87</v>
      </c>
      <c r="D657">
        <v>16.688184499740601</v>
      </c>
      <c r="E657" t="s">
        <v>10</v>
      </c>
      <c r="F657" t="s">
        <v>14</v>
      </c>
      <c r="G657">
        <v>5</v>
      </c>
    </row>
    <row r="658" spans="1:7" x14ac:dyDescent="0.25">
      <c r="A658" t="s">
        <v>4</v>
      </c>
      <c r="B658">
        <v>656</v>
      </c>
      <c r="C658">
        <v>84</v>
      </c>
      <c r="D658">
        <v>14.219001054763794</v>
      </c>
      <c r="E658" t="s">
        <v>10</v>
      </c>
      <c r="F658" t="s">
        <v>17</v>
      </c>
      <c r="G658">
        <v>5</v>
      </c>
    </row>
    <row r="659" spans="1:7" x14ac:dyDescent="0.25">
      <c r="A659" t="s">
        <v>4</v>
      </c>
      <c r="B659">
        <v>657</v>
      </c>
      <c r="C659">
        <v>85</v>
      </c>
      <c r="D659">
        <v>3.0002117156982422</v>
      </c>
      <c r="E659" t="s">
        <v>10</v>
      </c>
      <c r="F659" t="s">
        <v>15</v>
      </c>
      <c r="G659">
        <v>6.8</v>
      </c>
    </row>
    <row r="660" spans="1:7" x14ac:dyDescent="0.25">
      <c r="A660" t="s">
        <v>4</v>
      </c>
      <c r="B660">
        <v>658</v>
      </c>
      <c r="C660">
        <v>30</v>
      </c>
      <c r="D660">
        <v>4.1110856533050537</v>
      </c>
      <c r="E660" t="s">
        <v>10</v>
      </c>
      <c r="F660" t="s">
        <v>21</v>
      </c>
      <c r="G660">
        <v>7.5</v>
      </c>
    </row>
    <row r="661" spans="1:7" x14ac:dyDescent="0.25">
      <c r="A661" t="s">
        <v>4</v>
      </c>
      <c r="B661">
        <v>659</v>
      </c>
      <c r="C661">
        <v>89</v>
      </c>
      <c r="D661">
        <v>2.8798413276672363</v>
      </c>
      <c r="E661" t="s">
        <v>10</v>
      </c>
      <c r="F661" t="s">
        <v>18</v>
      </c>
      <c r="G661">
        <v>9.3000000000000007</v>
      </c>
    </row>
    <row r="662" spans="1:7" x14ac:dyDescent="0.25">
      <c r="A662" t="s">
        <v>4</v>
      </c>
      <c r="B662">
        <v>660</v>
      </c>
      <c r="C662">
        <v>43</v>
      </c>
      <c r="D662">
        <v>5.3830437660217285</v>
      </c>
      <c r="E662" t="s">
        <v>10</v>
      </c>
      <c r="F662" t="s">
        <v>17</v>
      </c>
      <c r="G662">
        <v>5</v>
      </c>
    </row>
    <row r="663" spans="1:7" x14ac:dyDescent="0.25">
      <c r="A663" t="s">
        <v>4</v>
      </c>
      <c r="B663">
        <v>661</v>
      </c>
      <c r="C663">
        <v>70</v>
      </c>
      <c r="D663">
        <v>3.1821646690368652</v>
      </c>
      <c r="E663" t="s">
        <v>10</v>
      </c>
      <c r="F663" t="s">
        <v>17</v>
      </c>
      <c r="G663">
        <v>5</v>
      </c>
    </row>
    <row r="664" spans="1:7" x14ac:dyDescent="0.25">
      <c r="A664" t="s">
        <v>4</v>
      </c>
      <c r="B664">
        <v>662</v>
      </c>
      <c r="C664">
        <v>24</v>
      </c>
      <c r="D664">
        <v>296.42222499847412</v>
      </c>
      <c r="E664" t="s">
        <v>10</v>
      </c>
      <c r="F664" t="s">
        <v>17</v>
      </c>
      <c r="G664">
        <v>5</v>
      </c>
    </row>
    <row r="665" spans="1:7" x14ac:dyDescent="0.25">
      <c r="A665" t="s">
        <v>4</v>
      </c>
      <c r="B665">
        <v>663</v>
      </c>
      <c r="C665">
        <v>84</v>
      </c>
      <c r="D665">
        <v>4.0913794040679932</v>
      </c>
      <c r="E665" t="s">
        <v>10</v>
      </c>
      <c r="F665" t="s">
        <v>23</v>
      </c>
      <c r="G665">
        <v>7.5</v>
      </c>
    </row>
    <row r="666" spans="1:7" x14ac:dyDescent="0.25">
      <c r="A666" t="s">
        <v>4</v>
      </c>
      <c r="B666">
        <v>664</v>
      </c>
      <c r="C666">
        <v>98</v>
      </c>
      <c r="D666">
        <v>6.6014413833618164</v>
      </c>
      <c r="E666" t="s">
        <v>10</v>
      </c>
      <c r="F666" t="s">
        <v>23</v>
      </c>
      <c r="G666">
        <v>7.5</v>
      </c>
    </row>
    <row r="667" spans="1:7" x14ac:dyDescent="0.25">
      <c r="A667" t="s">
        <v>4</v>
      </c>
      <c r="B667">
        <v>665</v>
      </c>
      <c r="C667">
        <v>7</v>
      </c>
      <c r="D667">
        <v>16.400638580322266</v>
      </c>
      <c r="E667" t="s">
        <v>10</v>
      </c>
      <c r="F667" t="s">
        <v>23</v>
      </c>
      <c r="G667">
        <v>7.5</v>
      </c>
    </row>
    <row r="668" spans="1:7" x14ac:dyDescent="0.25">
      <c r="A668" t="s">
        <v>4</v>
      </c>
      <c r="B668">
        <v>666</v>
      </c>
      <c r="C668">
        <v>21</v>
      </c>
      <c r="D668">
        <v>9.4156160354614258</v>
      </c>
      <c r="E668" t="s">
        <v>10</v>
      </c>
      <c r="F668" t="s">
        <v>23</v>
      </c>
      <c r="G668">
        <v>7.5</v>
      </c>
    </row>
    <row r="669" spans="1:7" x14ac:dyDescent="0.25">
      <c r="A669" t="s">
        <v>4</v>
      </c>
      <c r="B669">
        <v>667</v>
      </c>
      <c r="C669">
        <v>100</v>
      </c>
      <c r="D669">
        <v>15.709907293319702</v>
      </c>
      <c r="E669" t="s">
        <v>10</v>
      </c>
      <c r="F669" t="s">
        <v>23</v>
      </c>
      <c r="G669">
        <v>7.5</v>
      </c>
    </row>
    <row r="670" spans="1:7" x14ac:dyDescent="0.25">
      <c r="A670" t="s">
        <v>4</v>
      </c>
      <c r="B670">
        <v>668</v>
      </c>
      <c r="C670">
        <v>97</v>
      </c>
      <c r="D670">
        <v>7.1944515705108643</v>
      </c>
      <c r="E670" t="s">
        <v>10</v>
      </c>
      <c r="F670" t="s">
        <v>36</v>
      </c>
      <c r="G670">
        <v>4.5999999999999996</v>
      </c>
    </row>
    <row r="671" spans="1:7" x14ac:dyDescent="0.25">
      <c r="A671" t="s">
        <v>4</v>
      </c>
      <c r="B671">
        <v>669</v>
      </c>
      <c r="C671">
        <v>87</v>
      </c>
      <c r="D671">
        <v>4.9726881980895996</v>
      </c>
      <c r="E671" t="s">
        <v>19</v>
      </c>
      <c r="F671" t="s">
        <v>17</v>
      </c>
      <c r="G671">
        <v>5</v>
      </c>
    </row>
    <row r="672" spans="1:7" x14ac:dyDescent="0.25">
      <c r="A672" t="s">
        <v>4</v>
      </c>
      <c r="B672">
        <v>670</v>
      </c>
      <c r="C672">
        <v>0</v>
      </c>
      <c r="D672">
        <v>17.75669264793396</v>
      </c>
      <c r="E672" t="s">
        <v>10</v>
      </c>
      <c r="F672" t="s">
        <v>21</v>
      </c>
      <c r="G672">
        <v>7.5</v>
      </c>
    </row>
    <row r="673" spans="1:7" x14ac:dyDescent="0.25">
      <c r="A673" t="s">
        <v>4</v>
      </c>
      <c r="B673">
        <v>671</v>
      </c>
      <c r="C673">
        <v>0</v>
      </c>
      <c r="D673">
        <v>13.462812185287476</v>
      </c>
      <c r="E673" t="s">
        <v>10</v>
      </c>
      <c r="F673" t="s">
        <v>15</v>
      </c>
      <c r="G673">
        <v>4.3</v>
      </c>
    </row>
    <row r="674" spans="1:7" x14ac:dyDescent="0.25">
      <c r="A674" t="s">
        <v>4</v>
      </c>
      <c r="B674">
        <v>672</v>
      </c>
      <c r="C674">
        <v>40</v>
      </c>
      <c r="D674">
        <v>7.7820179462432861</v>
      </c>
      <c r="E674" t="s">
        <v>10</v>
      </c>
      <c r="F674" t="s">
        <v>15</v>
      </c>
      <c r="G674">
        <v>1.9</v>
      </c>
    </row>
    <row r="675" spans="1:7" x14ac:dyDescent="0.25">
      <c r="A675" t="s">
        <v>4</v>
      </c>
      <c r="B675">
        <v>673</v>
      </c>
      <c r="C675">
        <v>40</v>
      </c>
      <c r="D675">
        <v>7.3162746429443359</v>
      </c>
      <c r="E675" t="s">
        <v>10</v>
      </c>
      <c r="F675" t="s">
        <v>13</v>
      </c>
      <c r="G675">
        <v>1.2</v>
      </c>
    </row>
    <row r="676" spans="1:7" x14ac:dyDescent="0.25">
      <c r="A676" t="s">
        <v>4</v>
      </c>
      <c r="B676">
        <v>674</v>
      </c>
      <c r="C676">
        <v>43</v>
      </c>
      <c r="D676">
        <v>9.2137892246246338</v>
      </c>
      <c r="E676" t="s">
        <v>10</v>
      </c>
      <c r="F676" t="s">
        <v>20</v>
      </c>
      <c r="G676">
        <v>7.5</v>
      </c>
    </row>
    <row r="677" spans="1:7" x14ac:dyDescent="0.25">
      <c r="A677" t="s">
        <v>4</v>
      </c>
      <c r="B677">
        <v>675</v>
      </c>
      <c r="C677">
        <v>83</v>
      </c>
      <c r="D677">
        <v>2.500063419342041</v>
      </c>
      <c r="E677" t="s">
        <v>10</v>
      </c>
      <c r="F677" t="s">
        <v>15</v>
      </c>
      <c r="G677">
        <v>4.9000000000000004</v>
      </c>
    </row>
    <row r="678" spans="1:7" x14ac:dyDescent="0.25">
      <c r="A678" t="s">
        <v>4</v>
      </c>
      <c r="B678">
        <v>676</v>
      </c>
      <c r="C678">
        <v>67</v>
      </c>
      <c r="D678">
        <v>3.1915397644042969</v>
      </c>
      <c r="E678" t="s">
        <v>10</v>
      </c>
      <c r="F678" t="s">
        <v>21</v>
      </c>
      <c r="G678">
        <v>7.5</v>
      </c>
    </row>
    <row r="679" spans="1:7" x14ac:dyDescent="0.25">
      <c r="A679" t="s">
        <v>4</v>
      </c>
      <c r="B679">
        <v>677</v>
      </c>
      <c r="C679">
        <v>88</v>
      </c>
      <c r="D679">
        <v>9.4182531833648682</v>
      </c>
      <c r="E679" t="s">
        <v>10</v>
      </c>
      <c r="F679" t="s">
        <v>20</v>
      </c>
      <c r="G679">
        <v>6.8</v>
      </c>
    </row>
    <row r="680" spans="1:7" x14ac:dyDescent="0.25">
      <c r="A680" t="s">
        <v>4</v>
      </c>
      <c r="B680">
        <v>678</v>
      </c>
      <c r="C680">
        <v>30</v>
      </c>
      <c r="D680">
        <v>8.1015455722808838</v>
      </c>
      <c r="E680" t="s">
        <v>10</v>
      </c>
      <c r="F680" t="s">
        <v>15</v>
      </c>
      <c r="G680">
        <v>4.3</v>
      </c>
    </row>
    <row r="681" spans="1:7" x14ac:dyDescent="0.25">
      <c r="A681" t="s">
        <v>4</v>
      </c>
      <c r="B681">
        <v>679</v>
      </c>
      <c r="C681">
        <v>32</v>
      </c>
      <c r="D681">
        <v>4.9515306949615479</v>
      </c>
      <c r="E681" t="s">
        <v>10</v>
      </c>
      <c r="F681" t="s">
        <v>15</v>
      </c>
      <c r="G681">
        <v>4.3</v>
      </c>
    </row>
    <row r="682" spans="1:7" x14ac:dyDescent="0.25">
      <c r="A682" t="s">
        <v>4</v>
      </c>
      <c r="B682">
        <v>680</v>
      </c>
      <c r="C682">
        <v>83</v>
      </c>
      <c r="D682">
        <v>4.5228216648101807</v>
      </c>
      <c r="E682" t="s">
        <v>10</v>
      </c>
      <c r="F682" t="s">
        <v>20</v>
      </c>
      <c r="G682">
        <v>6.8</v>
      </c>
    </row>
    <row r="683" spans="1:7" x14ac:dyDescent="0.25">
      <c r="A683" t="s">
        <v>4</v>
      </c>
      <c r="B683">
        <v>681</v>
      </c>
      <c r="C683">
        <v>14</v>
      </c>
      <c r="D683">
        <v>3.4901387691497803</v>
      </c>
      <c r="E683" t="s">
        <v>10</v>
      </c>
      <c r="F683" t="s">
        <v>15</v>
      </c>
      <c r="G683">
        <v>4.3</v>
      </c>
    </row>
    <row r="684" spans="1:7" x14ac:dyDescent="0.25">
      <c r="A684" t="s">
        <v>4</v>
      </c>
      <c r="B684">
        <v>682</v>
      </c>
      <c r="C684">
        <v>70</v>
      </c>
      <c r="D684">
        <v>7.5559515953063965</v>
      </c>
      <c r="E684" t="s">
        <v>10</v>
      </c>
      <c r="F684" t="s">
        <v>20</v>
      </c>
      <c r="G684">
        <v>9.3000000000000007</v>
      </c>
    </row>
    <row r="685" spans="1:7" x14ac:dyDescent="0.25">
      <c r="A685" t="s">
        <v>4</v>
      </c>
      <c r="B685">
        <v>683</v>
      </c>
      <c r="C685">
        <v>99</v>
      </c>
      <c r="D685">
        <v>11.158386707305908</v>
      </c>
      <c r="E685" t="s">
        <v>10</v>
      </c>
      <c r="F685" t="s">
        <v>15</v>
      </c>
      <c r="G685">
        <v>7.8</v>
      </c>
    </row>
    <row r="686" spans="1:7" x14ac:dyDescent="0.25">
      <c r="A686" t="s">
        <v>4</v>
      </c>
      <c r="B686">
        <v>684</v>
      </c>
      <c r="C686">
        <v>60</v>
      </c>
      <c r="D686">
        <v>3.8384664058685303</v>
      </c>
      <c r="E686" t="s">
        <v>10</v>
      </c>
      <c r="F686" t="s">
        <v>15</v>
      </c>
      <c r="G686">
        <v>7.8</v>
      </c>
    </row>
    <row r="687" spans="1:7" x14ac:dyDescent="0.25">
      <c r="A687" t="s">
        <v>4</v>
      </c>
      <c r="B687">
        <v>685</v>
      </c>
      <c r="C687">
        <v>83</v>
      </c>
      <c r="D687">
        <v>2.7953569889068604</v>
      </c>
      <c r="E687" t="s">
        <v>10</v>
      </c>
      <c r="F687" t="s">
        <v>15</v>
      </c>
      <c r="G687">
        <v>7.8</v>
      </c>
    </row>
    <row r="688" spans="1:7" x14ac:dyDescent="0.25">
      <c r="A688" t="s">
        <v>4</v>
      </c>
      <c r="B688">
        <v>686</v>
      </c>
      <c r="C688">
        <v>89</v>
      </c>
      <c r="D688">
        <v>3.1813337802886963</v>
      </c>
      <c r="E688" t="s">
        <v>10</v>
      </c>
      <c r="F688" t="s">
        <v>29</v>
      </c>
      <c r="G688">
        <v>5</v>
      </c>
    </row>
    <row r="689" spans="1:7" x14ac:dyDescent="0.25">
      <c r="A689" t="s">
        <v>4</v>
      </c>
      <c r="B689">
        <v>687</v>
      </c>
      <c r="C689">
        <v>21</v>
      </c>
      <c r="D689">
        <v>6.7246353626251221</v>
      </c>
      <c r="E689" t="s">
        <v>10</v>
      </c>
      <c r="F689" t="s">
        <v>17</v>
      </c>
      <c r="G689">
        <v>5</v>
      </c>
    </row>
    <row r="690" spans="1:7" x14ac:dyDescent="0.25">
      <c r="A690" t="s">
        <v>4</v>
      </c>
      <c r="B690">
        <v>688</v>
      </c>
      <c r="C690">
        <v>43</v>
      </c>
      <c r="D690">
        <v>9.0818562507629395</v>
      </c>
      <c r="E690" t="s">
        <v>10</v>
      </c>
      <c r="F690" t="s">
        <v>17</v>
      </c>
      <c r="G690">
        <v>5</v>
      </c>
    </row>
    <row r="691" spans="1:7" x14ac:dyDescent="0.25">
      <c r="A691" t="s">
        <v>4</v>
      </c>
      <c r="B691">
        <v>689</v>
      </c>
      <c r="C691">
        <v>34</v>
      </c>
      <c r="D691">
        <v>7.7120513916015625</v>
      </c>
      <c r="E691" t="s">
        <v>10</v>
      </c>
      <c r="F691" t="s">
        <v>30</v>
      </c>
      <c r="G691">
        <v>10</v>
      </c>
    </row>
    <row r="692" spans="1:7" x14ac:dyDescent="0.25">
      <c r="A692" t="s">
        <v>4</v>
      </c>
      <c r="B692">
        <v>690</v>
      </c>
      <c r="C692">
        <v>42</v>
      </c>
      <c r="D692">
        <v>5.6239726543426514</v>
      </c>
      <c r="E692" t="s">
        <v>10</v>
      </c>
      <c r="F692" t="s">
        <v>17</v>
      </c>
      <c r="G692">
        <v>1.9</v>
      </c>
    </row>
    <row r="693" spans="1:7" x14ac:dyDescent="0.25">
      <c r="A693" t="s">
        <v>4</v>
      </c>
      <c r="B693">
        <v>691</v>
      </c>
      <c r="C693">
        <v>99</v>
      </c>
      <c r="D693">
        <v>6.9957466125488281</v>
      </c>
      <c r="E693" t="s">
        <v>10</v>
      </c>
      <c r="F693" t="s">
        <v>17</v>
      </c>
      <c r="G693">
        <v>2.6</v>
      </c>
    </row>
    <row r="694" spans="1:7" x14ac:dyDescent="0.25">
      <c r="A694" t="s">
        <v>4</v>
      </c>
      <c r="B694">
        <v>692</v>
      </c>
      <c r="C694">
        <v>80</v>
      </c>
      <c r="D694">
        <v>5.3125514984130859</v>
      </c>
      <c r="E694" t="s">
        <v>10</v>
      </c>
      <c r="F694" t="s">
        <v>17</v>
      </c>
      <c r="G694">
        <v>2.6</v>
      </c>
    </row>
    <row r="695" spans="1:7" x14ac:dyDescent="0.25">
      <c r="A695" t="s">
        <v>4</v>
      </c>
      <c r="B695">
        <v>693</v>
      </c>
      <c r="C695">
        <v>65</v>
      </c>
      <c r="D695">
        <v>9.8049061298370361</v>
      </c>
      <c r="E695" t="s">
        <v>10</v>
      </c>
      <c r="F695" t="s">
        <v>17</v>
      </c>
      <c r="G695">
        <v>2.6</v>
      </c>
    </row>
    <row r="696" spans="1:7" x14ac:dyDescent="0.25">
      <c r="A696" t="s">
        <v>4</v>
      </c>
      <c r="B696">
        <v>694</v>
      </c>
      <c r="C696">
        <v>90</v>
      </c>
      <c r="D696">
        <v>3.320483922958374</v>
      </c>
      <c r="E696" t="s">
        <v>10</v>
      </c>
      <c r="F696" t="s">
        <v>17</v>
      </c>
      <c r="G696">
        <v>2.6</v>
      </c>
    </row>
    <row r="697" spans="1:7" x14ac:dyDescent="0.25">
      <c r="A697" t="s">
        <v>4</v>
      </c>
      <c r="B697">
        <v>695</v>
      </c>
      <c r="C697">
        <v>14</v>
      </c>
      <c r="D697">
        <v>2.7077157497406006</v>
      </c>
      <c r="E697" t="s">
        <v>10</v>
      </c>
      <c r="F697" t="s">
        <v>15</v>
      </c>
      <c r="G697">
        <v>7.5</v>
      </c>
    </row>
    <row r="698" spans="1:7" x14ac:dyDescent="0.25">
      <c r="A698" t="s">
        <v>4</v>
      </c>
      <c r="B698">
        <v>696</v>
      </c>
      <c r="C698">
        <v>90</v>
      </c>
      <c r="D698">
        <v>4.1986496448516846</v>
      </c>
      <c r="E698" t="s">
        <v>10</v>
      </c>
      <c r="F698" t="s">
        <v>15</v>
      </c>
      <c r="G698">
        <v>4.3</v>
      </c>
    </row>
    <row r="699" spans="1:7" x14ac:dyDescent="0.25">
      <c r="A699" t="s">
        <v>4</v>
      </c>
      <c r="B699">
        <v>697</v>
      </c>
      <c r="C699">
        <v>4</v>
      </c>
      <c r="D699">
        <v>13.203509569168091</v>
      </c>
      <c r="E699" t="s">
        <v>10</v>
      </c>
      <c r="F699" t="s">
        <v>15</v>
      </c>
      <c r="G699">
        <v>4.3</v>
      </c>
    </row>
    <row r="700" spans="1:7" x14ac:dyDescent="0.25">
      <c r="A700" t="s">
        <v>4</v>
      </c>
      <c r="B700">
        <v>698</v>
      </c>
      <c r="C700">
        <v>80</v>
      </c>
      <c r="D700">
        <v>8.5336291790008545</v>
      </c>
      <c r="E700" t="s">
        <v>10</v>
      </c>
      <c r="F700" t="s">
        <v>15</v>
      </c>
      <c r="G700">
        <v>5</v>
      </c>
    </row>
    <row r="701" spans="1:7" x14ac:dyDescent="0.25">
      <c r="A701" t="s">
        <v>4</v>
      </c>
      <c r="B701">
        <v>699</v>
      </c>
      <c r="C701">
        <v>100</v>
      </c>
      <c r="D701">
        <v>17.110994577407837</v>
      </c>
      <c r="E701" t="s">
        <v>10</v>
      </c>
      <c r="F701" t="s">
        <v>18</v>
      </c>
      <c r="G701">
        <v>6.8</v>
      </c>
    </row>
    <row r="702" spans="1:7" x14ac:dyDescent="0.25">
      <c r="A702" t="s">
        <v>4</v>
      </c>
      <c r="B702">
        <v>700</v>
      </c>
      <c r="C702">
        <v>97</v>
      </c>
      <c r="D702">
        <v>3.7873716354370117</v>
      </c>
      <c r="E702" t="s">
        <v>10</v>
      </c>
      <c r="F702" t="s">
        <v>38</v>
      </c>
      <c r="G702">
        <v>4.3</v>
      </c>
    </row>
    <row r="703" spans="1:7" x14ac:dyDescent="0.25">
      <c r="A703" t="s">
        <v>4</v>
      </c>
      <c r="B703">
        <v>701</v>
      </c>
      <c r="C703">
        <v>45</v>
      </c>
      <c r="D703">
        <v>5.1172003746032715</v>
      </c>
      <c r="E703" t="s">
        <v>10</v>
      </c>
      <c r="F703" t="s">
        <v>22</v>
      </c>
      <c r="G703">
        <v>6.8</v>
      </c>
    </row>
    <row r="704" spans="1:7" x14ac:dyDescent="0.25">
      <c r="A704" t="s">
        <v>4</v>
      </c>
      <c r="B704">
        <v>702</v>
      </c>
      <c r="C704">
        <v>85</v>
      </c>
      <c r="D704">
        <v>5.2838065624237061</v>
      </c>
      <c r="E704" t="s">
        <v>10</v>
      </c>
      <c r="F704" t="s">
        <v>22</v>
      </c>
      <c r="G704">
        <v>6.8</v>
      </c>
    </row>
    <row r="705" spans="1:7" x14ac:dyDescent="0.25">
      <c r="A705" t="s">
        <v>4</v>
      </c>
      <c r="B705">
        <v>703</v>
      </c>
      <c r="C705">
        <v>75</v>
      </c>
      <c r="D705">
        <v>4.0581488609313965</v>
      </c>
      <c r="E705" t="s">
        <v>10</v>
      </c>
      <c r="F705" t="s">
        <v>22</v>
      </c>
      <c r="G705">
        <v>6.8</v>
      </c>
    </row>
    <row r="706" spans="1:7" x14ac:dyDescent="0.25">
      <c r="A706" t="s">
        <v>4</v>
      </c>
      <c r="B706">
        <v>704</v>
      </c>
      <c r="C706">
        <v>98</v>
      </c>
      <c r="D706">
        <v>10.515266895294189</v>
      </c>
      <c r="E706" t="s">
        <v>10</v>
      </c>
      <c r="F706" t="s">
        <v>15</v>
      </c>
      <c r="G706">
        <v>3.6</v>
      </c>
    </row>
    <row r="707" spans="1:7" x14ac:dyDescent="0.25">
      <c r="A707" t="s">
        <v>4</v>
      </c>
      <c r="B707">
        <v>705</v>
      </c>
      <c r="C707">
        <v>70</v>
      </c>
      <c r="D707">
        <v>2.8880748748779297</v>
      </c>
      <c r="E707" t="s">
        <v>10</v>
      </c>
      <c r="F707" t="s">
        <v>18</v>
      </c>
      <c r="G707">
        <v>8.5</v>
      </c>
    </row>
    <row r="708" spans="1:7" x14ac:dyDescent="0.25">
      <c r="A708" t="s">
        <v>4</v>
      </c>
      <c r="B708">
        <v>706</v>
      </c>
      <c r="C708">
        <v>100</v>
      </c>
      <c r="D708">
        <v>3.1863846778869629</v>
      </c>
      <c r="E708" t="s">
        <v>10</v>
      </c>
      <c r="F708" t="s">
        <v>18</v>
      </c>
      <c r="G708">
        <v>8.5</v>
      </c>
    </row>
    <row r="709" spans="1:7" x14ac:dyDescent="0.25">
      <c r="A709" t="s">
        <v>4</v>
      </c>
      <c r="B709">
        <v>707</v>
      </c>
      <c r="C709">
        <v>15</v>
      </c>
      <c r="D709">
        <v>3.3464975357055664</v>
      </c>
      <c r="E709" t="s">
        <v>10</v>
      </c>
      <c r="F709" t="s">
        <v>18</v>
      </c>
      <c r="G709">
        <v>8.5</v>
      </c>
    </row>
    <row r="710" spans="1:7" x14ac:dyDescent="0.25">
      <c r="A710" t="s">
        <v>4</v>
      </c>
      <c r="B710">
        <v>708</v>
      </c>
      <c r="C710">
        <v>40</v>
      </c>
      <c r="D710">
        <v>4.1849522590637207</v>
      </c>
      <c r="E710" t="s">
        <v>10</v>
      </c>
      <c r="F710" t="s">
        <v>13</v>
      </c>
      <c r="G710">
        <v>5</v>
      </c>
    </row>
    <row r="711" spans="1:7" x14ac:dyDescent="0.25">
      <c r="A711" t="s">
        <v>4</v>
      </c>
      <c r="B711">
        <v>709</v>
      </c>
      <c r="C711">
        <v>80</v>
      </c>
      <c r="D711">
        <v>2.5755524635314941</v>
      </c>
      <c r="E711" t="s">
        <v>10</v>
      </c>
      <c r="F711" t="s">
        <v>13</v>
      </c>
      <c r="G711">
        <v>6.8</v>
      </c>
    </row>
    <row r="712" spans="1:7" x14ac:dyDescent="0.25">
      <c r="A712" t="s">
        <v>4</v>
      </c>
      <c r="B712">
        <v>710</v>
      </c>
      <c r="C712">
        <v>90</v>
      </c>
      <c r="D712">
        <v>3.3544890880584717</v>
      </c>
      <c r="E712" t="s">
        <v>10</v>
      </c>
      <c r="F712" t="s">
        <v>13</v>
      </c>
      <c r="G712">
        <v>4.3</v>
      </c>
    </row>
    <row r="713" spans="1:7" x14ac:dyDescent="0.25">
      <c r="A713" t="s">
        <v>4</v>
      </c>
      <c r="B713">
        <v>711</v>
      </c>
      <c r="C713">
        <v>40</v>
      </c>
      <c r="D713">
        <v>4.8197944164276123</v>
      </c>
      <c r="E713" t="s">
        <v>10</v>
      </c>
      <c r="F713" t="s">
        <v>13</v>
      </c>
      <c r="G713">
        <v>4.3</v>
      </c>
    </row>
    <row r="714" spans="1:7" x14ac:dyDescent="0.25">
      <c r="A714" t="s">
        <v>4</v>
      </c>
      <c r="B714">
        <v>712</v>
      </c>
      <c r="C714">
        <v>99</v>
      </c>
      <c r="D714">
        <v>4.7290117740631104</v>
      </c>
      <c r="E714" t="s">
        <v>10</v>
      </c>
      <c r="F714" t="s">
        <v>13</v>
      </c>
      <c r="G714">
        <v>2.1</v>
      </c>
    </row>
    <row r="715" spans="1:7" x14ac:dyDescent="0.25">
      <c r="A715" t="s">
        <v>4</v>
      </c>
      <c r="B715">
        <v>713</v>
      </c>
      <c r="C715">
        <v>93</v>
      </c>
      <c r="D715">
        <v>5.9646062850952148</v>
      </c>
      <c r="E715" t="s">
        <v>10</v>
      </c>
      <c r="F715" t="s">
        <v>13</v>
      </c>
      <c r="G715">
        <v>2.1</v>
      </c>
    </row>
    <row r="716" spans="1:7" x14ac:dyDescent="0.25">
      <c r="A716" t="s">
        <v>4</v>
      </c>
      <c r="B716">
        <v>714</v>
      </c>
      <c r="C716">
        <v>0</v>
      </c>
      <c r="D716">
        <v>3.2792577743530273</v>
      </c>
      <c r="E716" t="s">
        <v>10</v>
      </c>
      <c r="F716" t="s">
        <v>14</v>
      </c>
      <c r="G716">
        <v>4.3</v>
      </c>
    </row>
    <row r="717" spans="1:7" x14ac:dyDescent="0.25">
      <c r="A717" t="s">
        <v>4</v>
      </c>
      <c r="B717">
        <v>715</v>
      </c>
      <c r="C717">
        <v>89</v>
      </c>
      <c r="D717">
        <v>14.779438257217407</v>
      </c>
      <c r="E717" t="s">
        <v>10</v>
      </c>
      <c r="F717" t="s">
        <v>15</v>
      </c>
      <c r="G717">
        <v>4.9000000000000004</v>
      </c>
    </row>
    <row r="718" spans="1:7" x14ac:dyDescent="0.25">
      <c r="A718" t="s">
        <v>4</v>
      </c>
      <c r="B718">
        <v>716</v>
      </c>
      <c r="C718">
        <v>83</v>
      </c>
      <c r="D718">
        <v>7.4759347438812256</v>
      </c>
      <c r="E718" t="s">
        <v>10</v>
      </c>
      <c r="F718" t="s">
        <v>17</v>
      </c>
      <c r="G718">
        <v>5.8</v>
      </c>
    </row>
    <row r="719" spans="1:7" x14ac:dyDescent="0.25">
      <c r="A719" t="s">
        <v>4</v>
      </c>
      <c r="B719">
        <v>717</v>
      </c>
      <c r="C719">
        <v>78</v>
      </c>
      <c r="D719">
        <v>6.5616719722747803</v>
      </c>
      <c r="E719" t="s">
        <v>10</v>
      </c>
      <c r="F719" t="s">
        <v>17</v>
      </c>
      <c r="G719">
        <v>5.8</v>
      </c>
    </row>
    <row r="720" spans="1:7" x14ac:dyDescent="0.25">
      <c r="A720" t="s">
        <v>4</v>
      </c>
      <c r="B720">
        <v>718</v>
      </c>
      <c r="C720">
        <v>84</v>
      </c>
      <c r="D720">
        <v>8.6725506782531738</v>
      </c>
      <c r="E720" t="s">
        <v>10</v>
      </c>
      <c r="F720" t="s">
        <v>15</v>
      </c>
      <c r="G720">
        <v>4.3</v>
      </c>
    </row>
    <row r="721" spans="1:7" x14ac:dyDescent="0.25">
      <c r="A721" t="s">
        <v>4</v>
      </c>
      <c r="B721">
        <v>719</v>
      </c>
      <c r="C721">
        <v>89</v>
      </c>
      <c r="D721">
        <v>13.008250713348389</v>
      </c>
      <c r="E721" t="s">
        <v>10</v>
      </c>
      <c r="F721" t="s">
        <v>28</v>
      </c>
      <c r="G721">
        <v>7.2</v>
      </c>
    </row>
    <row r="722" spans="1:7" x14ac:dyDescent="0.25">
      <c r="A722" t="s">
        <v>4</v>
      </c>
      <c r="B722">
        <v>720</v>
      </c>
      <c r="C722">
        <v>98</v>
      </c>
      <c r="D722">
        <v>4.9526002407073975</v>
      </c>
      <c r="E722" t="s">
        <v>10</v>
      </c>
      <c r="F722" t="s">
        <v>20</v>
      </c>
      <c r="G722">
        <v>6.8</v>
      </c>
    </row>
    <row r="723" spans="1:7" x14ac:dyDescent="0.25">
      <c r="A723" t="s">
        <v>4</v>
      </c>
      <c r="B723">
        <v>721</v>
      </c>
      <c r="C723">
        <v>70</v>
      </c>
      <c r="D723">
        <v>6.1355404853820801</v>
      </c>
      <c r="E723" t="s">
        <v>10</v>
      </c>
      <c r="F723" t="s">
        <v>23</v>
      </c>
      <c r="G723">
        <v>7.5</v>
      </c>
    </row>
    <row r="724" spans="1:7" x14ac:dyDescent="0.25">
      <c r="A724" t="s">
        <v>4</v>
      </c>
      <c r="B724">
        <v>722</v>
      </c>
      <c r="C724">
        <v>21</v>
      </c>
      <c r="D724">
        <v>13.115073442459106</v>
      </c>
      <c r="E724" t="s">
        <v>10</v>
      </c>
      <c r="F724" t="s">
        <v>20</v>
      </c>
      <c r="G724">
        <v>6.8</v>
      </c>
    </row>
    <row r="725" spans="1:7" x14ac:dyDescent="0.25">
      <c r="A725" t="s">
        <v>4</v>
      </c>
      <c r="B725">
        <v>723</v>
      </c>
      <c r="C725">
        <v>86</v>
      </c>
      <c r="D725">
        <v>4.9528229236602783</v>
      </c>
      <c r="E725" t="s">
        <v>10</v>
      </c>
      <c r="F725" t="s">
        <v>17</v>
      </c>
      <c r="G725">
        <v>3.6</v>
      </c>
    </row>
    <row r="726" spans="1:7" x14ac:dyDescent="0.25">
      <c r="A726" t="s">
        <v>4</v>
      </c>
      <c r="B726">
        <v>724</v>
      </c>
      <c r="C726">
        <v>87</v>
      </c>
      <c r="D726">
        <v>8.0576250553131104</v>
      </c>
      <c r="E726" t="s">
        <v>10</v>
      </c>
      <c r="F726" t="s">
        <v>17</v>
      </c>
      <c r="G726">
        <v>3.6</v>
      </c>
    </row>
    <row r="727" spans="1:7" x14ac:dyDescent="0.25">
      <c r="A727" t="s">
        <v>4</v>
      </c>
      <c r="B727">
        <v>725</v>
      </c>
      <c r="C727">
        <v>90</v>
      </c>
      <c r="D727">
        <v>4.1948904991149902</v>
      </c>
      <c r="E727" t="s">
        <v>10</v>
      </c>
      <c r="F727" t="s">
        <v>17</v>
      </c>
      <c r="G727">
        <v>3.6</v>
      </c>
    </row>
    <row r="728" spans="1:7" x14ac:dyDescent="0.25">
      <c r="A728" t="s">
        <v>4</v>
      </c>
      <c r="B728">
        <v>726</v>
      </c>
      <c r="C728">
        <v>100</v>
      </c>
      <c r="D728">
        <v>5.305011510848999</v>
      </c>
      <c r="E728" t="s">
        <v>10</v>
      </c>
      <c r="F728" t="s">
        <v>15</v>
      </c>
      <c r="G728">
        <v>10</v>
      </c>
    </row>
    <row r="729" spans="1:7" x14ac:dyDescent="0.25">
      <c r="A729" t="s">
        <v>4</v>
      </c>
      <c r="B729">
        <v>727</v>
      </c>
      <c r="C729">
        <v>58</v>
      </c>
      <c r="D729">
        <v>10.173841238021851</v>
      </c>
      <c r="E729" t="s">
        <v>10</v>
      </c>
      <c r="F729" t="s">
        <v>15</v>
      </c>
      <c r="G729">
        <v>10</v>
      </c>
    </row>
    <row r="730" spans="1:7" x14ac:dyDescent="0.25">
      <c r="A730" t="s">
        <v>4</v>
      </c>
      <c r="B730">
        <v>728</v>
      </c>
      <c r="C730">
        <v>29</v>
      </c>
      <c r="D730">
        <v>3.4258043766021729</v>
      </c>
      <c r="E730" t="s">
        <v>10</v>
      </c>
      <c r="F730" t="s">
        <v>15</v>
      </c>
      <c r="G730">
        <v>10</v>
      </c>
    </row>
    <row r="731" spans="1:7" x14ac:dyDescent="0.25">
      <c r="A731" t="s">
        <v>4</v>
      </c>
      <c r="B731">
        <v>729</v>
      </c>
      <c r="C731">
        <v>70</v>
      </c>
      <c r="D731">
        <v>3.077908992767334</v>
      </c>
      <c r="E731" t="s">
        <v>10</v>
      </c>
      <c r="F731" t="s">
        <v>15</v>
      </c>
      <c r="G731">
        <v>10</v>
      </c>
    </row>
    <row r="732" spans="1:7" x14ac:dyDescent="0.25">
      <c r="A732" t="s">
        <v>4</v>
      </c>
      <c r="B732">
        <v>730</v>
      </c>
      <c r="C732">
        <v>34</v>
      </c>
      <c r="D732">
        <v>9.5891358852386475</v>
      </c>
      <c r="E732" t="s">
        <v>10</v>
      </c>
      <c r="F732" t="s">
        <v>15</v>
      </c>
      <c r="G732">
        <v>10</v>
      </c>
    </row>
    <row r="733" spans="1:7" x14ac:dyDescent="0.25">
      <c r="A733" t="s">
        <v>4</v>
      </c>
      <c r="B733">
        <v>731</v>
      </c>
      <c r="C733">
        <v>10</v>
      </c>
      <c r="D733">
        <v>2.5941309928894043</v>
      </c>
      <c r="E733" t="s">
        <v>10</v>
      </c>
      <c r="F733" t="s">
        <v>15</v>
      </c>
      <c r="G733">
        <v>10</v>
      </c>
    </row>
    <row r="734" spans="1:7" x14ac:dyDescent="0.25">
      <c r="A734" t="s">
        <v>4</v>
      </c>
      <c r="B734">
        <v>732</v>
      </c>
      <c r="C734">
        <v>30</v>
      </c>
      <c r="D734">
        <v>5.2246725559234619</v>
      </c>
      <c r="E734" t="s">
        <v>10</v>
      </c>
      <c r="F734" t="s">
        <v>15</v>
      </c>
      <c r="G734">
        <v>10</v>
      </c>
    </row>
    <row r="735" spans="1:7" x14ac:dyDescent="0.25">
      <c r="A735" t="s">
        <v>4</v>
      </c>
      <c r="B735">
        <v>733</v>
      </c>
      <c r="C735">
        <v>14</v>
      </c>
      <c r="D735">
        <v>21.860727071762085</v>
      </c>
      <c r="E735" t="s">
        <v>10</v>
      </c>
      <c r="F735" t="s">
        <v>15</v>
      </c>
      <c r="G735">
        <v>10</v>
      </c>
    </row>
    <row r="736" spans="1:7" x14ac:dyDescent="0.25">
      <c r="A736" t="s">
        <v>4</v>
      </c>
      <c r="B736">
        <v>734</v>
      </c>
      <c r="C736">
        <v>23</v>
      </c>
      <c r="D736">
        <v>19.659773349761963</v>
      </c>
      <c r="E736" t="s">
        <v>10</v>
      </c>
      <c r="F736" t="s">
        <v>15</v>
      </c>
      <c r="G736">
        <v>4.3</v>
      </c>
    </row>
    <row r="737" spans="1:7" x14ac:dyDescent="0.25">
      <c r="A737" t="s">
        <v>4</v>
      </c>
      <c r="B737">
        <v>735</v>
      </c>
      <c r="C737">
        <v>48</v>
      </c>
      <c r="D737">
        <v>11.965381145477295</v>
      </c>
      <c r="E737" t="s">
        <v>19</v>
      </c>
      <c r="F737" t="s">
        <v>14</v>
      </c>
      <c r="G737">
        <v>5</v>
      </c>
    </row>
    <row r="738" spans="1:7" x14ac:dyDescent="0.25">
      <c r="A738" t="s">
        <v>4</v>
      </c>
      <c r="B738">
        <v>736</v>
      </c>
      <c r="C738">
        <v>83</v>
      </c>
      <c r="D738">
        <v>12.378939628601074</v>
      </c>
      <c r="E738" t="s">
        <v>10</v>
      </c>
      <c r="F738" t="s">
        <v>15</v>
      </c>
      <c r="G738">
        <v>5</v>
      </c>
    </row>
    <row r="739" spans="1:7" x14ac:dyDescent="0.25">
      <c r="A739" t="s">
        <v>4</v>
      </c>
      <c r="B739">
        <v>737</v>
      </c>
      <c r="C739">
        <v>30</v>
      </c>
      <c r="D739">
        <v>5.3509821891784668</v>
      </c>
      <c r="E739" t="s">
        <v>10</v>
      </c>
      <c r="F739" t="s">
        <v>23</v>
      </c>
      <c r="G739">
        <v>7.5</v>
      </c>
    </row>
    <row r="740" spans="1:7" x14ac:dyDescent="0.25">
      <c r="A740" t="s">
        <v>4</v>
      </c>
      <c r="B740">
        <v>738</v>
      </c>
      <c r="C740">
        <v>86</v>
      </c>
      <c r="D740">
        <v>4.0150415897369385</v>
      </c>
      <c r="E740" t="s">
        <v>10</v>
      </c>
      <c r="F740" t="s">
        <v>22</v>
      </c>
      <c r="G740">
        <v>10</v>
      </c>
    </row>
    <row r="741" spans="1:7" x14ac:dyDescent="0.25">
      <c r="A741" t="s">
        <v>4</v>
      </c>
      <c r="B741">
        <v>739</v>
      </c>
      <c r="C741">
        <v>97</v>
      </c>
      <c r="D741">
        <v>3.0515997409820557</v>
      </c>
      <c r="E741" t="s">
        <v>10</v>
      </c>
      <c r="F741" t="s">
        <v>18</v>
      </c>
      <c r="G741">
        <v>10</v>
      </c>
    </row>
    <row r="742" spans="1:7" x14ac:dyDescent="0.25">
      <c r="A742" t="s">
        <v>4</v>
      </c>
      <c r="B742">
        <v>740</v>
      </c>
      <c r="C742">
        <v>89</v>
      </c>
      <c r="D742">
        <v>3.2818701267242432</v>
      </c>
      <c r="E742" t="s">
        <v>10</v>
      </c>
      <c r="F742" t="s">
        <v>18</v>
      </c>
      <c r="G742">
        <v>10</v>
      </c>
    </row>
    <row r="743" spans="1:7" x14ac:dyDescent="0.25">
      <c r="A743" t="s">
        <v>4</v>
      </c>
      <c r="B743">
        <v>741</v>
      </c>
      <c r="C743">
        <v>23</v>
      </c>
      <c r="D743">
        <v>5.4338588714599609</v>
      </c>
      <c r="E743" t="s">
        <v>10</v>
      </c>
      <c r="F743" t="s">
        <v>18</v>
      </c>
      <c r="G743">
        <v>10</v>
      </c>
    </row>
    <row r="744" spans="1:7" x14ac:dyDescent="0.25">
      <c r="A744" t="s">
        <v>4</v>
      </c>
      <c r="B744">
        <v>742</v>
      </c>
      <c r="C744">
        <v>0</v>
      </c>
      <c r="D744">
        <v>3.7410900592803955</v>
      </c>
      <c r="E744" t="s">
        <v>10</v>
      </c>
      <c r="F744" t="s">
        <v>18</v>
      </c>
      <c r="G744">
        <v>10</v>
      </c>
    </row>
    <row r="745" spans="1:7" x14ac:dyDescent="0.25">
      <c r="A745" t="s">
        <v>4</v>
      </c>
      <c r="B745">
        <v>743</v>
      </c>
      <c r="C745">
        <v>69</v>
      </c>
      <c r="D745">
        <v>3.6082196235656738</v>
      </c>
      <c r="E745" t="s">
        <v>10</v>
      </c>
      <c r="F745" t="s">
        <v>22</v>
      </c>
      <c r="G745">
        <v>7.5</v>
      </c>
    </row>
    <row r="746" spans="1:7" x14ac:dyDescent="0.25">
      <c r="A746" t="s">
        <v>4</v>
      </c>
      <c r="B746">
        <v>744</v>
      </c>
      <c r="C746">
        <v>78</v>
      </c>
      <c r="D746">
        <v>5.1004445552825928</v>
      </c>
      <c r="E746" t="s">
        <v>10</v>
      </c>
      <c r="F746" t="s">
        <v>15</v>
      </c>
      <c r="G746">
        <v>5</v>
      </c>
    </row>
    <row r="747" spans="1:7" x14ac:dyDescent="0.25">
      <c r="A747" t="s">
        <v>4</v>
      </c>
      <c r="B747">
        <v>745</v>
      </c>
      <c r="C747">
        <v>100</v>
      </c>
      <c r="D747">
        <v>5.2774744033813477</v>
      </c>
      <c r="E747" t="s">
        <v>10</v>
      </c>
      <c r="F747" t="s">
        <v>11</v>
      </c>
      <c r="G747">
        <v>5</v>
      </c>
    </row>
    <row r="748" spans="1:7" x14ac:dyDescent="0.25">
      <c r="A748" t="s">
        <v>4</v>
      </c>
      <c r="B748">
        <v>746</v>
      </c>
      <c r="C748">
        <v>89</v>
      </c>
      <c r="D748">
        <v>9.475121021270752</v>
      </c>
      <c r="E748" t="s">
        <v>10</v>
      </c>
      <c r="F748" t="s">
        <v>11</v>
      </c>
      <c r="G748">
        <v>5</v>
      </c>
    </row>
    <row r="749" spans="1:7" x14ac:dyDescent="0.25">
      <c r="A749" t="s">
        <v>4</v>
      </c>
      <c r="B749">
        <v>747</v>
      </c>
      <c r="C749">
        <v>100</v>
      </c>
      <c r="D749">
        <v>7.0806467533111572</v>
      </c>
      <c r="E749" t="s">
        <v>10</v>
      </c>
      <c r="F749" t="s">
        <v>11</v>
      </c>
      <c r="G749">
        <v>5</v>
      </c>
    </row>
    <row r="750" spans="1:7" x14ac:dyDescent="0.25">
      <c r="A750" t="s">
        <v>4</v>
      </c>
      <c r="B750">
        <v>748</v>
      </c>
      <c r="C750">
        <v>80</v>
      </c>
      <c r="D750">
        <v>3.5789446830749512</v>
      </c>
      <c r="E750" t="s">
        <v>10</v>
      </c>
      <c r="F750" t="s">
        <v>11</v>
      </c>
      <c r="G750">
        <v>5</v>
      </c>
    </row>
    <row r="751" spans="1:7" x14ac:dyDescent="0.25">
      <c r="A751" t="s">
        <v>4</v>
      </c>
      <c r="B751">
        <v>749</v>
      </c>
      <c r="C751">
        <v>23</v>
      </c>
      <c r="D751">
        <v>6.4896433353424072</v>
      </c>
      <c r="E751" t="s">
        <v>10</v>
      </c>
      <c r="F751" t="s">
        <v>11</v>
      </c>
      <c r="G751">
        <v>5</v>
      </c>
    </row>
    <row r="752" spans="1:7" x14ac:dyDescent="0.25">
      <c r="A752" t="s">
        <v>4</v>
      </c>
      <c r="B752">
        <v>750</v>
      </c>
      <c r="C752">
        <v>80</v>
      </c>
      <c r="D752">
        <v>3.5047049522399902</v>
      </c>
      <c r="E752" t="s">
        <v>10</v>
      </c>
      <c r="F752" t="s">
        <v>11</v>
      </c>
      <c r="G752">
        <v>5</v>
      </c>
    </row>
    <row r="753" spans="1:7" x14ac:dyDescent="0.25">
      <c r="A753" t="s">
        <v>4</v>
      </c>
      <c r="B753">
        <v>751</v>
      </c>
      <c r="C753">
        <v>100</v>
      </c>
      <c r="D753">
        <v>9.0294532775878906</v>
      </c>
      <c r="E753" t="s">
        <v>10</v>
      </c>
      <c r="F753" t="s">
        <v>11</v>
      </c>
      <c r="G753">
        <v>5</v>
      </c>
    </row>
    <row r="754" spans="1:7" x14ac:dyDescent="0.25">
      <c r="A754" t="s">
        <v>4</v>
      </c>
      <c r="B754">
        <v>752</v>
      </c>
      <c r="C754">
        <v>20</v>
      </c>
      <c r="D754">
        <v>2.9599449634552002</v>
      </c>
      <c r="E754" t="s">
        <v>10</v>
      </c>
      <c r="F754" t="s">
        <v>11</v>
      </c>
      <c r="G754">
        <v>5</v>
      </c>
    </row>
    <row r="755" spans="1:7" x14ac:dyDescent="0.25">
      <c r="A755" t="s">
        <v>4</v>
      </c>
      <c r="B755">
        <v>753</v>
      </c>
      <c r="C755">
        <v>90</v>
      </c>
      <c r="D755">
        <v>2.9434783458709717</v>
      </c>
      <c r="E755" t="s">
        <v>10</v>
      </c>
      <c r="F755" t="s">
        <v>11</v>
      </c>
      <c r="G755">
        <v>5</v>
      </c>
    </row>
    <row r="756" spans="1:7" x14ac:dyDescent="0.25">
      <c r="A756" t="s">
        <v>4</v>
      </c>
      <c r="B756">
        <v>754</v>
      </c>
      <c r="C756">
        <v>99</v>
      </c>
      <c r="D756">
        <v>5.7509078979492188</v>
      </c>
      <c r="E756" t="s">
        <v>10</v>
      </c>
      <c r="F756" t="s">
        <v>11</v>
      </c>
      <c r="G756">
        <v>5</v>
      </c>
    </row>
    <row r="757" spans="1:7" x14ac:dyDescent="0.25">
      <c r="A757" t="s">
        <v>4</v>
      </c>
      <c r="B757">
        <v>755</v>
      </c>
      <c r="C757">
        <v>70</v>
      </c>
      <c r="D757">
        <v>3.2442965507507324</v>
      </c>
      <c r="E757" t="s">
        <v>10</v>
      </c>
      <c r="F757" t="s">
        <v>11</v>
      </c>
      <c r="G757">
        <v>5</v>
      </c>
    </row>
    <row r="758" spans="1:7" x14ac:dyDescent="0.25">
      <c r="A758" t="s">
        <v>4</v>
      </c>
      <c r="B758">
        <v>756</v>
      </c>
      <c r="C758">
        <v>85</v>
      </c>
      <c r="D758">
        <v>3.253403902053833</v>
      </c>
      <c r="E758" t="s">
        <v>10</v>
      </c>
      <c r="F758" t="s">
        <v>11</v>
      </c>
      <c r="G758">
        <v>5</v>
      </c>
    </row>
    <row r="759" spans="1:7" x14ac:dyDescent="0.25">
      <c r="A759" t="s">
        <v>4</v>
      </c>
      <c r="B759">
        <v>757</v>
      </c>
      <c r="C759">
        <v>100</v>
      </c>
      <c r="D759">
        <v>12.21390962600708</v>
      </c>
      <c r="E759" t="s">
        <v>10</v>
      </c>
      <c r="F759" t="s">
        <v>13</v>
      </c>
      <c r="G759">
        <v>4.3</v>
      </c>
    </row>
    <row r="760" spans="1:7" x14ac:dyDescent="0.25">
      <c r="A760" t="s">
        <v>4</v>
      </c>
      <c r="B760">
        <v>758</v>
      </c>
      <c r="C760">
        <v>50</v>
      </c>
      <c r="D760">
        <v>15.324508905410767</v>
      </c>
      <c r="E760" t="s">
        <v>10</v>
      </c>
      <c r="F760" t="s">
        <v>13</v>
      </c>
      <c r="G760">
        <v>4.3</v>
      </c>
    </row>
    <row r="761" spans="1:7" x14ac:dyDescent="0.25">
      <c r="A761" t="s">
        <v>4</v>
      </c>
      <c r="B761">
        <v>759</v>
      </c>
      <c r="C761">
        <v>90</v>
      </c>
      <c r="D761">
        <v>4.2993478775024414</v>
      </c>
      <c r="E761" t="s">
        <v>10</v>
      </c>
      <c r="F761" t="s">
        <v>15</v>
      </c>
      <c r="G761">
        <v>5</v>
      </c>
    </row>
    <row r="762" spans="1:7" x14ac:dyDescent="0.25">
      <c r="A762" t="s">
        <v>4</v>
      </c>
      <c r="B762">
        <v>760</v>
      </c>
      <c r="C762">
        <v>99</v>
      </c>
      <c r="D762">
        <v>6.7609212398529053</v>
      </c>
      <c r="E762" t="s">
        <v>10</v>
      </c>
      <c r="F762" t="s">
        <v>15</v>
      </c>
      <c r="G762">
        <v>5</v>
      </c>
    </row>
    <row r="763" spans="1:7" x14ac:dyDescent="0.25">
      <c r="A763" t="s">
        <v>4</v>
      </c>
      <c r="B763">
        <v>761</v>
      </c>
      <c r="C763">
        <v>30</v>
      </c>
      <c r="D763">
        <v>3.9541947841644287</v>
      </c>
      <c r="E763" t="s">
        <v>10</v>
      </c>
      <c r="F763" t="s">
        <v>15</v>
      </c>
      <c r="G763">
        <v>5</v>
      </c>
    </row>
    <row r="764" spans="1:7" x14ac:dyDescent="0.25">
      <c r="A764" t="s">
        <v>4</v>
      </c>
      <c r="B764">
        <v>762</v>
      </c>
      <c r="C764">
        <v>80</v>
      </c>
      <c r="D764">
        <v>4.8604996204376221</v>
      </c>
      <c r="E764" t="s">
        <v>10</v>
      </c>
      <c r="F764" t="s">
        <v>15</v>
      </c>
      <c r="G764">
        <v>4.3</v>
      </c>
    </row>
    <row r="765" spans="1:7" x14ac:dyDescent="0.25">
      <c r="A765" t="s">
        <v>4</v>
      </c>
      <c r="B765">
        <v>763</v>
      </c>
      <c r="C765">
        <v>80</v>
      </c>
      <c r="D765">
        <v>11.795494794845581</v>
      </c>
      <c r="E765" t="s">
        <v>10</v>
      </c>
      <c r="F765" t="s">
        <v>13</v>
      </c>
      <c r="G765">
        <v>4.3</v>
      </c>
    </row>
    <row r="766" spans="1:7" x14ac:dyDescent="0.25">
      <c r="A766" t="s">
        <v>4</v>
      </c>
      <c r="B766">
        <v>764</v>
      </c>
      <c r="C766">
        <v>88</v>
      </c>
      <c r="D766">
        <v>11.829382658004761</v>
      </c>
      <c r="E766" t="s">
        <v>10</v>
      </c>
      <c r="F766" t="s">
        <v>13</v>
      </c>
      <c r="G766">
        <v>4.3</v>
      </c>
    </row>
    <row r="767" spans="1:7" x14ac:dyDescent="0.25">
      <c r="A767" t="s">
        <v>4</v>
      </c>
      <c r="B767">
        <v>765</v>
      </c>
      <c r="C767">
        <v>48</v>
      </c>
      <c r="D767">
        <v>14.118293762207031</v>
      </c>
      <c r="E767" t="s">
        <v>10</v>
      </c>
      <c r="F767" t="s">
        <v>13</v>
      </c>
      <c r="G767">
        <v>4.3</v>
      </c>
    </row>
    <row r="768" spans="1:7" x14ac:dyDescent="0.25">
      <c r="A768" t="s">
        <v>4</v>
      </c>
      <c r="B768">
        <v>766</v>
      </c>
      <c r="C768">
        <v>15</v>
      </c>
      <c r="D768">
        <v>17.154906034469604</v>
      </c>
      <c r="E768" t="s">
        <v>10</v>
      </c>
      <c r="F768" t="s">
        <v>13</v>
      </c>
      <c r="G768">
        <v>4.3</v>
      </c>
    </row>
    <row r="769" spans="1:7" x14ac:dyDescent="0.25">
      <c r="A769" t="s">
        <v>4</v>
      </c>
      <c r="B769">
        <v>767</v>
      </c>
      <c r="C769">
        <v>90</v>
      </c>
      <c r="D769">
        <v>6.6811606884002686</v>
      </c>
      <c r="E769" t="s">
        <v>10</v>
      </c>
      <c r="F769" t="s">
        <v>13</v>
      </c>
      <c r="G769">
        <v>4.3</v>
      </c>
    </row>
    <row r="770" spans="1:7" x14ac:dyDescent="0.25">
      <c r="A770" t="s">
        <v>4</v>
      </c>
      <c r="B770">
        <v>768</v>
      </c>
      <c r="C770">
        <v>72</v>
      </c>
      <c r="D770">
        <v>3.4072895050048828</v>
      </c>
      <c r="E770" t="s">
        <v>10</v>
      </c>
      <c r="F770" t="s">
        <v>15</v>
      </c>
      <c r="G770">
        <v>5</v>
      </c>
    </row>
    <row r="771" spans="1:7" x14ac:dyDescent="0.25">
      <c r="A771" t="s">
        <v>4</v>
      </c>
      <c r="B771">
        <v>769</v>
      </c>
      <c r="C771">
        <v>100</v>
      </c>
      <c r="D771">
        <v>15.701018810272217</v>
      </c>
      <c r="E771" t="s">
        <v>10</v>
      </c>
      <c r="F771" t="s">
        <v>20</v>
      </c>
      <c r="G771">
        <v>9.3000000000000007</v>
      </c>
    </row>
    <row r="772" spans="1:7" x14ac:dyDescent="0.25">
      <c r="A772" t="s">
        <v>4</v>
      </c>
      <c r="B772">
        <v>770</v>
      </c>
      <c r="C772">
        <v>80</v>
      </c>
      <c r="D772">
        <v>13.318965673446655</v>
      </c>
      <c r="E772" t="s">
        <v>10</v>
      </c>
      <c r="F772" t="s">
        <v>15</v>
      </c>
      <c r="G772">
        <v>5.8</v>
      </c>
    </row>
    <row r="773" spans="1:7" x14ac:dyDescent="0.25">
      <c r="A773" t="s">
        <v>4</v>
      </c>
      <c r="B773">
        <v>771</v>
      </c>
      <c r="C773">
        <v>100</v>
      </c>
      <c r="D773">
        <v>15.647123098373413</v>
      </c>
      <c r="E773" t="s">
        <v>10</v>
      </c>
      <c r="F773" t="s">
        <v>15</v>
      </c>
      <c r="G773">
        <v>5.8</v>
      </c>
    </row>
    <row r="774" spans="1:7" x14ac:dyDescent="0.25">
      <c r="A774" t="s">
        <v>4</v>
      </c>
      <c r="B774">
        <v>772</v>
      </c>
      <c r="C774">
        <v>87</v>
      </c>
      <c r="D774">
        <v>6.430415153503418</v>
      </c>
      <c r="E774" t="s">
        <v>10</v>
      </c>
      <c r="F774" t="s">
        <v>22</v>
      </c>
      <c r="G774">
        <v>7.5</v>
      </c>
    </row>
    <row r="775" spans="1:7" x14ac:dyDescent="0.25">
      <c r="A775" t="s">
        <v>4</v>
      </c>
      <c r="B775">
        <v>773</v>
      </c>
      <c r="C775">
        <v>83</v>
      </c>
      <c r="D775">
        <v>3.7019855976104736</v>
      </c>
      <c r="E775" t="s">
        <v>10</v>
      </c>
      <c r="F775" t="s">
        <v>20</v>
      </c>
      <c r="G775">
        <v>7.5</v>
      </c>
    </row>
    <row r="776" spans="1:7" x14ac:dyDescent="0.25">
      <c r="A776" t="s">
        <v>4</v>
      </c>
      <c r="B776">
        <v>774</v>
      </c>
      <c r="C776">
        <v>100</v>
      </c>
      <c r="D776">
        <v>11.527633428573608</v>
      </c>
      <c r="E776" t="s">
        <v>10</v>
      </c>
      <c r="F776" t="s">
        <v>15</v>
      </c>
      <c r="G776">
        <v>5</v>
      </c>
    </row>
    <row r="777" spans="1:7" x14ac:dyDescent="0.25">
      <c r="A777" t="s">
        <v>4</v>
      </c>
      <c r="B777">
        <v>775</v>
      </c>
      <c r="C777">
        <v>83</v>
      </c>
      <c r="D777">
        <v>6.1736457347869873</v>
      </c>
      <c r="E777" t="s">
        <v>10</v>
      </c>
      <c r="F777" t="s">
        <v>15</v>
      </c>
      <c r="G777">
        <v>5</v>
      </c>
    </row>
    <row r="778" spans="1:7" x14ac:dyDescent="0.25">
      <c r="A778" t="s">
        <v>4</v>
      </c>
      <c r="B778">
        <v>776</v>
      </c>
      <c r="C778">
        <v>70</v>
      </c>
      <c r="D778">
        <v>9.9674139022827148</v>
      </c>
      <c r="E778" t="s">
        <v>10</v>
      </c>
      <c r="F778" t="s">
        <v>15</v>
      </c>
      <c r="G778">
        <v>5</v>
      </c>
    </row>
    <row r="779" spans="1:7" x14ac:dyDescent="0.25">
      <c r="A779" t="s">
        <v>4</v>
      </c>
      <c r="B779">
        <v>777</v>
      </c>
      <c r="C779">
        <v>80</v>
      </c>
      <c r="D779">
        <v>4.2899060249328613</v>
      </c>
      <c r="E779" t="s">
        <v>10</v>
      </c>
      <c r="F779" t="s">
        <v>15</v>
      </c>
      <c r="G779">
        <v>7.5</v>
      </c>
    </row>
    <row r="780" spans="1:7" x14ac:dyDescent="0.25">
      <c r="A780" t="s">
        <v>4</v>
      </c>
      <c r="B780">
        <v>778</v>
      </c>
      <c r="C780">
        <v>30</v>
      </c>
      <c r="D780">
        <v>5.1989734172821045</v>
      </c>
      <c r="E780" t="s">
        <v>10</v>
      </c>
      <c r="F780" t="s">
        <v>15</v>
      </c>
      <c r="G780">
        <v>7.5</v>
      </c>
    </row>
    <row r="781" spans="1:7" x14ac:dyDescent="0.25">
      <c r="A781" t="s">
        <v>4</v>
      </c>
      <c r="B781">
        <v>779</v>
      </c>
      <c r="C781">
        <v>85</v>
      </c>
      <c r="D781">
        <v>4.3052506446838379</v>
      </c>
      <c r="E781" t="s">
        <v>10</v>
      </c>
      <c r="F781" t="s">
        <v>15</v>
      </c>
      <c r="G781">
        <v>7.5</v>
      </c>
    </row>
    <row r="782" spans="1:7" x14ac:dyDescent="0.25">
      <c r="A782" t="s">
        <v>4</v>
      </c>
      <c r="B782">
        <v>780</v>
      </c>
      <c r="C782">
        <v>89</v>
      </c>
      <c r="D782">
        <v>7.0951614379882813</v>
      </c>
      <c r="E782" t="s">
        <v>10</v>
      </c>
      <c r="F782" t="s">
        <v>15</v>
      </c>
      <c r="G782">
        <v>5</v>
      </c>
    </row>
    <row r="783" spans="1:7" x14ac:dyDescent="0.25">
      <c r="A783" t="s">
        <v>4</v>
      </c>
      <c r="B783">
        <v>781</v>
      </c>
      <c r="C783">
        <v>12</v>
      </c>
      <c r="D783">
        <v>9.2141845226287842</v>
      </c>
      <c r="E783" t="s">
        <v>10</v>
      </c>
      <c r="F783" t="s">
        <v>13</v>
      </c>
      <c r="G783">
        <v>5</v>
      </c>
    </row>
    <row r="784" spans="1:7" x14ac:dyDescent="0.25">
      <c r="A784" t="s">
        <v>4</v>
      </c>
      <c r="B784">
        <v>782</v>
      </c>
      <c r="C784">
        <v>84</v>
      </c>
      <c r="D784">
        <v>3.9537477493286133</v>
      </c>
      <c r="E784" t="s">
        <v>19</v>
      </c>
      <c r="F784" t="s">
        <v>27</v>
      </c>
      <c r="G784">
        <v>5</v>
      </c>
    </row>
    <row r="785" spans="1:7" x14ac:dyDescent="0.25">
      <c r="A785" t="s">
        <v>4</v>
      </c>
      <c r="B785">
        <v>783</v>
      </c>
      <c r="C785">
        <v>98</v>
      </c>
      <c r="D785">
        <v>7.1835248470306396</v>
      </c>
      <c r="E785" t="s">
        <v>19</v>
      </c>
      <c r="F785" t="s">
        <v>27</v>
      </c>
      <c r="G785">
        <v>5</v>
      </c>
    </row>
    <row r="786" spans="1:7" x14ac:dyDescent="0.25">
      <c r="A786" t="s">
        <v>4</v>
      </c>
      <c r="B786">
        <v>784</v>
      </c>
      <c r="C786">
        <v>68</v>
      </c>
      <c r="D786">
        <v>6.4020035266876221</v>
      </c>
      <c r="E786" t="s">
        <v>10</v>
      </c>
      <c r="F786" t="s">
        <v>17</v>
      </c>
      <c r="G786">
        <v>1.9</v>
      </c>
    </row>
    <row r="787" spans="1:7" x14ac:dyDescent="0.25">
      <c r="A787" t="s">
        <v>4</v>
      </c>
      <c r="B787">
        <v>785</v>
      </c>
      <c r="C787">
        <v>85</v>
      </c>
      <c r="D787">
        <v>14.352612018585205</v>
      </c>
      <c r="E787" t="s">
        <v>10</v>
      </c>
      <c r="F787" t="s">
        <v>21</v>
      </c>
      <c r="G787">
        <v>7.5</v>
      </c>
    </row>
    <row r="788" spans="1:7" x14ac:dyDescent="0.25">
      <c r="A788" t="s">
        <v>4</v>
      </c>
      <c r="B788">
        <v>786</v>
      </c>
      <c r="C788">
        <v>80</v>
      </c>
      <c r="D788">
        <v>4.1487345695495605</v>
      </c>
      <c r="E788" t="s">
        <v>10</v>
      </c>
      <c r="F788" t="s">
        <v>21</v>
      </c>
      <c r="G788">
        <v>7.5</v>
      </c>
    </row>
    <row r="789" spans="1:7" x14ac:dyDescent="0.25">
      <c r="A789" t="s">
        <v>4</v>
      </c>
      <c r="B789">
        <v>787</v>
      </c>
      <c r="C789">
        <v>90</v>
      </c>
      <c r="D789">
        <v>2.7980456352233887</v>
      </c>
      <c r="E789" t="s">
        <v>10</v>
      </c>
      <c r="F789" t="s">
        <v>13</v>
      </c>
      <c r="G789">
        <v>7.5</v>
      </c>
    </row>
    <row r="790" spans="1:7" x14ac:dyDescent="0.25">
      <c r="A790" t="s">
        <v>4</v>
      </c>
      <c r="B790">
        <v>788</v>
      </c>
      <c r="C790">
        <v>85</v>
      </c>
      <c r="D790">
        <v>6.1018280982971191</v>
      </c>
      <c r="E790" t="s">
        <v>10</v>
      </c>
      <c r="F790" t="s">
        <v>13</v>
      </c>
      <c r="G790">
        <v>7.5</v>
      </c>
    </row>
    <row r="791" spans="1:7" x14ac:dyDescent="0.25">
      <c r="A791" t="s">
        <v>4</v>
      </c>
      <c r="B791">
        <v>789</v>
      </c>
      <c r="C791">
        <v>97</v>
      </c>
      <c r="D791">
        <v>10.052902460098267</v>
      </c>
      <c r="E791" t="s">
        <v>10</v>
      </c>
      <c r="F791" t="s">
        <v>13</v>
      </c>
      <c r="G791">
        <v>7.5</v>
      </c>
    </row>
    <row r="792" spans="1:7" x14ac:dyDescent="0.25">
      <c r="A792" t="s">
        <v>4</v>
      </c>
      <c r="B792">
        <v>790</v>
      </c>
      <c r="C792">
        <v>34</v>
      </c>
      <c r="D792">
        <v>3.4186127185821533</v>
      </c>
      <c r="E792" t="s">
        <v>10</v>
      </c>
      <c r="F792" t="s">
        <v>18</v>
      </c>
      <c r="G792">
        <v>4.9000000000000004</v>
      </c>
    </row>
    <row r="793" spans="1:7" x14ac:dyDescent="0.25">
      <c r="A793" t="s">
        <v>4</v>
      </c>
      <c r="B793">
        <v>791</v>
      </c>
      <c r="C793">
        <v>100</v>
      </c>
      <c r="D793">
        <v>12.481242656707764</v>
      </c>
      <c r="E793" t="s">
        <v>10</v>
      </c>
      <c r="F793" t="s">
        <v>18</v>
      </c>
      <c r="G793">
        <v>4.9000000000000004</v>
      </c>
    </row>
    <row r="794" spans="1:7" x14ac:dyDescent="0.25">
      <c r="A794" t="s">
        <v>4</v>
      </c>
      <c r="B794">
        <v>792</v>
      </c>
      <c r="C794">
        <v>88</v>
      </c>
      <c r="D794">
        <v>3.9686079025268555</v>
      </c>
      <c r="E794" t="s">
        <v>10</v>
      </c>
      <c r="F794" t="s">
        <v>23</v>
      </c>
      <c r="G794">
        <v>7.5</v>
      </c>
    </row>
    <row r="795" spans="1:7" x14ac:dyDescent="0.25">
      <c r="A795" t="s">
        <v>4</v>
      </c>
      <c r="B795">
        <v>793</v>
      </c>
      <c r="C795">
        <v>17</v>
      </c>
      <c r="D795">
        <v>3.8138844966888428</v>
      </c>
      <c r="E795" t="s">
        <v>10</v>
      </c>
      <c r="F795" t="s">
        <v>16</v>
      </c>
      <c r="G795">
        <v>7.5</v>
      </c>
    </row>
    <row r="796" spans="1:7" x14ac:dyDescent="0.25">
      <c r="A796" t="s">
        <v>4</v>
      </c>
      <c r="B796">
        <v>794</v>
      </c>
      <c r="C796">
        <v>99</v>
      </c>
      <c r="D796">
        <v>3.9184699058532715</v>
      </c>
      <c r="E796" t="s">
        <v>10</v>
      </c>
      <c r="F796" t="s">
        <v>22</v>
      </c>
      <c r="G796">
        <v>7.5</v>
      </c>
    </row>
    <row r="797" spans="1:7" x14ac:dyDescent="0.25">
      <c r="A797" t="s">
        <v>4</v>
      </c>
      <c r="B797">
        <v>795</v>
      </c>
      <c r="C797">
        <v>35</v>
      </c>
      <c r="D797">
        <v>2.7699236869812012</v>
      </c>
      <c r="E797" t="s">
        <v>10</v>
      </c>
      <c r="F797" t="s">
        <v>20</v>
      </c>
      <c r="G797">
        <v>7.5</v>
      </c>
    </row>
    <row r="798" spans="1:7" x14ac:dyDescent="0.25">
      <c r="A798" t="s">
        <v>4</v>
      </c>
      <c r="B798">
        <v>796</v>
      </c>
      <c r="C798">
        <v>85</v>
      </c>
      <c r="D798">
        <v>2.7098278999328613</v>
      </c>
      <c r="E798" t="s">
        <v>10</v>
      </c>
      <c r="F798" t="s">
        <v>15</v>
      </c>
      <c r="G798">
        <v>4.3</v>
      </c>
    </row>
    <row r="799" spans="1:7" x14ac:dyDescent="0.25">
      <c r="A799" t="s">
        <v>4</v>
      </c>
      <c r="B799">
        <v>797</v>
      </c>
      <c r="C799">
        <v>74</v>
      </c>
      <c r="D799">
        <v>9.4167497158050537</v>
      </c>
      <c r="E799" t="s">
        <v>10</v>
      </c>
      <c r="F799" t="s">
        <v>13</v>
      </c>
      <c r="G799">
        <v>7.5</v>
      </c>
    </row>
    <row r="800" spans="1:7" x14ac:dyDescent="0.25">
      <c r="A800" t="s">
        <v>4</v>
      </c>
      <c r="B800">
        <v>798</v>
      </c>
      <c r="C800">
        <v>43</v>
      </c>
      <c r="D800">
        <v>8.0586121082305908</v>
      </c>
      <c r="E800" t="s">
        <v>10</v>
      </c>
      <c r="F800" t="s">
        <v>20</v>
      </c>
      <c r="G800">
        <v>7.5</v>
      </c>
    </row>
    <row r="801" spans="1:7" x14ac:dyDescent="0.25">
      <c r="A801" t="s">
        <v>4</v>
      </c>
      <c r="B801">
        <v>799</v>
      </c>
      <c r="C801">
        <v>30</v>
      </c>
      <c r="D801">
        <v>4.9843862056732178</v>
      </c>
      <c r="E801" t="s">
        <v>10</v>
      </c>
      <c r="F801" t="s">
        <v>23</v>
      </c>
      <c r="G801">
        <v>7.5</v>
      </c>
    </row>
    <row r="802" spans="1:7" x14ac:dyDescent="0.25">
      <c r="A802" t="s">
        <v>4</v>
      </c>
      <c r="B802">
        <v>800</v>
      </c>
      <c r="C802">
        <v>80</v>
      </c>
      <c r="D802">
        <v>5.2843585014343262</v>
      </c>
      <c r="E802" t="s">
        <v>19</v>
      </c>
      <c r="F802" t="s">
        <v>15</v>
      </c>
      <c r="G802">
        <v>4.3</v>
      </c>
    </row>
    <row r="803" spans="1:7" x14ac:dyDescent="0.25">
      <c r="A803" t="s">
        <v>4</v>
      </c>
      <c r="B803">
        <v>801</v>
      </c>
      <c r="C803">
        <v>70</v>
      </c>
      <c r="D803">
        <v>2.1983888149261475</v>
      </c>
      <c r="E803" t="s">
        <v>19</v>
      </c>
      <c r="F803" t="s">
        <v>15</v>
      </c>
      <c r="G803">
        <v>4.3</v>
      </c>
    </row>
    <row r="804" spans="1:7" x14ac:dyDescent="0.25">
      <c r="A804" t="s">
        <v>4</v>
      </c>
      <c r="B804">
        <v>802</v>
      </c>
      <c r="C804">
        <v>79</v>
      </c>
      <c r="D804">
        <v>2.555978536605835</v>
      </c>
      <c r="E804" t="s">
        <v>19</v>
      </c>
      <c r="F804" t="s">
        <v>15</v>
      </c>
      <c r="G804">
        <v>4.3</v>
      </c>
    </row>
    <row r="805" spans="1:7" x14ac:dyDescent="0.25">
      <c r="A805" t="s">
        <v>4</v>
      </c>
      <c r="B805">
        <v>803</v>
      </c>
      <c r="C805">
        <v>100</v>
      </c>
      <c r="D805">
        <v>3.4890055656433105</v>
      </c>
      <c r="E805" t="s">
        <v>19</v>
      </c>
      <c r="F805" t="s">
        <v>15</v>
      </c>
      <c r="G805">
        <v>6.8</v>
      </c>
    </row>
    <row r="806" spans="1:7" x14ac:dyDescent="0.25">
      <c r="A806" t="s">
        <v>4</v>
      </c>
      <c r="B806">
        <v>804</v>
      </c>
      <c r="C806">
        <v>80</v>
      </c>
      <c r="D806">
        <v>2.87607741355896</v>
      </c>
      <c r="E806" t="s">
        <v>19</v>
      </c>
      <c r="F806" t="s">
        <v>15</v>
      </c>
      <c r="G806">
        <v>6.8</v>
      </c>
    </row>
    <row r="807" spans="1:7" x14ac:dyDescent="0.25">
      <c r="A807" t="s">
        <v>4</v>
      </c>
      <c r="B807">
        <v>805</v>
      </c>
      <c r="C807">
        <v>83</v>
      </c>
      <c r="D807">
        <v>4.566734790802002</v>
      </c>
      <c r="E807" t="s">
        <v>19</v>
      </c>
      <c r="F807" t="s">
        <v>14</v>
      </c>
      <c r="G807">
        <v>4.3</v>
      </c>
    </row>
    <row r="808" spans="1:7" x14ac:dyDescent="0.25">
      <c r="A808" t="s">
        <v>4</v>
      </c>
      <c r="B808">
        <v>806</v>
      </c>
      <c r="C808">
        <v>30</v>
      </c>
      <c r="D808">
        <v>3.2949454784393311</v>
      </c>
      <c r="E808" t="s">
        <v>10</v>
      </c>
      <c r="F808" t="s">
        <v>13</v>
      </c>
      <c r="G808">
        <v>7.5</v>
      </c>
    </row>
    <row r="809" spans="1:7" x14ac:dyDescent="0.25">
      <c r="A809" t="s">
        <v>4</v>
      </c>
      <c r="B809">
        <v>807</v>
      </c>
      <c r="C809">
        <v>25</v>
      </c>
      <c r="D809">
        <v>6.7037806510925293</v>
      </c>
      <c r="E809" t="s">
        <v>19</v>
      </c>
      <c r="F809" t="s">
        <v>18</v>
      </c>
      <c r="G809">
        <v>4.4000000000000004</v>
      </c>
    </row>
    <row r="810" spans="1:7" x14ac:dyDescent="0.25">
      <c r="A810" t="s">
        <v>4</v>
      </c>
      <c r="B810">
        <v>808</v>
      </c>
      <c r="C810">
        <v>57</v>
      </c>
      <c r="D810">
        <v>6.3407716751098633</v>
      </c>
      <c r="E810" t="s">
        <v>19</v>
      </c>
      <c r="F810" t="s">
        <v>18</v>
      </c>
      <c r="G810">
        <v>4.4000000000000004</v>
      </c>
    </row>
    <row r="811" spans="1:7" x14ac:dyDescent="0.25">
      <c r="A811" t="s">
        <v>4</v>
      </c>
      <c r="B811">
        <v>809</v>
      </c>
      <c r="C811">
        <v>99</v>
      </c>
      <c r="D811">
        <v>3.9109370708465576</v>
      </c>
      <c r="E811" t="s">
        <v>19</v>
      </c>
      <c r="F811" t="s">
        <v>18</v>
      </c>
      <c r="G811">
        <v>4.4000000000000004</v>
      </c>
    </row>
    <row r="812" spans="1:7" x14ac:dyDescent="0.25">
      <c r="A812" t="s">
        <v>4</v>
      </c>
      <c r="B812">
        <v>810</v>
      </c>
      <c r="C812">
        <v>40</v>
      </c>
      <c r="D812">
        <v>10.943217515945435</v>
      </c>
      <c r="E812" t="s">
        <v>19</v>
      </c>
      <c r="F812" t="s">
        <v>18</v>
      </c>
      <c r="G812">
        <v>4.4000000000000004</v>
      </c>
    </row>
    <row r="813" spans="1:7" x14ac:dyDescent="0.25">
      <c r="A813" t="s">
        <v>4</v>
      </c>
      <c r="B813">
        <v>811</v>
      </c>
      <c r="C813">
        <v>78</v>
      </c>
      <c r="D813">
        <v>5.1100833415985107</v>
      </c>
      <c r="E813" t="s">
        <v>19</v>
      </c>
      <c r="F813" t="s">
        <v>18</v>
      </c>
      <c r="G813">
        <v>4.4000000000000004</v>
      </c>
    </row>
    <row r="814" spans="1:7" x14ac:dyDescent="0.25">
      <c r="A814" t="s">
        <v>4</v>
      </c>
      <c r="B814">
        <v>812</v>
      </c>
      <c r="C814">
        <v>100</v>
      </c>
      <c r="D814">
        <v>5.2366375923156738</v>
      </c>
      <c r="E814" t="s">
        <v>19</v>
      </c>
      <c r="F814" t="s">
        <v>18</v>
      </c>
      <c r="G814">
        <v>4.4000000000000004</v>
      </c>
    </row>
    <row r="815" spans="1:7" x14ac:dyDescent="0.25">
      <c r="A815" t="s">
        <v>4</v>
      </c>
      <c r="B815">
        <v>813</v>
      </c>
      <c r="C815">
        <v>100</v>
      </c>
      <c r="D815">
        <v>3.5360116958618164</v>
      </c>
      <c r="E815" t="s">
        <v>19</v>
      </c>
      <c r="F815" t="s">
        <v>18</v>
      </c>
      <c r="G815">
        <v>4.4000000000000004</v>
      </c>
    </row>
    <row r="816" spans="1:7" x14ac:dyDescent="0.25">
      <c r="A816" t="s">
        <v>4</v>
      </c>
      <c r="B816">
        <v>814</v>
      </c>
      <c r="C816">
        <v>72</v>
      </c>
      <c r="D816">
        <v>5.7985501289367676</v>
      </c>
      <c r="E816" t="s">
        <v>19</v>
      </c>
      <c r="F816" t="s">
        <v>18</v>
      </c>
      <c r="G816">
        <v>4.4000000000000004</v>
      </c>
    </row>
    <row r="817" spans="1:7" x14ac:dyDescent="0.25">
      <c r="A817" t="s">
        <v>4</v>
      </c>
      <c r="B817">
        <v>815</v>
      </c>
      <c r="C817">
        <v>0</v>
      </c>
      <c r="D817">
        <v>3.4974205493927002</v>
      </c>
      <c r="E817" t="s">
        <v>19</v>
      </c>
      <c r="F817" t="s">
        <v>18</v>
      </c>
      <c r="G817">
        <v>4.4000000000000004</v>
      </c>
    </row>
    <row r="818" spans="1:7" x14ac:dyDescent="0.25">
      <c r="A818" t="s">
        <v>4</v>
      </c>
      <c r="B818">
        <v>816</v>
      </c>
      <c r="C818">
        <v>80</v>
      </c>
      <c r="D818">
        <v>3.2492823600769043</v>
      </c>
      <c r="E818" t="s">
        <v>19</v>
      </c>
      <c r="F818" t="s">
        <v>18</v>
      </c>
      <c r="G818">
        <v>4.4000000000000004</v>
      </c>
    </row>
    <row r="819" spans="1:7" x14ac:dyDescent="0.25">
      <c r="A819" t="s">
        <v>4</v>
      </c>
      <c r="B819">
        <v>817</v>
      </c>
      <c r="C819">
        <v>90</v>
      </c>
      <c r="D819">
        <v>5.2488479614257813</v>
      </c>
      <c r="E819" t="s">
        <v>19</v>
      </c>
      <c r="F819" t="s">
        <v>18</v>
      </c>
      <c r="G819">
        <v>4.4000000000000004</v>
      </c>
    </row>
    <row r="820" spans="1:7" x14ac:dyDescent="0.25">
      <c r="A820" t="s">
        <v>4</v>
      </c>
      <c r="B820">
        <v>818</v>
      </c>
      <c r="C820">
        <v>50</v>
      </c>
      <c r="D820">
        <v>3.6708040237426758</v>
      </c>
      <c r="E820" t="s">
        <v>19</v>
      </c>
      <c r="F820" t="s">
        <v>18</v>
      </c>
      <c r="G820">
        <v>4.4000000000000004</v>
      </c>
    </row>
    <row r="821" spans="1:7" x14ac:dyDescent="0.25">
      <c r="A821" t="s">
        <v>4</v>
      </c>
      <c r="B821">
        <v>819</v>
      </c>
      <c r="C821">
        <v>30</v>
      </c>
      <c r="D821">
        <v>2.9450738430023193</v>
      </c>
      <c r="E821" t="s">
        <v>19</v>
      </c>
      <c r="F821" t="s">
        <v>18</v>
      </c>
      <c r="G821">
        <v>4.4000000000000004</v>
      </c>
    </row>
    <row r="822" spans="1:7" x14ac:dyDescent="0.25">
      <c r="A822" t="s">
        <v>4</v>
      </c>
      <c r="B822">
        <v>820</v>
      </c>
      <c r="C822">
        <v>84</v>
      </c>
      <c r="D822">
        <v>6.0793330669403076</v>
      </c>
      <c r="E822" t="s">
        <v>19</v>
      </c>
      <c r="F822" t="s">
        <v>18</v>
      </c>
      <c r="G822">
        <v>4.4000000000000004</v>
      </c>
    </row>
    <row r="823" spans="1:7" x14ac:dyDescent="0.25">
      <c r="A823" t="s">
        <v>4</v>
      </c>
      <c r="B823">
        <v>821</v>
      </c>
      <c r="C823">
        <v>83</v>
      </c>
      <c r="D823">
        <v>2.8947725296020508</v>
      </c>
      <c r="E823" t="s">
        <v>19</v>
      </c>
      <c r="F823" t="s">
        <v>18</v>
      </c>
      <c r="G823">
        <v>4.4000000000000004</v>
      </c>
    </row>
    <row r="824" spans="1:7" x14ac:dyDescent="0.25">
      <c r="A824" t="s">
        <v>4</v>
      </c>
      <c r="B824">
        <v>822</v>
      </c>
      <c r="C824">
        <v>23</v>
      </c>
      <c r="D824">
        <v>16.667646646499634</v>
      </c>
      <c r="E824" t="s">
        <v>19</v>
      </c>
      <c r="F824" t="s">
        <v>18</v>
      </c>
      <c r="G824">
        <v>4.4000000000000004</v>
      </c>
    </row>
    <row r="825" spans="1:7" x14ac:dyDescent="0.25">
      <c r="A825" t="s">
        <v>4</v>
      </c>
      <c r="B825">
        <v>823</v>
      </c>
      <c r="C825">
        <v>0</v>
      </c>
      <c r="D825">
        <v>4.2335999011993408</v>
      </c>
      <c r="E825" t="s">
        <v>19</v>
      </c>
      <c r="F825" t="s">
        <v>18</v>
      </c>
      <c r="G825">
        <v>4.4000000000000004</v>
      </c>
    </row>
    <row r="826" spans="1:7" x14ac:dyDescent="0.25">
      <c r="A826" t="s">
        <v>4</v>
      </c>
      <c r="B826">
        <v>824</v>
      </c>
      <c r="C826">
        <v>74</v>
      </c>
      <c r="D826">
        <v>3.8787839412689209</v>
      </c>
      <c r="E826" t="s">
        <v>10</v>
      </c>
      <c r="F826" t="s">
        <v>15</v>
      </c>
      <c r="G826">
        <v>2.1</v>
      </c>
    </row>
    <row r="827" spans="1:7" x14ac:dyDescent="0.25">
      <c r="A827" t="s">
        <v>4</v>
      </c>
      <c r="B827">
        <v>825</v>
      </c>
      <c r="C827">
        <v>66</v>
      </c>
      <c r="D827">
        <v>4.5337281227111816</v>
      </c>
      <c r="E827" t="s">
        <v>10</v>
      </c>
      <c r="F827" t="s">
        <v>17</v>
      </c>
      <c r="G827">
        <v>4.3</v>
      </c>
    </row>
    <row r="828" spans="1:7" x14ac:dyDescent="0.25">
      <c r="A828" t="s">
        <v>4</v>
      </c>
      <c r="B828">
        <v>826</v>
      </c>
      <c r="C828">
        <v>81</v>
      </c>
      <c r="D828">
        <v>4.8335533142089844</v>
      </c>
      <c r="E828" t="s">
        <v>10</v>
      </c>
      <c r="F828" t="s">
        <v>23</v>
      </c>
      <c r="G828">
        <v>6.8</v>
      </c>
    </row>
    <row r="829" spans="1:7" x14ac:dyDescent="0.25">
      <c r="A829" t="s">
        <v>4</v>
      </c>
      <c r="B829">
        <v>827</v>
      </c>
      <c r="C829">
        <v>80</v>
      </c>
      <c r="D829">
        <v>7.2779684066772461</v>
      </c>
      <c r="E829" t="s">
        <v>10</v>
      </c>
      <c r="F829" t="s">
        <v>23</v>
      </c>
      <c r="G829">
        <v>6.8</v>
      </c>
    </row>
    <row r="830" spans="1:7" x14ac:dyDescent="0.25">
      <c r="A830" t="s">
        <v>4</v>
      </c>
      <c r="B830">
        <v>828</v>
      </c>
      <c r="C830">
        <v>89</v>
      </c>
      <c r="D830">
        <v>2.797163724899292</v>
      </c>
      <c r="E830" t="s">
        <v>19</v>
      </c>
      <c r="F830" t="s">
        <v>15</v>
      </c>
      <c r="G830">
        <v>4.3</v>
      </c>
    </row>
    <row r="831" spans="1:7" x14ac:dyDescent="0.25">
      <c r="A831" t="s">
        <v>4</v>
      </c>
      <c r="B831">
        <v>829</v>
      </c>
      <c r="C831">
        <v>99</v>
      </c>
      <c r="D831">
        <v>3.2605736255645752</v>
      </c>
      <c r="E831" t="s">
        <v>19</v>
      </c>
      <c r="F831" t="s">
        <v>15</v>
      </c>
      <c r="G831">
        <v>4.3</v>
      </c>
    </row>
    <row r="832" spans="1:7" x14ac:dyDescent="0.25">
      <c r="A832" t="s">
        <v>4</v>
      </c>
      <c r="B832">
        <v>830</v>
      </c>
      <c r="C832">
        <v>78</v>
      </c>
      <c r="D832">
        <v>3.1039049625396729</v>
      </c>
      <c r="E832" t="s">
        <v>19</v>
      </c>
      <c r="F832" t="s">
        <v>15</v>
      </c>
      <c r="G832">
        <v>4.3</v>
      </c>
    </row>
    <row r="833" spans="1:7" x14ac:dyDescent="0.25">
      <c r="A833" t="s">
        <v>4</v>
      </c>
      <c r="B833">
        <v>831</v>
      </c>
      <c r="C833">
        <v>99</v>
      </c>
      <c r="D833">
        <v>3.3179566860198975</v>
      </c>
      <c r="E833" t="s">
        <v>19</v>
      </c>
      <c r="F833" t="s">
        <v>15</v>
      </c>
      <c r="G833">
        <v>4.3</v>
      </c>
    </row>
    <row r="834" spans="1:7" x14ac:dyDescent="0.25">
      <c r="A834" t="s">
        <v>4</v>
      </c>
      <c r="B834">
        <v>832</v>
      </c>
      <c r="C834">
        <v>81</v>
      </c>
      <c r="D834">
        <v>5.6812911033630371</v>
      </c>
      <c r="E834" t="s">
        <v>10</v>
      </c>
      <c r="F834" t="s">
        <v>27</v>
      </c>
      <c r="G834">
        <v>7.8</v>
      </c>
    </row>
    <row r="835" spans="1:7" x14ac:dyDescent="0.25">
      <c r="A835" t="s">
        <v>4</v>
      </c>
      <c r="B835">
        <v>833</v>
      </c>
      <c r="C835">
        <v>100</v>
      </c>
      <c r="D835">
        <v>5.3712623119354248</v>
      </c>
      <c r="E835" t="s">
        <v>10</v>
      </c>
      <c r="F835" t="s">
        <v>27</v>
      </c>
      <c r="G835">
        <v>7.8</v>
      </c>
    </row>
    <row r="836" spans="1:7" x14ac:dyDescent="0.25">
      <c r="A836" t="s">
        <v>4</v>
      </c>
      <c r="B836">
        <v>834</v>
      </c>
      <c r="C836">
        <v>20</v>
      </c>
      <c r="D836">
        <v>2.9630508422851563</v>
      </c>
      <c r="E836" t="s">
        <v>10</v>
      </c>
      <c r="F836" t="s">
        <v>11</v>
      </c>
      <c r="G836">
        <v>2.1</v>
      </c>
    </row>
    <row r="837" spans="1:7" x14ac:dyDescent="0.25">
      <c r="A837" t="s">
        <v>4</v>
      </c>
      <c r="B837">
        <v>835</v>
      </c>
      <c r="C837">
        <v>48</v>
      </c>
      <c r="D837">
        <v>6.0414371490478516</v>
      </c>
      <c r="E837" t="s">
        <v>10</v>
      </c>
      <c r="F837" t="s">
        <v>15</v>
      </c>
      <c r="G837">
        <v>7.1</v>
      </c>
    </row>
    <row r="838" spans="1:7" x14ac:dyDescent="0.25">
      <c r="A838" t="s">
        <v>4</v>
      </c>
      <c r="B838">
        <v>836</v>
      </c>
      <c r="C838">
        <v>84</v>
      </c>
      <c r="D838">
        <v>5.2000021934509277</v>
      </c>
      <c r="E838" t="s">
        <v>10</v>
      </c>
      <c r="F838" t="s">
        <v>15</v>
      </c>
      <c r="G838">
        <v>7.1</v>
      </c>
    </row>
    <row r="839" spans="1:7" x14ac:dyDescent="0.25">
      <c r="A839" t="s">
        <v>4</v>
      </c>
      <c r="B839">
        <v>837</v>
      </c>
      <c r="C839">
        <v>20</v>
      </c>
      <c r="D839">
        <v>2.7418801784515381</v>
      </c>
      <c r="E839" t="s">
        <v>10</v>
      </c>
      <c r="F839" t="s">
        <v>15</v>
      </c>
      <c r="G839">
        <v>7.1</v>
      </c>
    </row>
    <row r="840" spans="1:7" x14ac:dyDescent="0.25">
      <c r="A840" t="s">
        <v>4</v>
      </c>
      <c r="B840">
        <v>838</v>
      </c>
      <c r="C840">
        <v>83</v>
      </c>
      <c r="D840">
        <v>4.4933500289916992</v>
      </c>
      <c r="E840" t="s">
        <v>10</v>
      </c>
      <c r="F840" t="s">
        <v>20</v>
      </c>
      <c r="G840">
        <v>4.5999999999999996</v>
      </c>
    </row>
    <row r="841" spans="1:7" x14ac:dyDescent="0.25">
      <c r="A841" t="s">
        <v>4</v>
      </c>
      <c r="B841">
        <v>839</v>
      </c>
      <c r="C841">
        <v>88</v>
      </c>
      <c r="D841">
        <v>5.0407414436340332</v>
      </c>
      <c r="E841" t="s">
        <v>10</v>
      </c>
      <c r="F841" t="s">
        <v>29</v>
      </c>
      <c r="G841">
        <v>4.4000000000000004</v>
      </c>
    </row>
    <row r="842" spans="1:7" x14ac:dyDescent="0.25">
      <c r="A842" t="s">
        <v>4</v>
      </c>
      <c r="B842">
        <v>840</v>
      </c>
      <c r="C842">
        <v>97</v>
      </c>
      <c r="D842">
        <v>6.2681348323822021</v>
      </c>
      <c r="E842" t="s">
        <v>10</v>
      </c>
      <c r="F842" t="s">
        <v>29</v>
      </c>
      <c r="G842">
        <v>4.4000000000000004</v>
      </c>
    </row>
    <row r="843" spans="1:7" x14ac:dyDescent="0.25">
      <c r="A843" t="s">
        <v>4</v>
      </c>
      <c r="B843">
        <v>841</v>
      </c>
      <c r="C843">
        <v>70</v>
      </c>
      <c r="D843">
        <v>4.0018453598022461</v>
      </c>
      <c r="E843" t="s">
        <v>10</v>
      </c>
      <c r="F843" t="s">
        <v>29</v>
      </c>
      <c r="G843">
        <v>4.4000000000000004</v>
      </c>
    </row>
    <row r="844" spans="1:7" x14ac:dyDescent="0.25">
      <c r="A844" t="s">
        <v>4</v>
      </c>
      <c r="B844">
        <v>842</v>
      </c>
      <c r="C844">
        <v>47</v>
      </c>
      <c r="D844">
        <v>3.5689585208892822</v>
      </c>
      <c r="E844" t="s">
        <v>10</v>
      </c>
      <c r="F844" t="s">
        <v>29</v>
      </c>
      <c r="G844">
        <v>4.4000000000000004</v>
      </c>
    </row>
    <row r="845" spans="1:7" x14ac:dyDescent="0.25">
      <c r="A845" t="s">
        <v>4</v>
      </c>
      <c r="B845">
        <v>843</v>
      </c>
      <c r="C845">
        <v>100</v>
      </c>
      <c r="D845">
        <v>5.732508659362793</v>
      </c>
      <c r="E845" t="s">
        <v>10</v>
      </c>
      <c r="F845" t="s">
        <v>29</v>
      </c>
      <c r="G845">
        <v>4.4000000000000004</v>
      </c>
    </row>
    <row r="846" spans="1:7" x14ac:dyDescent="0.25">
      <c r="A846" t="s">
        <v>4</v>
      </c>
      <c r="B846">
        <v>844</v>
      </c>
      <c r="C846">
        <v>67</v>
      </c>
      <c r="D846">
        <v>2.6658194065093994</v>
      </c>
      <c r="E846" t="s">
        <v>10</v>
      </c>
      <c r="F846" t="s">
        <v>29</v>
      </c>
      <c r="G846">
        <v>4.4000000000000004</v>
      </c>
    </row>
    <row r="847" spans="1:7" x14ac:dyDescent="0.25">
      <c r="A847" t="s">
        <v>4</v>
      </c>
      <c r="B847">
        <v>845</v>
      </c>
      <c r="C847">
        <v>100</v>
      </c>
      <c r="D847">
        <v>7.9071624279022217</v>
      </c>
      <c r="E847" t="s">
        <v>10</v>
      </c>
      <c r="F847" t="s">
        <v>29</v>
      </c>
      <c r="G847">
        <v>4.4000000000000004</v>
      </c>
    </row>
    <row r="848" spans="1:7" x14ac:dyDescent="0.25">
      <c r="A848" t="s">
        <v>4</v>
      </c>
      <c r="B848">
        <v>846</v>
      </c>
      <c r="C848">
        <v>30</v>
      </c>
      <c r="D848">
        <v>3.7525255680084229</v>
      </c>
      <c r="E848" t="s">
        <v>10</v>
      </c>
      <c r="F848" t="s">
        <v>29</v>
      </c>
      <c r="G848">
        <v>4.4000000000000004</v>
      </c>
    </row>
    <row r="849" spans="1:7" x14ac:dyDescent="0.25">
      <c r="A849" t="s">
        <v>4</v>
      </c>
      <c r="B849">
        <v>847</v>
      </c>
      <c r="C849">
        <v>64</v>
      </c>
      <c r="D849">
        <v>2.7444276809692383</v>
      </c>
      <c r="E849" t="s">
        <v>19</v>
      </c>
      <c r="F849" t="s">
        <v>13</v>
      </c>
      <c r="G849">
        <v>5</v>
      </c>
    </row>
    <row r="850" spans="1:7" x14ac:dyDescent="0.25">
      <c r="A850" t="s">
        <v>4</v>
      </c>
      <c r="B850">
        <v>848</v>
      </c>
      <c r="C850">
        <v>83</v>
      </c>
      <c r="D850">
        <v>5.4048657417297363</v>
      </c>
      <c r="E850" t="s">
        <v>19</v>
      </c>
      <c r="F850" t="s">
        <v>13</v>
      </c>
      <c r="G850">
        <v>5</v>
      </c>
    </row>
    <row r="851" spans="1:7" x14ac:dyDescent="0.25">
      <c r="A851" t="s">
        <v>4</v>
      </c>
      <c r="B851">
        <v>849</v>
      </c>
      <c r="C851">
        <v>83</v>
      </c>
      <c r="D851">
        <v>2.8498506546020508</v>
      </c>
      <c r="E851" t="s">
        <v>19</v>
      </c>
      <c r="F851" t="s">
        <v>13</v>
      </c>
      <c r="G851">
        <v>5</v>
      </c>
    </row>
    <row r="852" spans="1:7" x14ac:dyDescent="0.25">
      <c r="A852" t="s">
        <v>4</v>
      </c>
      <c r="B852">
        <v>850</v>
      </c>
      <c r="C852">
        <v>72</v>
      </c>
      <c r="D852">
        <v>2.4416322708129883</v>
      </c>
      <c r="E852" t="s">
        <v>19</v>
      </c>
      <c r="F852" t="s">
        <v>13</v>
      </c>
      <c r="G852">
        <v>5</v>
      </c>
    </row>
    <row r="853" spans="1:7" x14ac:dyDescent="0.25">
      <c r="A853" t="s">
        <v>4</v>
      </c>
      <c r="B853">
        <v>851</v>
      </c>
      <c r="C853">
        <v>70</v>
      </c>
      <c r="D853">
        <v>2.4395239353179932</v>
      </c>
      <c r="E853" t="s">
        <v>19</v>
      </c>
      <c r="F853" t="s">
        <v>13</v>
      </c>
      <c r="G853">
        <v>5</v>
      </c>
    </row>
    <row r="854" spans="1:7" x14ac:dyDescent="0.25">
      <c r="A854" t="s">
        <v>4</v>
      </c>
      <c r="B854">
        <v>852</v>
      </c>
      <c r="C854">
        <v>72</v>
      </c>
      <c r="D854">
        <v>2.7099316120147705</v>
      </c>
      <c r="E854" t="s">
        <v>19</v>
      </c>
      <c r="F854" t="s">
        <v>13</v>
      </c>
      <c r="G854">
        <v>5</v>
      </c>
    </row>
    <row r="855" spans="1:7" x14ac:dyDescent="0.25">
      <c r="A855" t="s">
        <v>4</v>
      </c>
      <c r="B855">
        <v>853</v>
      </c>
      <c r="C855">
        <v>70</v>
      </c>
      <c r="D855">
        <v>2.5498712062835693</v>
      </c>
      <c r="E855" t="s">
        <v>19</v>
      </c>
      <c r="F855" t="s">
        <v>13</v>
      </c>
      <c r="G855">
        <v>5</v>
      </c>
    </row>
    <row r="856" spans="1:7" x14ac:dyDescent="0.25">
      <c r="A856" t="s">
        <v>4</v>
      </c>
      <c r="B856">
        <v>854</v>
      </c>
      <c r="C856">
        <v>70</v>
      </c>
      <c r="D856">
        <v>2.8649847507476807</v>
      </c>
      <c r="E856" t="s">
        <v>19</v>
      </c>
      <c r="F856" t="s">
        <v>13</v>
      </c>
      <c r="G856">
        <v>5</v>
      </c>
    </row>
    <row r="857" spans="1:7" x14ac:dyDescent="0.25">
      <c r="A857" t="s">
        <v>4</v>
      </c>
      <c r="B857">
        <v>855</v>
      </c>
      <c r="C857">
        <v>90</v>
      </c>
      <c r="D857">
        <v>3.3039588928222656</v>
      </c>
      <c r="E857" t="s">
        <v>19</v>
      </c>
      <c r="F857" t="s">
        <v>13</v>
      </c>
      <c r="G857">
        <v>5</v>
      </c>
    </row>
    <row r="858" spans="1:7" x14ac:dyDescent="0.25">
      <c r="A858" t="s">
        <v>4</v>
      </c>
      <c r="B858">
        <v>856</v>
      </c>
      <c r="C858">
        <v>30</v>
      </c>
      <c r="D858">
        <v>2.584784984588623</v>
      </c>
      <c r="E858" t="s">
        <v>19</v>
      </c>
      <c r="F858" t="s">
        <v>13</v>
      </c>
      <c r="G858">
        <v>5</v>
      </c>
    </row>
    <row r="859" spans="1:7" x14ac:dyDescent="0.25">
      <c r="A859" t="s">
        <v>4</v>
      </c>
      <c r="B859">
        <v>857</v>
      </c>
      <c r="C859">
        <v>89</v>
      </c>
      <c r="D859">
        <v>3.0761504173278809</v>
      </c>
      <c r="E859" t="s">
        <v>19</v>
      </c>
      <c r="F859" t="s">
        <v>13</v>
      </c>
      <c r="G859">
        <v>5</v>
      </c>
    </row>
    <row r="860" spans="1:7" x14ac:dyDescent="0.25">
      <c r="A860" t="s">
        <v>4</v>
      </c>
      <c r="B860">
        <v>858</v>
      </c>
      <c r="C860">
        <v>8</v>
      </c>
      <c r="D860">
        <v>3.0479564666748047</v>
      </c>
      <c r="E860" t="s">
        <v>19</v>
      </c>
      <c r="F860" t="s">
        <v>13</v>
      </c>
      <c r="G860">
        <v>5</v>
      </c>
    </row>
    <row r="861" spans="1:7" x14ac:dyDescent="0.25">
      <c r="A861" t="s">
        <v>4</v>
      </c>
      <c r="B861">
        <v>859</v>
      </c>
      <c r="C861">
        <v>80</v>
      </c>
      <c r="D861">
        <v>2.6296391487121582</v>
      </c>
      <c r="E861" t="s">
        <v>19</v>
      </c>
      <c r="F861" t="s">
        <v>13</v>
      </c>
      <c r="G861">
        <v>5</v>
      </c>
    </row>
    <row r="862" spans="1:7" x14ac:dyDescent="0.25">
      <c r="A862" t="s">
        <v>4</v>
      </c>
      <c r="B862">
        <v>860</v>
      </c>
      <c r="C862">
        <v>70</v>
      </c>
      <c r="D862">
        <v>5.1525862216949463</v>
      </c>
      <c r="E862" t="s">
        <v>19</v>
      </c>
      <c r="F862" t="s">
        <v>13</v>
      </c>
      <c r="G862">
        <v>5</v>
      </c>
    </row>
    <row r="863" spans="1:7" x14ac:dyDescent="0.25">
      <c r="A863" t="s">
        <v>4</v>
      </c>
      <c r="B863">
        <v>861</v>
      </c>
      <c r="C863">
        <v>83</v>
      </c>
      <c r="D863">
        <v>6.4779233932495117</v>
      </c>
      <c r="E863" t="s">
        <v>10</v>
      </c>
      <c r="F863" t="s">
        <v>21</v>
      </c>
      <c r="G863">
        <v>7.5</v>
      </c>
    </row>
    <row r="864" spans="1:7" x14ac:dyDescent="0.25">
      <c r="A864" t="s">
        <v>4</v>
      </c>
      <c r="B864">
        <v>862</v>
      </c>
      <c r="C864">
        <v>43</v>
      </c>
      <c r="D864">
        <v>5.4582960605621338</v>
      </c>
      <c r="E864" t="s">
        <v>10</v>
      </c>
      <c r="F864" t="s">
        <v>13</v>
      </c>
      <c r="G864">
        <v>4.3</v>
      </c>
    </row>
    <row r="865" spans="1:7" x14ac:dyDescent="0.25">
      <c r="A865" t="s">
        <v>4</v>
      </c>
      <c r="B865">
        <v>863</v>
      </c>
      <c r="C865">
        <v>81</v>
      </c>
      <c r="D865">
        <v>5.8199484348297119</v>
      </c>
      <c r="E865" t="s">
        <v>10</v>
      </c>
      <c r="F865" t="s">
        <v>13</v>
      </c>
      <c r="G865">
        <v>4.3</v>
      </c>
    </row>
    <row r="866" spans="1:7" x14ac:dyDescent="0.25">
      <c r="A866" t="s">
        <v>4</v>
      </c>
      <c r="B866">
        <v>864</v>
      </c>
      <c r="C866">
        <v>30</v>
      </c>
      <c r="D866">
        <v>15.184739589691162</v>
      </c>
      <c r="E866" t="s">
        <v>10</v>
      </c>
      <c r="F866" t="s">
        <v>13</v>
      </c>
      <c r="G866">
        <v>7.5</v>
      </c>
    </row>
    <row r="867" spans="1:7" x14ac:dyDescent="0.25">
      <c r="A867" t="s">
        <v>4</v>
      </c>
      <c r="B867">
        <v>865</v>
      </c>
      <c r="C867">
        <v>55</v>
      </c>
      <c r="D867">
        <v>7.6048457622528076</v>
      </c>
      <c r="E867" t="s">
        <v>10</v>
      </c>
      <c r="F867" t="s">
        <v>13</v>
      </c>
      <c r="G867">
        <v>5</v>
      </c>
    </row>
    <row r="868" spans="1:7" x14ac:dyDescent="0.25">
      <c r="A868" t="s">
        <v>4</v>
      </c>
      <c r="B868">
        <v>866</v>
      </c>
      <c r="C868">
        <v>90</v>
      </c>
      <c r="D868">
        <v>3.3784487247467041</v>
      </c>
      <c r="E868" t="s">
        <v>10</v>
      </c>
      <c r="F868" t="s">
        <v>23</v>
      </c>
      <c r="G868">
        <v>4.5999999999999996</v>
      </c>
    </row>
    <row r="869" spans="1:7" x14ac:dyDescent="0.25">
      <c r="A869" t="s">
        <v>4</v>
      </c>
      <c r="B869">
        <v>867</v>
      </c>
      <c r="C869">
        <v>84</v>
      </c>
      <c r="D869">
        <v>2.692901611328125</v>
      </c>
      <c r="E869" t="s">
        <v>10</v>
      </c>
      <c r="F869" t="s">
        <v>23</v>
      </c>
      <c r="G869">
        <v>4.5999999999999996</v>
      </c>
    </row>
    <row r="870" spans="1:7" x14ac:dyDescent="0.25">
      <c r="A870" t="s">
        <v>4</v>
      </c>
      <c r="B870">
        <v>868</v>
      </c>
      <c r="C870">
        <v>10</v>
      </c>
      <c r="D870">
        <v>4.1686937808990479</v>
      </c>
      <c r="E870" t="s">
        <v>10</v>
      </c>
      <c r="F870" t="s">
        <v>22</v>
      </c>
      <c r="G870">
        <v>7.5</v>
      </c>
    </row>
    <row r="871" spans="1:7" x14ac:dyDescent="0.25">
      <c r="A871" t="s">
        <v>4</v>
      </c>
      <c r="B871">
        <v>869</v>
      </c>
      <c r="C871">
        <v>75</v>
      </c>
      <c r="D871">
        <v>3.5303843021392822</v>
      </c>
      <c r="E871" t="s">
        <v>10</v>
      </c>
      <c r="F871" t="s">
        <v>22</v>
      </c>
      <c r="G871">
        <v>7.5</v>
      </c>
    </row>
    <row r="872" spans="1:7" x14ac:dyDescent="0.25">
      <c r="A872" t="s">
        <v>4</v>
      </c>
      <c r="B872">
        <v>870</v>
      </c>
      <c r="C872">
        <v>85</v>
      </c>
      <c r="D872">
        <v>3.892230749130249</v>
      </c>
      <c r="E872" t="s">
        <v>10</v>
      </c>
      <c r="F872" t="s">
        <v>22</v>
      </c>
      <c r="G872">
        <v>7.5</v>
      </c>
    </row>
    <row r="873" spans="1:7" x14ac:dyDescent="0.25">
      <c r="A873" t="s">
        <v>4</v>
      </c>
      <c r="B873">
        <v>871</v>
      </c>
      <c r="C873">
        <v>67</v>
      </c>
      <c r="D873">
        <v>2.9762372970581055</v>
      </c>
      <c r="E873" t="s">
        <v>10</v>
      </c>
      <c r="F873" t="s">
        <v>22</v>
      </c>
      <c r="G873">
        <v>7.5</v>
      </c>
    </row>
    <row r="874" spans="1:7" x14ac:dyDescent="0.25">
      <c r="A874" t="s">
        <v>4</v>
      </c>
      <c r="B874">
        <v>872</v>
      </c>
      <c r="C874">
        <v>88</v>
      </c>
      <c r="D874">
        <v>4.4994518756866455</v>
      </c>
      <c r="E874" t="s">
        <v>10</v>
      </c>
      <c r="F874" t="s">
        <v>22</v>
      </c>
      <c r="G874">
        <v>7.5</v>
      </c>
    </row>
    <row r="875" spans="1:7" x14ac:dyDescent="0.25">
      <c r="A875" t="s">
        <v>4</v>
      </c>
      <c r="B875">
        <v>873</v>
      </c>
      <c r="C875">
        <v>79</v>
      </c>
      <c r="D875">
        <v>3.9859359264373779</v>
      </c>
      <c r="E875" t="s">
        <v>10</v>
      </c>
      <c r="F875" t="s">
        <v>22</v>
      </c>
      <c r="G875">
        <v>7.5</v>
      </c>
    </row>
    <row r="876" spans="1:7" x14ac:dyDescent="0.25">
      <c r="A876" t="s">
        <v>4</v>
      </c>
      <c r="B876">
        <v>874</v>
      </c>
      <c r="C876">
        <v>85</v>
      </c>
      <c r="D876">
        <v>3.1473047733306885</v>
      </c>
      <c r="E876" t="s">
        <v>10</v>
      </c>
      <c r="F876" t="s">
        <v>22</v>
      </c>
      <c r="G876">
        <v>7.5</v>
      </c>
    </row>
    <row r="877" spans="1:7" x14ac:dyDescent="0.25">
      <c r="A877" t="s">
        <v>4</v>
      </c>
      <c r="B877">
        <v>875</v>
      </c>
      <c r="C877">
        <v>92</v>
      </c>
      <c r="D877">
        <v>3.089698314666748</v>
      </c>
      <c r="E877" t="s">
        <v>10</v>
      </c>
      <c r="F877" t="s">
        <v>22</v>
      </c>
      <c r="G877">
        <v>7.5</v>
      </c>
    </row>
    <row r="878" spans="1:7" x14ac:dyDescent="0.25">
      <c r="A878" t="s">
        <v>4</v>
      </c>
      <c r="B878">
        <v>876</v>
      </c>
      <c r="C878">
        <v>47</v>
      </c>
      <c r="D878">
        <v>3.3935065269470215</v>
      </c>
      <c r="E878" t="s">
        <v>10</v>
      </c>
      <c r="F878" t="s">
        <v>22</v>
      </c>
      <c r="G878">
        <v>7.5</v>
      </c>
    </row>
    <row r="879" spans="1:7" x14ac:dyDescent="0.25">
      <c r="A879" t="s">
        <v>4</v>
      </c>
      <c r="B879">
        <v>877</v>
      </c>
      <c r="C879">
        <v>67</v>
      </c>
      <c r="D879">
        <v>2.6493198871612549</v>
      </c>
      <c r="E879" t="s">
        <v>10</v>
      </c>
      <c r="F879" t="s">
        <v>22</v>
      </c>
      <c r="G879">
        <v>7.5</v>
      </c>
    </row>
    <row r="880" spans="1:7" x14ac:dyDescent="0.25">
      <c r="A880" t="s">
        <v>4</v>
      </c>
      <c r="B880">
        <v>878</v>
      </c>
      <c r="C880">
        <v>89</v>
      </c>
      <c r="D880">
        <v>2.7989544868469238</v>
      </c>
      <c r="E880" t="s">
        <v>10</v>
      </c>
      <c r="F880" t="s">
        <v>22</v>
      </c>
      <c r="G880">
        <v>7.5</v>
      </c>
    </row>
    <row r="881" spans="1:7" x14ac:dyDescent="0.25">
      <c r="A881" t="s">
        <v>4</v>
      </c>
      <c r="B881">
        <v>879</v>
      </c>
      <c r="C881">
        <v>99</v>
      </c>
      <c r="D881">
        <v>2.5160613059997559</v>
      </c>
      <c r="E881" t="s">
        <v>10</v>
      </c>
      <c r="F881" t="s">
        <v>22</v>
      </c>
      <c r="G881">
        <v>7.5</v>
      </c>
    </row>
    <row r="882" spans="1:7" x14ac:dyDescent="0.25">
      <c r="A882" t="s">
        <v>4</v>
      </c>
      <c r="B882">
        <v>880</v>
      </c>
      <c r="C882">
        <v>85</v>
      </c>
      <c r="D882">
        <v>2.3743233680725098</v>
      </c>
      <c r="E882" t="s">
        <v>10</v>
      </c>
      <c r="F882" t="s">
        <v>22</v>
      </c>
      <c r="G882">
        <v>7.5</v>
      </c>
    </row>
    <row r="883" spans="1:7" x14ac:dyDescent="0.25">
      <c r="A883" t="s">
        <v>4</v>
      </c>
      <c r="B883">
        <v>881</v>
      </c>
      <c r="C883">
        <v>20</v>
      </c>
      <c r="D883">
        <v>3.2623038291931152</v>
      </c>
      <c r="E883" t="s">
        <v>10</v>
      </c>
      <c r="F883" t="s">
        <v>23</v>
      </c>
      <c r="G883">
        <v>7.5</v>
      </c>
    </row>
    <row r="884" spans="1:7" x14ac:dyDescent="0.25">
      <c r="A884" t="s">
        <v>4</v>
      </c>
      <c r="B884">
        <v>882</v>
      </c>
      <c r="C884">
        <v>70</v>
      </c>
      <c r="D884">
        <v>6.1354527473449707</v>
      </c>
      <c r="E884" t="s">
        <v>10</v>
      </c>
      <c r="F884" t="s">
        <v>22</v>
      </c>
      <c r="G884">
        <v>7.5</v>
      </c>
    </row>
    <row r="885" spans="1:7" x14ac:dyDescent="0.25">
      <c r="A885" t="s">
        <v>4</v>
      </c>
      <c r="B885">
        <v>883</v>
      </c>
      <c r="C885">
        <v>43</v>
      </c>
      <c r="D885">
        <v>3.2911412715911865</v>
      </c>
      <c r="E885" t="s">
        <v>10</v>
      </c>
      <c r="F885" t="s">
        <v>23</v>
      </c>
      <c r="G885">
        <v>7.5</v>
      </c>
    </row>
    <row r="886" spans="1:7" x14ac:dyDescent="0.25">
      <c r="A886" t="s">
        <v>4</v>
      </c>
      <c r="B886">
        <v>884</v>
      </c>
      <c r="C886">
        <v>97</v>
      </c>
      <c r="D886">
        <v>3.1957681179046631</v>
      </c>
      <c r="E886" t="s">
        <v>10</v>
      </c>
      <c r="F886" t="s">
        <v>22</v>
      </c>
      <c r="G886">
        <v>7.5</v>
      </c>
    </row>
    <row r="887" spans="1:7" x14ac:dyDescent="0.25">
      <c r="A887" t="s">
        <v>4</v>
      </c>
      <c r="B887">
        <v>885</v>
      </c>
      <c r="C887">
        <v>100</v>
      </c>
      <c r="D887">
        <v>2.3746039867401123</v>
      </c>
      <c r="E887" t="s">
        <v>10</v>
      </c>
      <c r="F887" t="s">
        <v>15</v>
      </c>
      <c r="G887">
        <v>5</v>
      </c>
    </row>
    <row r="888" spans="1:7" x14ac:dyDescent="0.25">
      <c r="A888" t="s">
        <v>4</v>
      </c>
      <c r="B888">
        <v>886</v>
      </c>
      <c r="C888">
        <v>85</v>
      </c>
      <c r="D888">
        <v>4.2802021503448486</v>
      </c>
      <c r="E888" t="s">
        <v>10</v>
      </c>
      <c r="F888" t="s">
        <v>15</v>
      </c>
      <c r="G888">
        <v>5</v>
      </c>
    </row>
    <row r="889" spans="1:7" x14ac:dyDescent="0.25">
      <c r="A889" t="s">
        <v>4</v>
      </c>
      <c r="B889">
        <v>887</v>
      </c>
      <c r="C889">
        <v>85</v>
      </c>
      <c r="D889">
        <v>4.7956466674804688</v>
      </c>
      <c r="E889" t="s">
        <v>10</v>
      </c>
      <c r="F889" t="s">
        <v>15</v>
      </c>
      <c r="G889">
        <v>5</v>
      </c>
    </row>
    <row r="890" spans="1:7" x14ac:dyDescent="0.25">
      <c r="A890" t="s">
        <v>4</v>
      </c>
      <c r="B890">
        <v>888</v>
      </c>
      <c r="C890">
        <v>70</v>
      </c>
      <c r="D890">
        <v>2.5936224460601807</v>
      </c>
      <c r="E890" t="s">
        <v>10</v>
      </c>
      <c r="F890" t="s">
        <v>15</v>
      </c>
      <c r="G890">
        <v>5</v>
      </c>
    </row>
    <row r="891" spans="1:7" x14ac:dyDescent="0.25">
      <c r="A891" t="s">
        <v>4</v>
      </c>
      <c r="B891">
        <v>889</v>
      </c>
      <c r="C891">
        <v>64</v>
      </c>
      <c r="D891">
        <v>2.9686355590820313</v>
      </c>
      <c r="E891" t="s">
        <v>10</v>
      </c>
      <c r="F891" t="s">
        <v>15</v>
      </c>
      <c r="G891">
        <v>5</v>
      </c>
    </row>
    <row r="892" spans="1:7" x14ac:dyDescent="0.25">
      <c r="A892" t="s">
        <v>4</v>
      </c>
      <c r="B892">
        <v>890</v>
      </c>
      <c r="C892">
        <v>67</v>
      </c>
      <c r="D892">
        <v>2.9778625965118408</v>
      </c>
      <c r="E892" t="s">
        <v>10</v>
      </c>
      <c r="F892" t="s">
        <v>15</v>
      </c>
      <c r="G892">
        <v>5</v>
      </c>
    </row>
    <row r="893" spans="1:7" x14ac:dyDescent="0.25">
      <c r="A893" t="s">
        <v>4</v>
      </c>
      <c r="B893">
        <v>891</v>
      </c>
      <c r="C893">
        <v>50</v>
      </c>
      <c r="D893">
        <v>2.9085912704467773</v>
      </c>
      <c r="E893" t="s">
        <v>10</v>
      </c>
      <c r="F893" t="s">
        <v>15</v>
      </c>
      <c r="G893">
        <v>5</v>
      </c>
    </row>
    <row r="894" spans="1:7" x14ac:dyDescent="0.25">
      <c r="A894" t="s">
        <v>4</v>
      </c>
      <c r="B894">
        <v>892</v>
      </c>
      <c r="C894">
        <v>85</v>
      </c>
      <c r="D894">
        <v>4.5575830936431885</v>
      </c>
      <c r="E894" t="s">
        <v>10</v>
      </c>
      <c r="F894" t="s">
        <v>13</v>
      </c>
      <c r="G894">
        <v>4.3</v>
      </c>
    </row>
    <row r="895" spans="1:7" x14ac:dyDescent="0.25">
      <c r="A895" t="s">
        <v>4</v>
      </c>
      <c r="B895">
        <v>893</v>
      </c>
      <c r="C895">
        <v>88</v>
      </c>
      <c r="D895">
        <v>3.3120484352111816</v>
      </c>
      <c r="E895" t="s">
        <v>10</v>
      </c>
      <c r="F895" t="s">
        <v>13</v>
      </c>
      <c r="G895">
        <v>7.7</v>
      </c>
    </row>
    <row r="896" spans="1:7" x14ac:dyDescent="0.25">
      <c r="A896" t="s">
        <v>4</v>
      </c>
      <c r="B896">
        <v>894</v>
      </c>
      <c r="C896">
        <v>80</v>
      </c>
      <c r="D896">
        <v>3.2660048007965088</v>
      </c>
      <c r="E896" t="s">
        <v>10</v>
      </c>
      <c r="F896" t="s">
        <v>13</v>
      </c>
      <c r="G896">
        <v>4</v>
      </c>
    </row>
    <row r="897" spans="1:7" x14ac:dyDescent="0.25">
      <c r="A897" t="s">
        <v>4</v>
      </c>
      <c r="B897">
        <v>895</v>
      </c>
      <c r="C897">
        <v>10</v>
      </c>
      <c r="D897">
        <v>4.8916630744934082</v>
      </c>
      <c r="E897" t="s">
        <v>10</v>
      </c>
      <c r="F897" t="s">
        <v>13</v>
      </c>
      <c r="G897">
        <v>4</v>
      </c>
    </row>
    <row r="898" spans="1:7" x14ac:dyDescent="0.25">
      <c r="A898" t="s">
        <v>4</v>
      </c>
      <c r="B898">
        <v>896</v>
      </c>
      <c r="C898">
        <v>85</v>
      </c>
      <c r="D898">
        <v>18.031660318374634</v>
      </c>
      <c r="E898" t="s">
        <v>10</v>
      </c>
      <c r="F898" t="s">
        <v>13</v>
      </c>
      <c r="G898">
        <v>4</v>
      </c>
    </row>
    <row r="899" spans="1:7" x14ac:dyDescent="0.25">
      <c r="A899" t="s">
        <v>4</v>
      </c>
      <c r="B899">
        <v>897</v>
      </c>
      <c r="C899">
        <v>78</v>
      </c>
      <c r="D899">
        <v>3.1539413928985596</v>
      </c>
      <c r="E899" t="s">
        <v>10</v>
      </c>
      <c r="F899" t="s">
        <v>13</v>
      </c>
      <c r="G899">
        <v>4</v>
      </c>
    </row>
    <row r="900" spans="1:7" x14ac:dyDescent="0.25">
      <c r="A900" t="s">
        <v>4</v>
      </c>
      <c r="B900">
        <v>898</v>
      </c>
      <c r="C900">
        <v>97</v>
      </c>
      <c r="D900">
        <v>2.7434103488922119</v>
      </c>
      <c r="E900" t="s">
        <v>10</v>
      </c>
      <c r="F900" t="s">
        <v>13</v>
      </c>
      <c r="G900">
        <v>4</v>
      </c>
    </row>
    <row r="901" spans="1:7" x14ac:dyDescent="0.25">
      <c r="A901" t="s">
        <v>4</v>
      </c>
      <c r="B901">
        <v>899</v>
      </c>
      <c r="C901">
        <v>88</v>
      </c>
      <c r="D901">
        <v>3.2560620307922363</v>
      </c>
      <c r="E901" t="s">
        <v>10</v>
      </c>
      <c r="F901" t="s">
        <v>13</v>
      </c>
      <c r="G901">
        <v>4</v>
      </c>
    </row>
    <row r="902" spans="1:7" x14ac:dyDescent="0.25">
      <c r="A902" t="s">
        <v>4</v>
      </c>
      <c r="B902">
        <v>900</v>
      </c>
      <c r="C902">
        <v>48</v>
      </c>
      <c r="D902">
        <v>4.393385648727417</v>
      </c>
      <c r="E902" t="s">
        <v>10</v>
      </c>
      <c r="F902" t="s">
        <v>13</v>
      </c>
      <c r="G902">
        <v>4</v>
      </c>
    </row>
    <row r="903" spans="1:7" x14ac:dyDescent="0.25">
      <c r="A903" t="s">
        <v>4</v>
      </c>
      <c r="B903">
        <v>901</v>
      </c>
      <c r="C903">
        <v>85</v>
      </c>
      <c r="D903">
        <v>5.2339568138122559</v>
      </c>
      <c r="E903" t="s">
        <v>10</v>
      </c>
      <c r="F903" t="s">
        <v>13</v>
      </c>
      <c r="G903">
        <v>4</v>
      </c>
    </row>
    <row r="904" spans="1:7" x14ac:dyDescent="0.25">
      <c r="A904" t="s">
        <v>4</v>
      </c>
      <c r="B904">
        <v>902</v>
      </c>
      <c r="C904">
        <v>30</v>
      </c>
      <c r="D904">
        <v>3.6258220672607422</v>
      </c>
      <c r="E904" t="s">
        <v>10</v>
      </c>
      <c r="F904" t="s">
        <v>13</v>
      </c>
      <c r="G904">
        <v>4</v>
      </c>
    </row>
    <row r="905" spans="1:7" x14ac:dyDescent="0.25">
      <c r="A905" t="s">
        <v>4</v>
      </c>
      <c r="B905">
        <v>903</v>
      </c>
      <c r="C905">
        <v>90</v>
      </c>
      <c r="D905">
        <v>5.0598568916320801</v>
      </c>
      <c r="E905" t="s">
        <v>10</v>
      </c>
      <c r="F905" t="s">
        <v>13</v>
      </c>
      <c r="G905">
        <v>4</v>
      </c>
    </row>
    <row r="906" spans="1:7" x14ac:dyDescent="0.25">
      <c r="A906" t="s">
        <v>4</v>
      </c>
      <c r="B906">
        <v>904</v>
      </c>
      <c r="C906">
        <v>8</v>
      </c>
      <c r="D906">
        <v>73.077283382415771</v>
      </c>
      <c r="E906" t="s">
        <v>10</v>
      </c>
      <c r="F906" t="s">
        <v>13</v>
      </c>
      <c r="G906">
        <v>4</v>
      </c>
    </row>
    <row r="907" spans="1:7" x14ac:dyDescent="0.25">
      <c r="A907" t="s">
        <v>4</v>
      </c>
      <c r="B907">
        <v>905</v>
      </c>
      <c r="C907">
        <v>45</v>
      </c>
      <c r="D907">
        <v>3.2692608833312988</v>
      </c>
      <c r="E907" t="s">
        <v>10</v>
      </c>
      <c r="F907" t="s">
        <v>13</v>
      </c>
      <c r="G907">
        <v>4</v>
      </c>
    </row>
    <row r="908" spans="1:7" x14ac:dyDescent="0.25">
      <c r="A908" t="s">
        <v>4</v>
      </c>
      <c r="B908">
        <v>906</v>
      </c>
      <c r="C908">
        <v>40</v>
      </c>
      <c r="D908">
        <v>6.9533748626708984</v>
      </c>
      <c r="E908" t="s">
        <v>10</v>
      </c>
      <c r="F908" t="s">
        <v>13</v>
      </c>
      <c r="G908">
        <v>4</v>
      </c>
    </row>
    <row r="909" spans="1:7" x14ac:dyDescent="0.25">
      <c r="A909" t="s">
        <v>4</v>
      </c>
      <c r="B909">
        <v>907</v>
      </c>
      <c r="C909">
        <v>100</v>
      </c>
      <c r="D909">
        <v>4.0652682781219482</v>
      </c>
      <c r="E909" t="s">
        <v>10</v>
      </c>
      <c r="F909" t="s">
        <v>13</v>
      </c>
      <c r="G909">
        <v>2.1</v>
      </c>
    </row>
    <row r="910" spans="1:7" x14ac:dyDescent="0.25">
      <c r="A910" t="s">
        <v>4</v>
      </c>
      <c r="B910">
        <v>908</v>
      </c>
      <c r="C910">
        <v>87</v>
      </c>
      <c r="D910">
        <v>2.5887184143066406</v>
      </c>
      <c r="E910" t="s">
        <v>10</v>
      </c>
      <c r="F910" t="s">
        <v>13</v>
      </c>
      <c r="G910">
        <v>2.1</v>
      </c>
    </row>
    <row r="911" spans="1:7" x14ac:dyDescent="0.25">
      <c r="A911" t="s">
        <v>4</v>
      </c>
      <c r="B911">
        <v>909</v>
      </c>
      <c r="C911">
        <v>57</v>
      </c>
      <c r="D911">
        <v>2.6223196983337402</v>
      </c>
      <c r="E911" t="s">
        <v>10</v>
      </c>
      <c r="F911" t="s">
        <v>21</v>
      </c>
      <c r="G911">
        <v>4.3</v>
      </c>
    </row>
    <row r="912" spans="1:7" x14ac:dyDescent="0.25">
      <c r="A912" t="s">
        <v>4</v>
      </c>
      <c r="B912">
        <v>910</v>
      </c>
      <c r="C912">
        <v>24</v>
      </c>
      <c r="D912">
        <v>3.0324504375457764</v>
      </c>
      <c r="E912" t="s">
        <v>10</v>
      </c>
      <c r="F912" t="s">
        <v>13</v>
      </c>
      <c r="G912">
        <v>5</v>
      </c>
    </row>
    <row r="913" spans="1:7" x14ac:dyDescent="0.25">
      <c r="A913" t="s">
        <v>4</v>
      </c>
      <c r="B913">
        <v>911</v>
      </c>
      <c r="C913">
        <v>80</v>
      </c>
      <c r="D913">
        <v>3.1549808979034424</v>
      </c>
      <c r="E913" t="s">
        <v>10</v>
      </c>
      <c r="F913" t="s">
        <v>13</v>
      </c>
      <c r="G913">
        <v>5</v>
      </c>
    </row>
    <row r="914" spans="1:7" x14ac:dyDescent="0.25">
      <c r="A914" t="s">
        <v>4</v>
      </c>
      <c r="B914">
        <v>912</v>
      </c>
      <c r="C914">
        <v>87</v>
      </c>
      <c r="D914">
        <v>3.7992494106292725</v>
      </c>
      <c r="E914" t="s">
        <v>10</v>
      </c>
      <c r="F914" t="s">
        <v>13</v>
      </c>
      <c r="G914">
        <v>5</v>
      </c>
    </row>
    <row r="915" spans="1:7" x14ac:dyDescent="0.25">
      <c r="A915" t="s">
        <v>4</v>
      </c>
      <c r="B915">
        <v>913</v>
      </c>
      <c r="C915">
        <v>84</v>
      </c>
      <c r="D915">
        <v>4.395291805267334</v>
      </c>
      <c r="E915" t="s">
        <v>10</v>
      </c>
      <c r="F915" t="s">
        <v>13</v>
      </c>
      <c r="G915">
        <v>5</v>
      </c>
    </row>
    <row r="916" spans="1:7" x14ac:dyDescent="0.25">
      <c r="A916" t="s">
        <v>4</v>
      </c>
      <c r="B916">
        <v>914</v>
      </c>
      <c r="C916">
        <v>64</v>
      </c>
      <c r="D916">
        <v>4.50132155418396</v>
      </c>
      <c r="E916" t="s">
        <v>10</v>
      </c>
      <c r="F916" t="s">
        <v>13</v>
      </c>
      <c r="G916">
        <v>5</v>
      </c>
    </row>
    <row r="917" spans="1:7" x14ac:dyDescent="0.25">
      <c r="A917" t="s">
        <v>4</v>
      </c>
      <c r="B917">
        <v>915</v>
      </c>
      <c r="C917">
        <v>88</v>
      </c>
      <c r="D917">
        <v>3.2039506435394287</v>
      </c>
      <c r="E917" t="s">
        <v>10</v>
      </c>
      <c r="F917" t="s">
        <v>13</v>
      </c>
      <c r="G917">
        <v>5</v>
      </c>
    </row>
    <row r="918" spans="1:7" x14ac:dyDescent="0.25">
      <c r="A918" t="s">
        <v>4</v>
      </c>
      <c r="B918">
        <v>916</v>
      </c>
      <c r="C918">
        <v>87</v>
      </c>
      <c r="D918">
        <v>2.887969970703125</v>
      </c>
      <c r="E918" t="s">
        <v>10</v>
      </c>
      <c r="F918" t="s">
        <v>13</v>
      </c>
      <c r="G918">
        <v>5</v>
      </c>
    </row>
    <row r="919" spans="1:7" x14ac:dyDescent="0.25">
      <c r="A919" t="s">
        <v>4</v>
      </c>
      <c r="B919">
        <v>917</v>
      </c>
      <c r="C919">
        <v>85</v>
      </c>
      <c r="D919">
        <v>2.8336584568023682</v>
      </c>
      <c r="E919" t="s">
        <v>10</v>
      </c>
      <c r="F919" t="s">
        <v>13</v>
      </c>
      <c r="G919">
        <v>5</v>
      </c>
    </row>
    <row r="920" spans="1:7" x14ac:dyDescent="0.25">
      <c r="A920" t="s">
        <v>4</v>
      </c>
      <c r="B920">
        <v>918</v>
      </c>
      <c r="C920">
        <v>33</v>
      </c>
      <c r="D920">
        <v>3.4403283596038818</v>
      </c>
      <c r="E920" t="s">
        <v>10</v>
      </c>
      <c r="F920" t="s">
        <v>13</v>
      </c>
      <c r="G920">
        <v>5</v>
      </c>
    </row>
    <row r="921" spans="1:7" x14ac:dyDescent="0.25">
      <c r="A921" t="s">
        <v>4</v>
      </c>
      <c r="B921">
        <v>919</v>
      </c>
      <c r="C921">
        <v>83</v>
      </c>
      <c r="D921">
        <v>3.1625394821166992</v>
      </c>
      <c r="E921" t="s">
        <v>10</v>
      </c>
      <c r="F921" t="s">
        <v>15</v>
      </c>
      <c r="G921">
        <v>5</v>
      </c>
    </row>
    <row r="922" spans="1:7" x14ac:dyDescent="0.25">
      <c r="A922" t="s">
        <v>4</v>
      </c>
      <c r="B922">
        <v>920</v>
      </c>
      <c r="C922">
        <v>100</v>
      </c>
      <c r="D922">
        <v>15.299264192581177</v>
      </c>
      <c r="E922" t="s">
        <v>10</v>
      </c>
      <c r="F922" t="s">
        <v>15</v>
      </c>
      <c r="G922">
        <v>5</v>
      </c>
    </row>
    <row r="923" spans="1:7" x14ac:dyDescent="0.25">
      <c r="A923" t="s">
        <v>4</v>
      </c>
      <c r="B923">
        <v>921</v>
      </c>
      <c r="C923">
        <v>83</v>
      </c>
      <c r="D923">
        <v>3.1030478477478027</v>
      </c>
      <c r="E923" t="s">
        <v>10</v>
      </c>
      <c r="F923" t="s">
        <v>21</v>
      </c>
      <c r="G923">
        <v>4.3</v>
      </c>
    </row>
    <row r="924" spans="1:7" x14ac:dyDescent="0.25">
      <c r="A924" t="s">
        <v>4</v>
      </c>
      <c r="B924">
        <v>922</v>
      </c>
      <c r="C924">
        <v>83</v>
      </c>
      <c r="D924">
        <v>9.226773738861084</v>
      </c>
      <c r="E924" t="s">
        <v>10</v>
      </c>
      <c r="F924" t="s">
        <v>21</v>
      </c>
      <c r="G924">
        <v>4.3</v>
      </c>
    </row>
    <row r="925" spans="1:7" x14ac:dyDescent="0.25">
      <c r="A925" t="s">
        <v>4</v>
      </c>
      <c r="B925">
        <v>923</v>
      </c>
      <c r="C925">
        <v>85</v>
      </c>
      <c r="D925">
        <v>5.1031613349914551</v>
      </c>
      <c r="E925" t="s">
        <v>10</v>
      </c>
      <c r="F925" t="s">
        <v>21</v>
      </c>
      <c r="G925">
        <v>4.3</v>
      </c>
    </row>
    <row r="926" spans="1:7" x14ac:dyDescent="0.25">
      <c r="A926" t="s">
        <v>4</v>
      </c>
      <c r="B926">
        <v>924</v>
      </c>
      <c r="C926">
        <v>85</v>
      </c>
      <c r="D926">
        <v>2.8646209239959717</v>
      </c>
      <c r="E926" t="s">
        <v>10</v>
      </c>
      <c r="F926" t="s">
        <v>21</v>
      </c>
      <c r="G926">
        <v>4.3</v>
      </c>
    </row>
    <row r="927" spans="1:7" x14ac:dyDescent="0.25">
      <c r="A927" t="s">
        <v>4</v>
      </c>
      <c r="B927">
        <v>925</v>
      </c>
      <c r="C927">
        <v>87</v>
      </c>
      <c r="D927">
        <v>8.7752170562744141</v>
      </c>
      <c r="E927" t="s">
        <v>10</v>
      </c>
      <c r="F927" t="s">
        <v>21</v>
      </c>
      <c r="G927">
        <v>4.3</v>
      </c>
    </row>
    <row r="928" spans="1:7" x14ac:dyDescent="0.25">
      <c r="A928" t="s">
        <v>4</v>
      </c>
      <c r="B928">
        <v>926</v>
      </c>
      <c r="C928">
        <v>0</v>
      </c>
      <c r="D928">
        <v>6.1412365436553955</v>
      </c>
      <c r="E928" t="s">
        <v>10</v>
      </c>
      <c r="F928" t="s">
        <v>21</v>
      </c>
      <c r="G928">
        <v>4.3</v>
      </c>
    </row>
    <row r="929" spans="1:7" x14ac:dyDescent="0.25">
      <c r="A929" t="s">
        <v>4</v>
      </c>
      <c r="B929">
        <v>927</v>
      </c>
      <c r="C929">
        <v>99</v>
      </c>
      <c r="D929">
        <v>4.4210081100463867</v>
      </c>
      <c r="E929" t="s">
        <v>10</v>
      </c>
      <c r="F929" t="s">
        <v>21</v>
      </c>
      <c r="G929">
        <v>4.3</v>
      </c>
    </row>
    <row r="930" spans="1:7" x14ac:dyDescent="0.25">
      <c r="A930" t="s">
        <v>4</v>
      </c>
      <c r="B930">
        <v>928</v>
      </c>
      <c r="C930">
        <v>99</v>
      </c>
      <c r="D930">
        <v>4.1420533657073975</v>
      </c>
      <c r="E930" t="s">
        <v>10</v>
      </c>
      <c r="F930" t="s">
        <v>21</v>
      </c>
      <c r="G930">
        <v>4.3</v>
      </c>
    </row>
    <row r="931" spans="1:7" x14ac:dyDescent="0.25">
      <c r="A931" t="s">
        <v>4</v>
      </c>
      <c r="B931">
        <v>929</v>
      </c>
      <c r="C931">
        <v>88</v>
      </c>
      <c r="D931">
        <v>3.1584310531616211</v>
      </c>
      <c r="E931" t="s">
        <v>10</v>
      </c>
      <c r="F931" t="s">
        <v>21</v>
      </c>
      <c r="G931">
        <v>4.3</v>
      </c>
    </row>
    <row r="932" spans="1:7" x14ac:dyDescent="0.25">
      <c r="A932" t="s">
        <v>4</v>
      </c>
      <c r="B932">
        <v>930</v>
      </c>
      <c r="C932">
        <v>55</v>
      </c>
      <c r="D932">
        <v>2.9458789825439453</v>
      </c>
      <c r="E932" t="s">
        <v>10</v>
      </c>
      <c r="F932" t="s">
        <v>21</v>
      </c>
      <c r="G932">
        <v>4.3</v>
      </c>
    </row>
    <row r="933" spans="1:7" x14ac:dyDescent="0.25">
      <c r="A933" t="s">
        <v>4</v>
      </c>
      <c r="B933">
        <v>931</v>
      </c>
      <c r="C933">
        <v>90</v>
      </c>
      <c r="D933">
        <v>3.3611845970153809</v>
      </c>
      <c r="E933" t="s">
        <v>10</v>
      </c>
      <c r="F933" t="s">
        <v>21</v>
      </c>
      <c r="G933">
        <v>4.3</v>
      </c>
    </row>
    <row r="934" spans="1:7" x14ac:dyDescent="0.25">
      <c r="A934" t="s">
        <v>4</v>
      </c>
      <c r="B934">
        <v>932</v>
      </c>
      <c r="C934">
        <v>87</v>
      </c>
      <c r="D934">
        <v>3.7365753650665283</v>
      </c>
      <c r="E934" t="s">
        <v>10</v>
      </c>
      <c r="F934" t="s">
        <v>21</v>
      </c>
      <c r="G934">
        <v>4.3</v>
      </c>
    </row>
    <row r="935" spans="1:7" x14ac:dyDescent="0.25">
      <c r="A935" t="s">
        <v>4</v>
      </c>
      <c r="B935">
        <v>933</v>
      </c>
      <c r="C935">
        <v>100</v>
      </c>
      <c r="D935">
        <v>7.6369659900665283</v>
      </c>
      <c r="E935" t="s">
        <v>10</v>
      </c>
      <c r="F935" t="s">
        <v>21</v>
      </c>
      <c r="G935">
        <v>4.3</v>
      </c>
    </row>
    <row r="936" spans="1:7" x14ac:dyDescent="0.25">
      <c r="A936" t="s">
        <v>4</v>
      </c>
      <c r="B936">
        <v>934</v>
      </c>
      <c r="C936">
        <v>100</v>
      </c>
      <c r="D936">
        <v>8.7355804443359375</v>
      </c>
      <c r="E936" t="s">
        <v>10</v>
      </c>
      <c r="F936" t="s">
        <v>21</v>
      </c>
      <c r="G936">
        <v>4.3</v>
      </c>
    </row>
    <row r="937" spans="1:7" x14ac:dyDescent="0.25">
      <c r="A937" t="s">
        <v>4</v>
      </c>
      <c r="B937">
        <v>935</v>
      </c>
      <c r="C937">
        <v>12</v>
      </c>
      <c r="D937">
        <v>3.5765070915222168</v>
      </c>
      <c r="E937" t="s">
        <v>10</v>
      </c>
      <c r="F937" t="s">
        <v>21</v>
      </c>
      <c r="G937">
        <v>4.3</v>
      </c>
    </row>
    <row r="938" spans="1:7" x14ac:dyDescent="0.25">
      <c r="A938" t="s">
        <v>4</v>
      </c>
      <c r="B938">
        <v>936</v>
      </c>
      <c r="C938">
        <v>83</v>
      </c>
      <c r="D938">
        <v>3.2650907039642334</v>
      </c>
      <c r="E938" t="s">
        <v>10</v>
      </c>
      <c r="F938" t="s">
        <v>21</v>
      </c>
      <c r="G938">
        <v>4.3</v>
      </c>
    </row>
    <row r="939" spans="1:7" x14ac:dyDescent="0.25">
      <c r="A939" t="s">
        <v>4</v>
      </c>
      <c r="B939">
        <v>937</v>
      </c>
      <c r="C939">
        <v>88</v>
      </c>
      <c r="D939">
        <v>4.4861197471618652</v>
      </c>
      <c r="E939" t="s">
        <v>10</v>
      </c>
      <c r="F939" t="s">
        <v>21</v>
      </c>
      <c r="G939">
        <v>4.3</v>
      </c>
    </row>
    <row r="940" spans="1:7" x14ac:dyDescent="0.25">
      <c r="A940" t="s">
        <v>4</v>
      </c>
      <c r="B940">
        <v>938</v>
      </c>
      <c r="C940">
        <v>45</v>
      </c>
      <c r="D940">
        <v>3.5474257469177246</v>
      </c>
      <c r="E940" t="s">
        <v>10</v>
      </c>
      <c r="F940" t="s">
        <v>21</v>
      </c>
      <c r="G940">
        <v>4.3</v>
      </c>
    </row>
    <row r="941" spans="1:7" x14ac:dyDescent="0.25">
      <c r="A941" t="s">
        <v>4</v>
      </c>
      <c r="B941">
        <v>939</v>
      </c>
      <c r="C941">
        <v>88</v>
      </c>
      <c r="D941">
        <v>2.9205546379089355</v>
      </c>
      <c r="E941" t="s">
        <v>10</v>
      </c>
      <c r="F941" t="s">
        <v>21</v>
      </c>
      <c r="G941">
        <v>4.3</v>
      </c>
    </row>
    <row r="942" spans="1:7" x14ac:dyDescent="0.25">
      <c r="A942" t="s">
        <v>4</v>
      </c>
      <c r="B942">
        <v>940</v>
      </c>
      <c r="C942">
        <v>0</v>
      </c>
      <c r="D942">
        <v>8.0623214244842529</v>
      </c>
      <c r="E942" t="s">
        <v>10</v>
      </c>
      <c r="F942" t="s">
        <v>21</v>
      </c>
      <c r="G942">
        <v>4.3</v>
      </c>
    </row>
    <row r="943" spans="1:7" x14ac:dyDescent="0.25">
      <c r="A943" t="s">
        <v>4</v>
      </c>
      <c r="B943">
        <v>941</v>
      </c>
      <c r="C943">
        <v>100</v>
      </c>
      <c r="D943">
        <v>6.1106653213500977</v>
      </c>
      <c r="E943" t="s">
        <v>10</v>
      </c>
      <c r="F943" t="s">
        <v>21</v>
      </c>
      <c r="G943">
        <v>4.3</v>
      </c>
    </row>
    <row r="944" spans="1:7" x14ac:dyDescent="0.25">
      <c r="A944" t="s">
        <v>4</v>
      </c>
      <c r="B944">
        <v>942</v>
      </c>
      <c r="C944">
        <v>83</v>
      </c>
      <c r="D944">
        <v>2.9744715690612793</v>
      </c>
      <c r="E944" t="s">
        <v>10</v>
      </c>
      <c r="F944" t="s">
        <v>13</v>
      </c>
      <c r="G944">
        <v>2.1</v>
      </c>
    </row>
    <row r="945" spans="1:7" x14ac:dyDescent="0.25">
      <c r="A945" t="s">
        <v>4</v>
      </c>
      <c r="B945">
        <v>943</v>
      </c>
      <c r="C945">
        <v>100</v>
      </c>
      <c r="D945">
        <v>3.9859549999237061</v>
      </c>
      <c r="E945" t="s">
        <v>10</v>
      </c>
      <c r="F945" t="s">
        <v>20</v>
      </c>
      <c r="G945">
        <v>7.5</v>
      </c>
    </row>
    <row r="946" spans="1:7" x14ac:dyDescent="0.25">
      <c r="A946" t="s">
        <v>4</v>
      </c>
      <c r="B946">
        <v>944</v>
      </c>
      <c r="C946">
        <v>98</v>
      </c>
      <c r="D946">
        <v>6.4225106239318848</v>
      </c>
      <c r="E946" t="s">
        <v>10</v>
      </c>
      <c r="F946" t="s">
        <v>13</v>
      </c>
      <c r="G946">
        <v>4.3</v>
      </c>
    </row>
    <row r="947" spans="1:7" x14ac:dyDescent="0.25">
      <c r="A947" t="s">
        <v>4</v>
      </c>
      <c r="B947">
        <v>945</v>
      </c>
      <c r="C947">
        <v>84</v>
      </c>
      <c r="D947">
        <v>3.0050344467163086</v>
      </c>
      <c r="E947" t="s">
        <v>10</v>
      </c>
      <c r="F947" t="s">
        <v>27</v>
      </c>
      <c r="G947">
        <v>5</v>
      </c>
    </row>
    <row r="948" spans="1:7" x14ac:dyDescent="0.25">
      <c r="A948" t="s">
        <v>4</v>
      </c>
      <c r="B948">
        <v>946</v>
      </c>
      <c r="C948">
        <v>80</v>
      </c>
      <c r="D948">
        <v>7.4125075340270996</v>
      </c>
      <c r="E948" t="s">
        <v>10</v>
      </c>
      <c r="F948" t="s">
        <v>27</v>
      </c>
      <c r="G948">
        <v>5</v>
      </c>
    </row>
    <row r="949" spans="1:7" x14ac:dyDescent="0.25">
      <c r="A949" t="s">
        <v>4</v>
      </c>
      <c r="B949">
        <v>947</v>
      </c>
      <c r="C949">
        <v>80</v>
      </c>
      <c r="D949">
        <v>10.172134876251221</v>
      </c>
      <c r="E949" t="s">
        <v>10</v>
      </c>
      <c r="F949" t="s">
        <v>28</v>
      </c>
      <c r="G949">
        <v>4.5999999999999996</v>
      </c>
    </row>
    <row r="950" spans="1:7" x14ac:dyDescent="0.25">
      <c r="A950" t="s">
        <v>4</v>
      </c>
      <c r="B950">
        <v>948</v>
      </c>
      <c r="C950">
        <v>90</v>
      </c>
      <c r="D950">
        <v>3.0170156955718994</v>
      </c>
      <c r="E950" t="s">
        <v>10</v>
      </c>
      <c r="F950" t="s">
        <v>28</v>
      </c>
      <c r="G950">
        <v>4.5999999999999996</v>
      </c>
    </row>
    <row r="951" spans="1:7" x14ac:dyDescent="0.25">
      <c r="A951" t="s">
        <v>4</v>
      </c>
      <c r="B951">
        <v>949</v>
      </c>
      <c r="C951">
        <v>100</v>
      </c>
      <c r="D951">
        <v>10.220820903778076</v>
      </c>
      <c r="E951" t="s">
        <v>10</v>
      </c>
      <c r="F951" t="s">
        <v>28</v>
      </c>
      <c r="G951">
        <v>4.5999999999999996</v>
      </c>
    </row>
    <row r="952" spans="1:7" x14ac:dyDescent="0.25">
      <c r="A952" t="s">
        <v>4</v>
      </c>
      <c r="B952">
        <v>950</v>
      </c>
      <c r="C952">
        <v>100</v>
      </c>
      <c r="D952">
        <v>3.3509452342987061</v>
      </c>
      <c r="E952" t="s">
        <v>10</v>
      </c>
      <c r="F952" t="s">
        <v>39</v>
      </c>
      <c r="G952">
        <v>6.8</v>
      </c>
    </row>
    <row r="953" spans="1:7" x14ac:dyDescent="0.25">
      <c r="A953" t="s">
        <v>4</v>
      </c>
      <c r="B953">
        <v>951</v>
      </c>
      <c r="C953">
        <v>100</v>
      </c>
      <c r="D953">
        <v>18.168112277984619</v>
      </c>
      <c r="E953" t="s">
        <v>10</v>
      </c>
      <c r="F953" t="s">
        <v>40</v>
      </c>
      <c r="G953">
        <v>7.5</v>
      </c>
    </row>
    <row r="954" spans="1:7" x14ac:dyDescent="0.25">
      <c r="A954" t="s">
        <v>4</v>
      </c>
      <c r="B954">
        <v>952</v>
      </c>
      <c r="C954">
        <v>80</v>
      </c>
      <c r="D954">
        <v>6.4144992828369141</v>
      </c>
      <c r="E954" t="s">
        <v>10</v>
      </c>
      <c r="F954" t="s">
        <v>13</v>
      </c>
      <c r="G954">
        <v>6.8</v>
      </c>
    </row>
    <row r="955" spans="1:7" x14ac:dyDescent="0.25">
      <c r="A955" t="s">
        <v>4</v>
      </c>
      <c r="B955">
        <v>953</v>
      </c>
      <c r="C955">
        <v>0</v>
      </c>
      <c r="D955">
        <v>4.3494241237640381</v>
      </c>
      <c r="E955" t="s">
        <v>10</v>
      </c>
      <c r="F955" t="s">
        <v>13</v>
      </c>
      <c r="G955">
        <v>6.8</v>
      </c>
    </row>
    <row r="956" spans="1:7" x14ac:dyDescent="0.25">
      <c r="A956" t="s">
        <v>4</v>
      </c>
      <c r="B956">
        <v>954</v>
      </c>
      <c r="C956">
        <v>79</v>
      </c>
      <c r="D956">
        <v>4.6014285087585449</v>
      </c>
      <c r="E956" t="s">
        <v>10</v>
      </c>
      <c r="F956" t="s">
        <v>13</v>
      </c>
      <c r="G956">
        <v>6.8</v>
      </c>
    </row>
    <row r="957" spans="1:7" x14ac:dyDescent="0.25">
      <c r="A957" t="s">
        <v>4</v>
      </c>
      <c r="B957">
        <v>955</v>
      </c>
      <c r="C957">
        <v>80</v>
      </c>
      <c r="D957">
        <v>3.1582267284393311</v>
      </c>
      <c r="E957" t="s">
        <v>10</v>
      </c>
      <c r="F957" t="s">
        <v>13</v>
      </c>
      <c r="G957">
        <v>6.8</v>
      </c>
    </row>
    <row r="958" spans="1:7" x14ac:dyDescent="0.25">
      <c r="A958" t="s">
        <v>4</v>
      </c>
      <c r="B958">
        <v>956</v>
      </c>
      <c r="C958">
        <v>80</v>
      </c>
      <c r="D958">
        <v>5.4866085052490234</v>
      </c>
      <c r="E958" t="s">
        <v>10</v>
      </c>
      <c r="F958" t="s">
        <v>13</v>
      </c>
      <c r="G958">
        <v>6.8</v>
      </c>
    </row>
    <row r="959" spans="1:7" x14ac:dyDescent="0.25">
      <c r="A959" t="s">
        <v>4</v>
      </c>
      <c r="B959">
        <v>957</v>
      </c>
      <c r="C959">
        <v>15</v>
      </c>
      <c r="D959">
        <v>15.915982484817505</v>
      </c>
      <c r="E959" t="s">
        <v>10</v>
      </c>
      <c r="F959" t="s">
        <v>41</v>
      </c>
      <c r="G959">
        <v>5</v>
      </c>
    </row>
    <row r="960" spans="1:7" x14ac:dyDescent="0.25">
      <c r="A960" t="s">
        <v>4</v>
      </c>
      <c r="B960">
        <v>958</v>
      </c>
      <c r="C960">
        <v>70</v>
      </c>
      <c r="D960">
        <v>2.909231424331665</v>
      </c>
      <c r="E960" t="s">
        <v>10</v>
      </c>
      <c r="F960" t="s">
        <v>40</v>
      </c>
      <c r="G960">
        <v>7.5</v>
      </c>
    </row>
    <row r="961" spans="1:7" x14ac:dyDescent="0.25">
      <c r="A961" t="s">
        <v>4</v>
      </c>
      <c r="B961">
        <v>959</v>
      </c>
      <c r="C961">
        <v>90</v>
      </c>
      <c r="D961">
        <v>4.5799195766448975</v>
      </c>
      <c r="E961" t="s">
        <v>10</v>
      </c>
      <c r="F961" t="s">
        <v>40</v>
      </c>
      <c r="G961">
        <v>7.5</v>
      </c>
    </row>
    <row r="962" spans="1:7" x14ac:dyDescent="0.25">
      <c r="A962" t="s">
        <v>4</v>
      </c>
      <c r="B962">
        <v>960</v>
      </c>
      <c r="C962">
        <v>0</v>
      </c>
      <c r="D962">
        <v>17.62254524230957</v>
      </c>
      <c r="E962" t="s">
        <v>10</v>
      </c>
      <c r="F962" t="s">
        <v>41</v>
      </c>
      <c r="G962">
        <v>4.3</v>
      </c>
    </row>
    <row r="963" spans="1:7" x14ac:dyDescent="0.25">
      <c r="A963" t="s">
        <v>4</v>
      </c>
      <c r="B963">
        <v>961</v>
      </c>
      <c r="C963">
        <v>100</v>
      </c>
      <c r="D963">
        <v>8.3591554164886475</v>
      </c>
      <c r="E963" t="s">
        <v>10</v>
      </c>
      <c r="F963" t="s">
        <v>13</v>
      </c>
      <c r="G963">
        <v>5.8</v>
      </c>
    </row>
    <row r="964" spans="1:7" x14ac:dyDescent="0.25">
      <c r="A964" t="s">
        <v>4</v>
      </c>
      <c r="B964">
        <v>962</v>
      </c>
      <c r="C964">
        <v>100</v>
      </c>
      <c r="D964">
        <v>6.8206074237823486</v>
      </c>
      <c r="E964" t="s">
        <v>10</v>
      </c>
      <c r="F964" t="s">
        <v>13</v>
      </c>
      <c r="G964">
        <v>5.8</v>
      </c>
    </row>
    <row r="965" spans="1:7" x14ac:dyDescent="0.25">
      <c r="A965" t="s">
        <v>4</v>
      </c>
      <c r="B965">
        <v>963</v>
      </c>
      <c r="C965">
        <v>100</v>
      </c>
      <c r="D965">
        <v>6.5405807495117188</v>
      </c>
      <c r="E965" t="s">
        <v>10</v>
      </c>
      <c r="F965" t="s">
        <v>42</v>
      </c>
      <c r="G965">
        <v>7.5</v>
      </c>
    </row>
    <row r="966" spans="1:7" x14ac:dyDescent="0.25">
      <c r="A966" t="s">
        <v>4</v>
      </c>
      <c r="B966">
        <v>964</v>
      </c>
      <c r="C966">
        <v>100</v>
      </c>
      <c r="D966">
        <v>18.570981502532959</v>
      </c>
      <c r="E966" t="s">
        <v>10</v>
      </c>
      <c r="F966" t="s">
        <v>41</v>
      </c>
      <c r="G966">
        <v>4.9000000000000004</v>
      </c>
    </row>
    <row r="967" spans="1:7" x14ac:dyDescent="0.25">
      <c r="A967" t="s">
        <v>4</v>
      </c>
      <c r="B967">
        <v>965</v>
      </c>
      <c r="C967">
        <v>70</v>
      </c>
      <c r="D967">
        <v>6.0033960342407227</v>
      </c>
      <c r="E967" t="s">
        <v>10</v>
      </c>
      <c r="F967" t="s">
        <v>41</v>
      </c>
      <c r="G967">
        <v>4</v>
      </c>
    </row>
    <row r="968" spans="1:7" x14ac:dyDescent="0.25">
      <c r="A968" t="s">
        <v>4</v>
      </c>
      <c r="B968">
        <v>966</v>
      </c>
      <c r="C968">
        <v>70</v>
      </c>
      <c r="D968">
        <v>3.554175853729248</v>
      </c>
      <c r="E968" t="s">
        <v>10</v>
      </c>
      <c r="F968" t="s">
        <v>41</v>
      </c>
      <c r="G968">
        <v>4.7</v>
      </c>
    </row>
    <row r="969" spans="1:7" x14ac:dyDescent="0.25">
      <c r="A969" t="s">
        <v>4</v>
      </c>
      <c r="B969">
        <v>967</v>
      </c>
      <c r="C969">
        <v>84</v>
      </c>
      <c r="D969">
        <v>3.6743793487548828</v>
      </c>
      <c r="E969" t="s">
        <v>10</v>
      </c>
      <c r="F969" t="s">
        <v>43</v>
      </c>
      <c r="G969">
        <v>1.9</v>
      </c>
    </row>
    <row r="970" spans="1:7" x14ac:dyDescent="0.25">
      <c r="A970" t="s">
        <v>4</v>
      </c>
      <c r="B970">
        <v>968</v>
      </c>
      <c r="C970">
        <v>89</v>
      </c>
      <c r="D970">
        <v>9.7963354587554932</v>
      </c>
      <c r="E970" t="s">
        <v>10</v>
      </c>
      <c r="F970" t="s">
        <v>43</v>
      </c>
      <c r="G970">
        <v>1.9</v>
      </c>
    </row>
    <row r="971" spans="1:7" x14ac:dyDescent="0.25">
      <c r="A971" t="s">
        <v>4</v>
      </c>
      <c r="B971">
        <v>969</v>
      </c>
      <c r="C971">
        <v>85</v>
      </c>
      <c r="D971">
        <v>5.124591588973999</v>
      </c>
      <c r="E971" t="s">
        <v>10</v>
      </c>
      <c r="F971" t="s">
        <v>43</v>
      </c>
      <c r="G971">
        <v>1.9</v>
      </c>
    </row>
    <row r="972" spans="1:7" x14ac:dyDescent="0.25">
      <c r="A972" t="s">
        <v>4</v>
      </c>
      <c r="B972">
        <v>970</v>
      </c>
      <c r="C972">
        <v>34</v>
      </c>
      <c r="D972">
        <v>7.4959931373596191</v>
      </c>
      <c r="E972" t="s">
        <v>10</v>
      </c>
      <c r="F972" t="s">
        <v>43</v>
      </c>
      <c r="G972">
        <v>1.9</v>
      </c>
    </row>
    <row r="973" spans="1:7" x14ac:dyDescent="0.25">
      <c r="A973" t="s">
        <v>4</v>
      </c>
      <c r="B973">
        <v>971</v>
      </c>
      <c r="C973">
        <v>84</v>
      </c>
      <c r="D973">
        <v>4.4078879356384277</v>
      </c>
      <c r="E973" t="s">
        <v>10</v>
      </c>
      <c r="F973" t="s">
        <v>43</v>
      </c>
      <c r="G973">
        <v>1.9</v>
      </c>
    </row>
    <row r="974" spans="1:7" x14ac:dyDescent="0.25">
      <c r="A974" t="s">
        <v>4</v>
      </c>
      <c r="B974">
        <v>972</v>
      </c>
      <c r="C974">
        <v>87</v>
      </c>
      <c r="D974">
        <v>2.8624503612518311</v>
      </c>
      <c r="E974" t="s">
        <v>10</v>
      </c>
      <c r="F974" t="s">
        <v>44</v>
      </c>
      <c r="G974">
        <v>6.6</v>
      </c>
    </row>
    <row r="975" spans="1:7" x14ac:dyDescent="0.25">
      <c r="A975" t="s">
        <v>4</v>
      </c>
      <c r="B975">
        <v>973</v>
      </c>
      <c r="C975">
        <v>80</v>
      </c>
      <c r="D975">
        <v>3.0392303466796875</v>
      </c>
      <c r="E975" t="s">
        <v>10</v>
      </c>
      <c r="F975" t="s">
        <v>44</v>
      </c>
      <c r="G975">
        <v>6.6</v>
      </c>
    </row>
    <row r="976" spans="1:7" x14ac:dyDescent="0.25">
      <c r="A976" t="s">
        <v>4</v>
      </c>
      <c r="B976">
        <v>974</v>
      </c>
      <c r="C976">
        <v>84</v>
      </c>
      <c r="D976">
        <v>2.579092264175415</v>
      </c>
      <c r="E976" t="s">
        <v>10</v>
      </c>
      <c r="F976" t="s">
        <v>45</v>
      </c>
      <c r="G976">
        <v>5</v>
      </c>
    </row>
    <row r="977" spans="1:7" x14ac:dyDescent="0.25">
      <c r="A977" t="s">
        <v>4</v>
      </c>
      <c r="B977">
        <v>975</v>
      </c>
      <c r="C977">
        <v>90</v>
      </c>
      <c r="D977">
        <v>12.044267892837524</v>
      </c>
      <c r="E977" t="s">
        <v>10</v>
      </c>
      <c r="F977" t="s">
        <v>45</v>
      </c>
      <c r="G977">
        <v>5</v>
      </c>
    </row>
    <row r="978" spans="1:7" x14ac:dyDescent="0.25">
      <c r="A978" t="s">
        <v>4</v>
      </c>
      <c r="B978">
        <v>976</v>
      </c>
      <c r="C978">
        <v>81</v>
      </c>
      <c r="D978">
        <v>6.9947004318237305</v>
      </c>
      <c r="E978" t="s">
        <v>10</v>
      </c>
      <c r="F978" t="s">
        <v>41</v>
      </c>
      <c r="G978">
        <v>5.4</v>
      </c>
    </row>
    <row r="979" spans="1:7" x14ac:dyDescent="0.25">
      <c r="A979" t="s">
        <v>4</v>
      </c>
      <c r="B979">
        <v>977</v>
      </c>
      <c r="C979">
        <v>87</v>
      </c>
      <c r="D979">
        <v>4.6848535537719727</v>
      </c>
      <c r="E979" t="s">
        <v>10</v>
      </c>
      <c r="F979" t="s">
        <v>41</v>
      </c>
      <c r="G979">
        <v>5.4</v>
      </c>
    </row>
    <row r="980" spans="1:7" x14ac:dyDescent="0.25">
      <c r="A980" t="s">
        <v>4</v>
      </c>
      <c r="B980">
        <v>978</v>
      </c>
      <c r="C980">
        <v>100</v>
      </c>
      <c r="D980">
        <v>59.750341653823853</v>
      </c>
      <c r="E980" t="s">
        <v>10</v>
      </c>
      <c r="F980" t="s">
        <v>41</v>
      </c>
      <c r="G980">
        <v>5.4</v>
      </c>
    </row>
    <row r="981" spans="1:7" x14ac:dyDescent="0.25">
      <c r="A981" t="s">
        <v>4</v>
      </c>
      <c r="B981">
        <v>979</v>
      </c>
      <c r="C981">
        <v>83</v>
      </c>
      <c r="D981">
        <v>4.2884607315063477</v>
      </c>
      <c r="E981" t="s">
        <v>10</v>
      </c>
      <c r="F981" t="s">
        <v>41</v>
      </c>
      <c r="G981">
        <v>5.4</v>
      </c>
    </row>
    <row r="982" spans="1:7" x14ac:dyDescent="0.25">
      <c r="A982" t="s">
        <v>4</v>
      </c>
      <c r="B982">
        <v>980</v>
      </c>
      <c r="C982">
        <v>17</v>
      </c>
      <c r="D982">
        <v>4.5325438976287842</v>
      </c>
      <c r="E982" t="s">
        <v>10</v>
      </c>
      <c r="F982" t="s">
        <v>41</v>
      </c>
      <c r="G982">
        <v>5.4</v>
      </c>
    </row>
    <row r="983" spans="1:7" x14ac:dyDescent="0.25">
      <c r="A983" t="s">
        <v>4</v>
      </c>
      <c r="B983">
        <v>981</v>
      </c>
      <c r="C983">
        <v>100</v>
      </c>
      <c r="D983">
        <v>3.6344482898712158</v>
      </c>
      <c r="E983" t="s">
        <v>10</v>
      </c>
      <c r="F983" t="s">
        <v>41</v>
      </c>
      <c r="G983">
        <v>5.4</v>
      </c>
    </row>
    <row r="984" spans="1:7" x14ac:dyDescent="0.25">
      <c r="A984" t="s">
        <v>4</v>
      </c>
      <c r="B984">
        <v>982</v>
      </c>
      <c r="C984">
        <v>80</v>
      </c>
      <c r="D984">
        <v>5.3568558692932129</v>
      </c>
      <c r="E984" t="s">
        <v>10</v>
      </c>
      <c r="F984" t="s">
        <v>41</v>
      </c>
      <c r="G984">
        <v>5.4</v>
      </c>
    </row>
    <row r="985" spans="1:7" x14ac:dyDescent="0.25">
      <c r="A985" t="s">
        <v>4</v>
      </c>
      <c r="B985">
        <v>983</v>
      </c>
      <c r="C985">
        <v>80</v>
      </c>
      <c r="D985">
        <v>2.8172791004180908</v>
      </c>
      <c r="E985" t="s">
        <v>10</v>
      </c>
      <c r="F985" t="s">
        <v>41</v>
      </c>
      <c r="G985">
        <v>5.4</v>
      </c>
    </row>
    <row r="986" spans="1:7" x14ac:dyDescent="0.25">
      <c r="A986" t="s">
        <v>4</v>
      </c>
      <c r="B986">
        <v>984</v>
      </c>
      <c r="C986">
        <v>71</v>
      </c>
      <c r="D986">
        <v>5.1733689308166504</v>
      </c>
      <c r="E986" t="s">
        <v>10</v>
      </c>
      <c r="F986" t="s">
        <v>41</v>
      </c>
      <c r="G986">
        <v>5.4</v>
      </c>
    </row>
    <row r="987" spans="1:7" x14ac:dyDescent="0.25">
      <c r="A987" t="s">
        <v>4</v>
      </c>
      <c r="B987">
        <v>985</v>
      </c>
      <c r="C987">
        <v>83</v>
      </c>
      <c r="D987">
        <v>3.0568227767944336</v>
      </c>
      <c r="E987" t="s">
        <v>10</v>
      </c>
      <c r="F987" t="s">
        <v>41</v>
      </c>
      <c r="G987">
        <v>5.4</v>
      </c>
    </row>
    <row r="988" spans="1:7" x14ac:dyDescent="0.25">
      <c r="A988" t="s">
        <v>4</v>
      </c>
      <c r="B988">
        <v>986</v>
      </c>
      <c r="C988">
        <v>50</v>
      </c>
      <c r="D988">
        <v>2.8578050136566162</v>
      </c>
      <c r="E988" t="s">
        <v>10</v>
      </c>
      <c r="F988" t="s">
        <v>41</v>
      </c>
      <c r="G988">
        <v>5.4</v>
      </c>
    </row>
    <row r="989" spans="1:7" x14ac:dyDescent="0.25">
      <c r="A989" t="s">
        <v>4</v>
      </c>
      <c r="B989">
        <v>987</v>
      </c>
      <c r="C989">
        <v>83</v>
      </c>
      <c r="D989">
        <v>6.2160191535949707</v>
      </c>
      <c r="E989" t="s">
        <v>10</v>
      </c>
      <c r="F989" t="s">
        <v>41</v>
      </c>
      <c r="G989">
        <v>5.4</v>
      </c>
    </row>
    <row r="990" spans="1:7" x14ac:dyDescent="0.25">
      <c r="A990" t="s">
        <v>4</v>
      </c>
      <c r="B990">
        <v>988</v>
      </c>
      <c r="C990">
        <v>57</v>
      </c>
      <c r="D990">
        <v>4.2663440704345703</v>
      </c>
      <c r="E990" t="s">
        <v>10</v>
      </c>
      <c r="F990" t="s">
        <v>41</v>
      </c>
      <c r="G990">
        <v>5.4</v>
      </c>
    </row>
    <row r="991" spans="1:7" x14ac:dyDescent="0.25">
      <c r="A991" t="s">
        <v>4</v>
      </c>
      <c r="B991">
        <v>989</v>
      </c>
      <c r="C991">
        <v>100</v>
      </c>
      <c r="D991">
        <v>6.9247558116912842</v>
      </c>
      <c r="E991" t="s">
        <v>10</v>
      </c>
      <c r="F991" t="s">
        <v>41</v>
      </c>
      <c r="G991">
        <v>5.4</v>
      </c>
    </row>
    <row r="992" spans="1:7" x14ac:dyDescent="0.25">
      <c r="A992" t="s">
        <v>4</v>
      </c>
      <c r="B992">
        <v>990</v>
      </c>
      <c r="C992">
        <v>85</v>
      </c>
      <c r="D992">
        <v>8.8701522350311279</v>
      </c>
      <c r="E992" t="s">
        <v>10</v>
      </c>
      <c r="F992" t="s">
        <v>41</v>
      </c>
      <c r="G992">
        <v>5.4</v>
      </c>
    </row>
    <row r="993" spans="1:7" x14ac:dyDescent="0.25">
      <c r="A993" t="s">
        <v>4</v>
      </c>
      <c r="B993">
        <v>991</v>
      </c>
      <c r="C993">
        <v>80</v>
      </c>
      <c r="D993">
        <v>4.0768623352050781</v>
      </c>
      <c r="E993" t="s">
        <v>10</v>
      </c>
      <c r="F993" t="s">
        <v>41</v>
      </c>
      <c r="G993">
        <v>5.4</v>
      </c>
    </row>
    <row r="994" spans="1:7" x14ac:dyDescent="0.25">
      <c r="A994" t="s">
        <v>4</v>
      </c>
      <c r="B994">
        <v>992</v>
      </c>
      <c r="C994">
        <v>97</v>
      </c>
      <c r="D994">
        <v>4.5302338600158691</v>
      </c>
      <c r="E994" t="s">
        <v>10</v>
      </c>
      <c r="F994" t="s">
        <v>41</v>
      </c>
      <c r="G994">
        <v>5.4</v>
      </c>
    </row>
    <row r="995" spans="1:7" x14ac:dyDescent="0.25">
      <c r="A995" t="s">
        <v>4</v>
      </c>
      <c r="B995">
        <v>993</v>
      </c>
      <c r="C995">
        <v>40</v>
      </c>
      <c r="D995">
        <v>9.9807744026184082</v>
      </c>
      <c r="E995" t="s">
        <v>10</v>
      </c>
      <c r="F995" t="s">
        <v>41</v>
      </c>
      <c r="G995">
        <v>5.4</v>
      </c>
    </row>
    <row r="996" spans="1:7" x14ac:dyDescent="0.25">
      <c r="A996" t="s">
        <v>4</v>
      </c>
      <c r="B996">
        <v>994</v>
      </c>
      <c r="C996">
        <v>87</v>
      </c>
      <c r="D996">
        <v>3.1338636875152588</v>
      </c>
      <c r="E996" t="s">
        <v>10</v>
      </c>
      <c r="F996" t="s">
        <v>41</v>
      </c>
      <c r="G996">
        <v>5.4</v>
      </c>
    </row>
    <row r="997" spans="1:7" x14ac:dyDescent="0.25">
      <c r="A997" t="s">
        <v>4</v>
      </c>
      <c r="B997">
        <v>995</v>
      </c>
      <c r="C997">
        <v>90</v>
      </c>
      <c r="D997">
        <v>2.5390200614929199</v>
      </c>
      <c r="E997" t="s">
        <v>10</v>
      </c>
      <c r="F997" t="s">
        <v>41</v>
      </c>
      <c r="G997">
        <v>5.4</v>
      </c>
    </row>
    <row r="998" spans="1:7" x14ac:dyDescent="0.25">
      <c r="A998" t="s">
        <v>4</v>
      </c>
      <c r="B998">
        <v>996</v>
      </c>
      <c r="C998">
        <v>22</v>
      </c>
      <c r="D998">
        <v>2.9080798625946045</v>
      </c>
      <c r="E998" t="s">
        <v>10</v>
      </c>
      <c r="F998" t="s">
        <v>41</v>
      </c>
      <c r="G998">
        <v>5.4</v>
      </c>
    </row>
    <row r="999" spans="1:7" x14ac:dyDescent="0.25">
      <c r="A999" t="s">
        <v>4</v>
      </c>
      <c r="B999">
        <v>997</v>
      </c>
      <c r="C999">
        <v>72</v>
      </c>
      <c r="D999">
        <v>7.6411666870117188</v>
      </c>
      <c r="E999" t="s">
        <v>10</v>
      </c>
      <c r="F999" t="s">
        <v>41</v>
      </c>
      <c r="G999">
        <v>5.4</v>
      </c>
    </row>
    <row r="1000" spans="1:7" x14ac:dyDescent="0.25">
      <c r="A1000" t="s">
        <v>4</v>
      </c>
      <c r="B1000">
        <v>998</v>
      </c>
      <c r="C1000">
        <v>100</v>
      </c>
      <c r="D1000">
        <v>4.1750833988189697</v>
      </c>
      <c r="E1000" t="s">
        <v>10</v>
      </c>
      <c r="F1000" t="s">
        <v>41</v>
      </c>
      <c r="G1000">
        <v>5.4</v>
      </c>
    </row>
    <row r="1001" spans="1:7" x14ac:dyDescent="0.25">
      <c r="A1001" t="s">
        <v>4</v>
      </c>
      <c r="B1001">
        <v>999</v>
      </c>
      <c r="C1001">
        <v>40</v>
      </c>
      <c r="D1001">
        <v>6.6147518157958984</v>
      </c>
      <c r="E1001" t="s">
        <v>10</v>
      </c>
      <c r="F1001" t="s">
        <v>41</v>
      </c>
      <c r="G1001">
        <v>5.4</v>
      </c>
    </row>
    <row r="1002" spans="1:7" x14ac:dyDescent="0.25">
      <c r="A1002" t="s">
        <v>4</v>
      </c>
      <c r="B1002">
        <v>1000</v>
      </c>
      <c r="C1002">
        <v>88</v>
      </c>
      <c r="D1002">
        <v>5.829143762588501</v>
      </c>
      <c r="E1002" t="s">
        <v>10</v>
      </c>
      <c r="F1002" t="s">
        <v>41</v>
      </c>
      <c r="G1002">
        <v>5.4</v>
      </c>
    </row>
    <row r="1003" spans="1:7" x14ac:dyDescent="0.25">
      <c r="A1003" t="s">
        <v>4</v>
      </c>
      <c r="B1003">
        <v>1001</v>
      </c>
      <c r="C1003">
        <v>87</v>
      </c>
      <c r="D1003">
        <v>4.3662092685699463</v>
      </c>
      <c r="E1003" t="s">
        <v>10</v>
      </c>
      <c r="F1003" t="s">
        <v>41</v>
      </c>
      <c r="G1003">
        <v>5.4</v>
      </c>
    </row>
    <row r="1004" spans="1:7" x14ac:dyDescent="0.25">
      <c r="A1004" t="s">
        <v>4</v>
      </c>
      <c r="B1004">
        <v>1002</v>
      </c>
      <c r="C1004">
        <v>72</v>
      </c>
      <c r="D1004">
        <v>13.091991424560547</v>
      </c>
      <c r="E1004" t="s">
        <v>10</v>
      </c>
      <c r="F1004" t="s">
        <v>41</v>
      </c>
      <c r="G1004">
        <v>5.4</v>
      </c>
    </row>
    <row r="1005" spans="1:7" x14ac:dyDescent="0.25">
      <c r="A1005" t="s">
        <v>4</v>
      </c>
      <c r="B1005">
        <v>1003</v>
      </c>
      <c r="C1005">
        <v>80</v>
      </c>
      <c r="D1005">
        <v>6.5946338176727295</v>
      </c>
      <c r="E1005" t="s">
        <v>10</v>
      </c>
      <c r="F1005" t="s">
        <v>41</v>
      </c>
      <c r="G1005">
        <v>5.4</v>
      </c>
    </row>
    <row r="1006" spans="1:7" x14ac:dyDescent="0.25">
      <c r="A1006" t="s">
        <v>4</v>
      </c>
      <c r="B1006">
        <v>1004</v>
      </c>
      <c r="C1006">
        <v>83</v>
      </c>
      <c r="D1006">
        <v>9.634204626083374</v>
      </c>
      <c r="E1006" t="s">
        <v>10</v>
      </c>
      <c r="F1006" t="s">
        <v>41</v>
      </c>
      <c r="G1006">
        <v>5.4</v>
      </c>
    </row>
    <row r="1007" spans="1:7" x14ac:dyDescent="0.25">
      <c r="A1007" t="s">
        <v>4</v>
      </c>
      <c r="B1007">
        <v>1005</v>
      </c>
      <c r="C1007">
        <v>87</v>
      </c>
      <c r="D1007">
        <v>8.7606880664825439</v>
      </c>
      <c r="E1007" t="s">
        <v>10</v>
      </c>
      <c r="F1007" t="s">
        <v>41</v>
      </c>
      <c r="G1007">
        <v>5.4</v>
      </c>
    </row>
    <row r="1008" spans="1:7" x14ac:dyDescent="0.25">
      <c r="A1008" t="s">
        <v>4</v>
      </c>
      <c r="B1008">
        <v>1006</v>
      </c>
      <c r="C1008">
        <v>100</v>
      </c>
      <c r="D1008">
        <v>10.081396341323853</v>
      </c>
      <c r="E1008" t="s">
        <v>10</v>
      </c>
      <c r="F1008" t="s">
        <v>41</v>
      </c>
      <c r="G1008">
        <v>5.4</v>
      </c>
    </row>
    <row r="1009" spans="1:7" x14ac:dyDescent="0.25">
      <c r="A1009" t="s">
        <v>4</v>
      </c>
      <c r="B1009">
        <v>1007</v>
      </c>
      <c r="C1009">
        <v>70</v>
      </c>
      <c r="D1009">
        <v>3.5848739147186279</v>
      </c>
      <c r="E1009" t="s">
        <v>10</v>
      </c>
      <c r="F1009" t="s">
        <v>41</v>
      </c>
      <c r="G1009">
        <v>5.4</v>
      </c>
    </row>
    <row r="1010" spans="1:7" x14ac:dyDescent="0.25">
      <c r="A1010" t="s">
        <v>4</v>
      </c>
      <c r="B1010">
        <v>1008</v>
      </c>
      <c r="C1010">
        <v>98</v>
      </c>
      <c r="D1010">
        <v>6.910304069519043</v>
      </c>
      <c r="E1010" t="s">
        <v>10</v>
      </c>
      <c r="F1010" t="s">
        <v>41</v>
      </c>
      <c r="G1010">
        <v>5.4</v>
      </c>
    </row>
    <row r="1011" spans="1:7" x14ac:dyDescent="0.25">
      <c r="A1011" t="s">
        <v>4</v>
      </c>
      <c r="B1011">
        <v>1009</v>
      </c>
      <c r="C1011">
        <v>92</v>
      </c>
      <c r="D1011">
        <v>17.423135757446289</v>
      </c>
      <c r="E1011" t="s">
        <v>10</v>
      </c>
      <c r="F1011" t="s">
        <v>41</v>
      </c>
      <c r="G1011">
        <v>5.4</v>
      </c>
    </row>
    <row r="1012" spans="1:7" x14ac:dyDescent="0.25">
      <c r="A1012" t="s">
        <v>4</v>
      </c>
      <c r="B1012">
        <v>1010</v>
      </c>
      <c r="C1012">
        <v>20</v>
      </c>
      <c r="D1012">
        <v>14.508032083511353</v>
      </c>
      <c r="E1012" t="s">
        <v>10</v>
      </c>
      <c r="F1012" t="s">
        <v>41</v>
      </c>
      <c r="G1012">
        <v>5.4</v>
      </c>
    </row>
    <row r="1013" spans="1:7" x14ac:dyDescent="0.25">
      <c r="A1013" t="s">
        <v>4</v>
      </c>
      <c r="B1013">
        <v>1011</v>
      </c>
      <c r="C1013">
        <v>80</v>
      </c>
      <c r="D1013">
        <v>7.8189690113067627</v>
      </c>
      <c r="E1013" t="s">
        <v>10</v>
      </c>
      <c r="F1013" t="s">
        <v>41</v>
      </c>
      <c r="G1013">
        <v>5.4</v>
      </c>
    </row>
    <row r="1014" spans="1:7" x14ac:dyDescent="0.25">
      <c r="A1014" t="s">
        <v>4</v>
      </c>
      <c r="B1014">
        <v>1012</v>
      </c>
      <c r="C1014">
        <v>12</v>
      </c>
      <c r="D1014">
        <v>6.9125092029571533</v>
      </c>
      <c r="E1014" t="s">
        <v>10</v>
      </c>
      <c r="F1014" t="s">
        <v>13</v>
      </c>
      <c r="G1014">
        <v>5.8</v>
      </c>
    </row>
    <row r="1015" spans="1:7" x14ac:dyDescent="0.25">
      <c r="A1015" t="s">
        <v>4</v>
      </c>
      <c r="B1015">
        <v>1013</v>
      </c>
      <c r="C1015">
        <v>85</v>
      </c>
      <c r="D1015">
        <v>8.8148725032806396</v>
      </c>
      <c r="E1015" t="s">
        <v>10</v>
      </c>
      <c r="F1015" t="s">
        <v>13</v>
      </c>
      <c r="G1015">
        <v>5.8</v>
      </c>
    </row>
    <row r="1016" spans="1:7" x14ac:dyDescent="0.25">
      <c r="A1016" t="s">
        <v>4</v>
      </c>
      <c r="B1016">
        <v>1014</v>
      </c>
      <c r="C1016">
        <v>80</v>
      </c>
      <c r="D1016">
        <v>6.1370594501495361</v>
      </c>
      <c r="E1016" t="s">
        <v>10</v>
      </c>
      <c r="F1016" t="s">
        <v>13</v>
      </c>
      <c r="G1016">
        <v>1.9</v>
      </c>
    </row>
    <row r="1017" spans="1:7" x14ac:dyDescent="0.25">
      <c r="A1017" t="s">
        <v>4</v>
      </c>
      <c r="B1017">
        <v>1015</v>
      </c>
      <c r="C1017">
        <v>88</v>
      </c>
      <c r="D1017">
        <v>10.642185211181641</v>
      </c>
      <c r="E1017" t="s">
        <v>10</v>
      </c>
      <c r="F1017" t="s">
        <v>13</v>
      </c>
      <c r="G1017">
        <v>1.9</v>
      </c>
    </row>
    <row r="1018" spans="1:7" x14ac:dyDescent="0.25">
      <c r="A1018" t="s">
        <v>4</v>
      </c>
      <c r="B1018">
        <v>1016</v>
      </c>
      <c r="C1018">
        <v>40</v>
      </c>
      <c r="D1018">
        <v>8.5653996467590332</v>
      </c>
      <c r="E1018" t="s">
        <v>10</v>
      </c>
      <c r="F1018" t="s">
        <v>13</v>
      </c>
      <c r="G1018">
        <v>1.9</v>
      </c>
    </row>
    <row r="1019" spans="1:7" x14ac:dyDescent="0.25">
      <c r="A1019" t="s">
        <v>4</v>
      </c>
      <c r="B1019">
        <v>1017</v>
      </c>
      <c r="C1019">
        <v>100</v>
      </c>
      <c r="D1019">
        <v>4.7040135860443115</v>
      </c>
      <c r="E1019" t="s">
        <v>10</v>
      </c>
      <c r="F1019" t="s">
        <v>41</v>
      </c>
      <c r="G1019">
        <v>6.2</v>
      </c>
    </row>
    <row r="1020" spans="1:7" x14ac:dyDescent="0.25">
      <c r="A1020" t="s">
        <v>4</v>
      </c>
      <c r="B1020">
        <v>1018</v>
      </c>
      <c r="C1020">
        <v>90</v>
      </c>
      <c r="D1020">
        <v>3.7617185115814209</v>
      </c>
      <c r="E1020" t="s">
        <v>10</v>
      </c>
      <c r="F1020" t="s">
        <v>44</v>
      </c>
      <c r="G1020">
        <v>5.6</v>
      </c>
    </row>
    <row r="1021" spans="1:7" x14ac:dyDescent="0.25">
      <c r="A1021" t="s">
        <v>4</v>
      </c>
      <c r="B1021">
        <v>1019</v>
      </c>
      <c r="C1021">
        <v>81</v>
      </c>
      <c r="D1021">
        <v>7.8014259338378906</v>
      </c>
      <c r="E1021" t="s">
        <v>10</v>
      </c>
      <c r="F1021" t="s">
        <v>43</v>
      </c>
      <c r="G1021">
        <v>2.1</v>
      </c>
    </row>
    <row r="1022" spans="1:7" x14ac:dyDescent="0.25">
      <c r="A1022" t="s">
        <v>4</v>
      </c>
      <c r="B1022">
        <v>1020</v>
      </c>
      <c r="C1022">
        <v>70</v>
      </c>
      <c r="D1022">
        <v>4.0446798801422119</v>
      </c>
      <c r="E1022" t="s">
        <v>10</v>
      </c>
      <c r="F1022" t="s">
        <v>41</v>
      </c>
      <c r="G1022">
        <v>7.8</v>
      </c>
    </row>
    <row r="1023" spans="1:7" x14ac:dyDescent="0.25">
      <c r="A1023" t="s">
        <v>4</v>
      </c>
      <c r="B1023">
        <v>1021</v>
      </c>
      <c r="C1023">
        <v>98</v>
      </c>
      <c r="D1023">
        <v>5.3944370746612549</v>
      </c>
      <c r="E1023" t="s">
        <v>10</v>
      </c>
      <c r="F1023" t="s">
        <v>41</v>
      </c>
      <c r="G1023">
        <v>7.8</v>
      </c>
    </row>
    <row r="1024" spans="1:7" x14ac:dyDescent="0.25">
      <c r="A1024" t="s">
        <v>4</v>
      </c>
      <c r="B1024">
        <v>1022</v>
      </c>
      <c r="C1024">
        <v>83</v>
      </c>
      <c r="D1024">
        <v>4.3214635848999023</v>
      </c>
      <c r="E1024" t="s">
        <v>10</v>
      </c>
      <c r="F1024" t="s">
        <v>41</v>
      </c>
      <c r="G1024">
        <v>7.8</v>
      </c>
    </row>
    <row r="1025" spans="1:7" x14ac:dyDescent="0.25">
      <c r="A1025" t="s">
        <v>4</v>
      </c>
      <c r="B1025">
        <v>1023</v>
      </c>
      <c r="C1025">
        <v>84</v>
      </c>
      <c r="D1025">
        <v>13.840661525726318</v>
      </c>
      <c r="E1025" t="s">
        <v>10</v>
      </c>
      <c r="F1025" t="s">
        <v>46</v>
      </c>
      <c r="G1025">
        <v>7.6</v>
      </c>
    </row>
    <row r="1026" spans="1:7" x14ac:dyDescent="0.25">
      <c r="A1026" t="s">
        <v>4</v>
      </c>
      <c r="B1026">
        <v>1024</v>
      </c>
      <c r="C1026">
        <v>24</v>
      </c>
      <c r="D1026">
        <v>8.5253932476043701</v>
      </c>
      <c r="E1026" t="s">
        <v>10</v>
      </c>
      <c r="F1026" t="s">
        <v>41</v>
      </c>
      <c r="G1026">
        <v>4.9000000000000004</v>
      </c>
    </row>
    <row r="1027" spans="1:7" x14ac:dyDescent="0.25">
      <c r="A1027" t="s">
        <v>4</v>
      </c>
      <c r="B1027">
        <v>1025</v>
      </c>
      <c r="C1027">
        <v>14</v>
      </c>
      <c r="D1027">
        <v>6.5882441997528076</v>
      </c>
      <c r="E1027" t="s">
        <v>10</v>
      </c>
      <c r="F1027" t="s">
        <v>46</v>
      </c>
      <c r="G1027">
        <v>4.7</v>
      </c>
    </row>
    <row r="1028" spans="1:7" x14ac:dyDescent="0.25">
      <c r="A1028" t="s">
        <v>4</v>
      </c>
      <c r="B1028">
        <v>1026</v>
      </c>
      <c r="C1028">
        <v>20</v>
      </c>
      <c r="D1028">
        <v>6.6045072078704834</v>
      </c>
      <c r="E1028" t="s">
        <v>10</v>
      </c>
      <c r="F1028" t="s">
        <v>41</v>
      </c>
      <c r="G1028">
        <v>7.8</v>
      </c>
    </row>
    <row r="1029" spans="1:7" x14ac:dyDescent="0.25">
      <c r="A1029" t="s">
        <v>4</v>
      </c>
      <c r="B1029">
        <v>1027</v>
      </c>
      <c r="C1029">
        <v>85</v>
      </c>
      <c r="D1029">
        <v>10.055090665817261</v>
      </c>
      <c r="E1029" t="s">
        <v>10</v>
      </c>
      <c r="F1029" t="s">
        <v>41</v>
      </c>
      <c r="G1029">
        <v>7.8</v>
      </c>
    </row>
    <row r="1030" spans="1:7" x14ac:dyDescent="0.25">
      <c r="A1030" t="s">
        <v>4</v>
      </c>
      <c r="B1030">
        <v>1028</v>
      </c>
      <c r="C1030">
        <v>85</v>
      </c>
      <c r="D1030">
        <v>3.7163448333740234</v>
      </c>
      <c r="E1030" t="s">
        <v>10</v>
      </c>
      <c r="F1030" t="s">
        <v>47</v>
      </c>
      <c r="G1030">
        <v>5</v>
      </c>
    </row>
    <row r="1031" spans="1:7" x14ac:dyDescent="0.25">
      <c r="A1031" t="s">
        <v>4</v>
      </c>
      <c r="B1031">
        <v>1029</v>
      </c>
      <c r="C1031">
        <v>0</v>
      </c>
      <c r="D1031">
        <v>16.431935548782349</v>
      </c>
      <c r="E1031" t="s">
        <v>10</v>
      </c>
      <c r="F1031" t="s">
        <v>13</v>
      </c>
      <c r="G1031">
        <v>2.1</v>
      </c>
    </row>
    <row r="1032" spans="1:7" x14ac:dyDescent="0.25">
      <c r="A1032" t="s">
        <v>4</v>
      </c>
      <c r="B1032">
        <v>1030</v>
      </c>
      <c r="C1032">
        <v>20</v>
      </c>
      <c r="D1032">
        <v>6.5538020133972168</v>
      </c>
      <c r="E1032" t="s">
        <v>10</v>
      </c>
      <c r="F1032" t="s">
        <v>41</v>
      </c>
      <c r="G1032">
        <v>4.9000000000000004</v>
      </c>
    </row>
    <row r="1033" spans="1:7" x14ac:dyDescent="0.25">
      <c r="A1033" t="s">
        <v>4</v>
      </c>
      <c r="B1033">
        <v>1031</v>
      </c>
      <c r="C1033">
        <v>60</v>
      </c>
      <c r="D1033">
        <v>4.0637843608856201</v>
      </c>
      <c r="E1033" t="s">
        <v>10</v>
      </c>
      <c r="F1033" t="s">
        <v>41</v>
      </c>
      <c r="G1033">
        <v>4.9000000000000004</v>
      </c>
    </row>
    <row r="1034" spans="1:7" x14ac:dyDescent="0.25">
      <c r="A1034" t="s">
        <v>4</v>
      </c>
      <c r="B1034">
        <v>1032</v>
      </c>
      <c r="C1034">
        <v>99</v>
      </c>
      <c r="D1034">
        <v>17.437350034713745</v>
      </c>
      <c r="E1034" t="s">
        <v>10</v>
      </c>
      <c r="F1034" t="s">
        <v>46</v>
      </c>
      <c r="G1034">
        <v>4.9000000000000004</v>
      </c>
    </row>
    <row r="1035" spans="1:7" x14ac:dyDescent="0.25">
      <c r="A1035" t="s">
        <v>4</v>
      </c>
      <c r="B1035">
        <v>1033</v>
      </c>
      <c r="C1035">
        <v>14</v>
      </c>
      <c r="D1035">
        <v>6.3328561782836914</v>
      </c>
      <c r="E1035" t="s">
        <v>10</v>
      </c>
      <c r="F1035" t="s">
        <v>46</v>
      </c>
      <c r="G1035">
        <v>4.9000000000000004</v>
      </c>
    </row>
    <row r="1036" spans="1:7" x14ac:dyDescent="0.25">
      <c r="A1036" t="s">
        <v>4</v>
      </c>
      <c r="B1036">
        <v>1034</v>
      </c>
      <c r="C1036">
        <v>99</v>
      </c>
      <c r="D1036">
        <v>6.9648349285125732</v>
      </c>
      <c r="E1036" t="s">
        <v>10</v>
      </c>
      <c r="F1036" t="s">
        <v>41</v>
      </c>
      <c r="G1036">
        <v>4.5999999999999996</v>
      </c>
    </row>
    <row r="1037" spans="1:7" x14ac:dyDescent="0.25">
      <c r="A1037" t="s">
        <v>4</v>
      </c>
      <c r="B1037">
        <v>1035</v>
      </c>
      <c r="C1037">
        <v>100</v>
      </c>
      <c r="D1037">
        <v>7.6010360717773438</v>
      </c>
      <c r="E1037" t="s">
        <v>10</v>
      </c>
      <c r="F1037" t="s">
        <v>48</v>
      </c>
      <c r="G1037">
        <v>7.2</v>
      </c>
    </row>
    <row r="1038" spans="1:7" x14ac:dyDescent="0.25">
      <c r="A1038" t="s">
        <v>4</v>
      </c>
      <c r="B1038">
        <v>1036</v>
      </c>
      <c r="C1038">
        <v>83</v>
      </c>
      <c r="D1038">
        <v>9.7438533306121826</v>
      </c>
      <c r="E1038" t="s">
        <v>10</v>
      </c>
      <c r="F1038" t="s">
        <v>48</v>
      </c>
      <c r="G1038">
        <v>7.2</v>
      </c>
    </row>
    <row r="1039" spans="1:7" x14ac:dyDescent="0.25">
      <c r="A1039" t="s">
        <v>4</v>
      </c>
      <c r="B1039">
        <v>1037</v>
      </c>
      <c r="C1039">
        <v>84</v>
      </c>
      <c r="D1039">
        <v>5.7126166820526123</v>
      </c>
      <c r="E1039" t="s">
        <v>10</v>
      </c>
      <c r="F1039" t="s">
        <v>13</v>
      </c>
      <c r="G1039">
        <v>1.2</v>
      </c>
    </row>
    <row r="1040" spans="1:7" x14ac:dyDescent="0.25">
      <c r="A1040" t="s">
        <v>4</v>
      </c>
      <c r="B1040">
        <v>1038</v>
      </c>
      <c r="C1040">
        <v>42</v>
      </c>
      <c r="D1040">
        <v>6.2310035228729248</v>
      </c>
      <c r="E1040" t="s">
        <v>10</v>
      </c>
      <c r="F1040" t="s">
        <v>49</v>
      </c>
      <c r="G1040">
        <v>7.2</v>
      </c>
    </row>
    <row r="1041" spans="1:7" x14ac:dyDescent="0.25">
      <c r="A1041" t="s">
        <v>4</v>
      </c>
      <c r="B1041">
        <v>1039</v>
      </c>
      <c r="C1041">
        <v>72</v>
      </c>
      <c r="D1041">
        <v>3.159808874130249</v>
      </c>
      <c r="E1041" t="s">
        <v>10</v>
      </c>
      <c r="F1041" t="s">
        <v>50</v>
      </c>
      <c r="G1041">
        <v>4</v>
      </c>
    </row>
    <row r="1042" spans="1:7" x14ac:dyDescent="0.25">
      <c r="A1042" t="s">
        <v>4</v>
      </c>
      <c r="B1042">
        <v>1040</v>
      </c>
      <c r="C1042">
        <v>99</v>
      </c>
      <c r="D1042">
        <v>3.3822484016418457</v>
      </c>
      <c r="E1042" t="s">
        <v>10</v>
      </c>
      <c r="F1042" t="s">
        <v>50</v>
      </c>
      <c r="G1042">
        <v>4</v>
      </c>
    </row>
    <row r="1043" spans="1:7" x14ac:dyDescent="0.25">
      <c r="A1043" t="s">
        <v>4</v>
      </c>
      <c r="B1043">
        <v>1041</v>
      </c>
      <c r="C1043">
        <v>10</v>
      </c>
      <c r="D1043">
        <v>4.9820635318756104</v>
      </c>
      <c r="E1043" t="s">
        <v>10</v>
      </c>
      <c r="F1043" t="s">
        <v>50</v>
      </c>
      <c r="G1043">
        <v>4</v>
      </c>
    </row>
    <row r="1044" spans="1:7" x14ac:dyDescent="0.25">
      <c r="A1044" t="s">
        <v>4</v>
      </c>
      <c r="B1044">
        <v>1042</v>
      </c>
      <c r="C1044">
        <v>100</v>
      </c>
      <c r="D1044">
        <v>3.0801265239715576</v>
      </c>
      <c r="E1044" t="s">
        <v>10</v>
      </c>
      <c r="F1044" t="s">
        <v>50</v>
      </c>
      <c r="G1044">
        <v>4</v>
      </c>
    </row>
    <row r="1045" spans="1:7" x14ac:dyDescent="0.25">
      <c r="A1045" t="s">
        <v>4</v>
      </c>
      <c r="B1045">
        <v>1043</v>
      </c>
      <c r="C1045">
        <v>90</v>
      </c>
      <c r="D1045">
        <v>4.3321292400360107</v>
      </c>
      <c r="E1045" t="s">
        <v>10</v>
      </c>
      <c r="F1045" t="s">
        <v>50</v>
      </c>
      <c r="G1045">
        <v>4</v>
      </c>
    </row>
    <row r="1046" spans="1:7" x14ac:dyDescent="0.25">
      <c r="A1046" t="s">
        <v>4</v>
      </c>
      <c r="B1046">
        <v>1044</v>
      </c>
      <c r="C1046">
        <v>95</v>
      </c>
      <c r="D1046">
        <v>4.9921271800994873</v>
      </c>
      <c r="E1046" t="s">
        <v>10</v>
      </c>
      <c r="F1046" t="s">
        <v>50</v>
      </c>
      <c r="G1046">
        <v>4</v>
      </c>
    </row>
    <row r="1047" spans="1:7" x14ac:dyDescent="0.25">
      <c r="A1047" t="s">
        <v>4</v>
      </c>
      <c r="B1047">
        <v>1045</v>
      </c>
      <c r="C1047">
        <v>99</v>
      </c>
      <c r="D1047">
        <v>4.23193359375</v>
      </c>
      <c r="E1047" t="s">
        <v>10</v>
      </c>
      <c r="F1047" t="s">
        <v>50</v>
      </c>
      <c r="G1047">
        <v>4</v>
      </c>
    </row>
    <row r="1048" spans="1:7" x14ac:dyDescent="0.25">
      <c r="A1048" t="s">
        <v>4</v>
      </c>
      <c r="B1048">
        <v>1046</v>
      </c>
      <c r="C1048">
        <v>83</v>
      </c>
      <c r="D1048">
        <v>6.6712422370910645</v>
      </c>
      <c r="E1048" t="s">
        <v>10</v>
      </c>
      <c r="F1048" t="s">
        <v>50</v>
      </c>
      <c r="G1048">
        <v>4</v>
      </c>
    </row>
    <row r="1049" spans="1:7" x14ac:dyDescent="0.25">
      <c r="A1049" t="s">
        <v>4</v>
      </c>
      <c r="B1049">
        <v>1047</v>
      </c>
      <c r="C1049">
        <v>85</v>
      </c>
      <c r="D1049">
        <v>3.2087068557739258</v>
      </c>
      <c r="E1049" t="s">
        <v>10</v>
      </c>
      <c r="F1049" t="s">
        <v>50</v>
      </c>
      <c r="G1049">
        <v>4</v>
      </c>
    </row>
    <row r="1050" spans="1:7" x14ac:dyDescent="0.25">
      <c r="A1050" t="s">
        <v>4</v>
      </c>
      <c r="B1050">
        <v>1048</v>
      </c>
      <c r="C1050">
        <v>100</v>
      </c>
      <c r="D1050">
        <v>4.1632001399993896</v>
      </c>
      <c r="E1050" t="s">
        <v>10</v>
      </c>
      <c r="F1050" t="s">
        <v>50</v>
      </c>
      <c r="G1050">
        <v>4</v>
      </c>
    </row>
    <row r="1051" spans="1:7" x14ac:dyDescent="0.25">
      <c r="A1051" t="s">
        <v>4</v>
      </c>
      <c r="B1051">
        <v>1049</v>
      </c>
      <c r="C1051">
        <v>74</v>
      </c>
      <c r="D1051">
        <v>5.3783938884735107</v>
      </c>
      <c r="E1051" t="s">
        <v>10</v>
      </c>
      <c r="F1051" t="s">
        <v>50</v>
      </c>
      <c r="G1051">
        <v>4</v>
      </c>
    </row>
    <row r="1052" spans="1:7" x14ac:dyDescent="0.25">
      <c r="A1052" t="s">
        <v>4</v>
      </c>
      <c r="B1052">
        <v>1050</v>
      </c>
      <c r="C1052">
        <v>0</v>
      </c>
      <c r="D1052">
        <v>2.5506219863891602</v>
      </c>
      <c r="E1052" t="s">
        <v>10</v>
      </c>
      <c r="F1052" t="s">
        <v>46</v>
      </c>
      <c r="G1052">
        <v>5</v>
      </c>
    </row>
    <row r="1053" spans="1:7" x14ac:dyDescent="0.25">
      <c r="A1053" t="s">
        <v>4</v>
      </c>
      <c r="B1053">
        <v>1051</v>
      </c>
      <c r="C1053">
        <v>80</v>
      </c>
      <c r="D1053">
        <v>4.2416207790374756</v>
      </c>
      <c r="E1053" t="s">
        <v>10</v>
      </c>
      <c r="F1053" t="s">
        <v>46</v>
      </c>
      <c r="G1053">
        <v>5</v>
      </c>
    </row>
    <row r="1054" spans="1:7" x14ac:dyDescent="0.25">
      <c r="A1054" t="s">
        <v>4</v>
      </c>
      <c r="B1054">
        <v>1052</v>
      </c>
      <c r="C1054">
        <v>12</v>
      </c>
      <c r="D1054">
        <v>5.7357523441314697</v>
      </c>
      <c r="E1054" t="s">
        <v>10</v>
      </c>
      <c r="F1054" t="s">
        <v>45</v>
      </c>
      <c r="G1054">
        <v>7.2</v>
      </c>
    </row>
    <row r="1055" spans="1:7" x14ac:dyDescent="0.25">
      <c r="A1055" t="s">
        <v>4</v>
      </c>
      <c r="B1055">
        <v>1053</v>
      </c>
      <c r="C1055">
        <v>48</v>
      </c>
      <c r="D1055">
        <v>3.4894976615905762</v>
      </c>
      <c r="E1055" t="s">
        <v>10</v>
      </c>
      <c r="F1055" t="s">
        <v>41</v>
      </c>
      <c r="G1055">
        <v>4.9000000000000004</v>
      </c>
    </row>
    <row r="1056" spans="1:7" x14ac:dyDescent="0.25">
      <c r="A1056" t="s">
        <v>4</v>
      </c>
      <c r="B1056">
        <v>1054</v>
      </c>
      <c r="C1056">
        <v>0</v>
      </c>
      <c r="D1056">
        <v>15.213286161422729</v>
      </c>
      <c r="E1056" t="s">
        <v>10</v>
      </c>
      <c r="F1056" t="s">
        <v>41</v>
      </c>
      <c r="G1056">
        <v>4.9000000000000004</v>
      </c>
    </row>
    <row r="1057" spans="1:7" x14ac:dyDescent="0.25">
      <c r="A1057" t="s">
        <v>4</v>
      </c>
      <c r="B1057">
        <v>1055</v>
      </c>
      <c r="C1057">
        <v>14</v>
      </c>
      <c r="D1057">
        <v>5.6415669918060303</v>
      </c>
      <c r="E1057" t="s">
        <v>10</v>
      </c>
      <c r="F1057" t="s">
        <v>41</v>
      </c>
      <c r="G1057">
        <v>7.1</v>
      </c>
    </row>
    <row r="1058" spans="1:7" x14ac:dyDescent="0.25">
      <c r="A1058" t="s">
        <v>4</v>
      </c>
      <c r="B1058">
        <v>1056</v>
      </c>
      <c r="C1058">
        <v>80</v>
      </c>
      <c r="D1058">
        <v>4.6642124652862549</v>
      </c>
      <c r="E1058" t="s">
        <v>10</v>
      </c>
      <c r="F1058" t="s">
        <v>41</v>
      </c>
      <c r="G1058">
        <v>4.9000000000000004</v>
      </c>
    </row>
    <row r="1059" spans="1:7" x14ac:dyDescent="0.25">
      <c r="A1059" t="s">
        <v>4</v>
      </c>
      <c r="B1059">
        <v>1057</v>
      </c>
      <c r="C1059">
        <v>86</v>
      </c>
      <c r="D1059">
        <v>4.6226155757904053</v>
      </c>
      <c r="E1059" t="s">
        <v>10</v>
      </c>
      <c r="F1059" t="s">
        <v>41</v>
      </c>
      <c r="G1059">
        <v>4.9000000000000004</v>
      </c>
    </row>
    <row r="1060" spans="1:7" x14ac:dyDescent="0.25">
      <c r="A1060" t="s">
        <v>4</v>
      </c>
      <c r="B1060">
        <v>1058</v>
      </c>
      <c r="C1060">
        <v>88</v>
      </c>
      <c r="D1060">
        <v>2.8630707263946533</v>
      </c>
      <c r="E1060" t="s">
        <v>10</v>
      </c>
      <c r="F1060" t="s">
        <v>41</v>
      </c>
      <c r="G1060">
        <v>5</v>
      </c>
    </row>
    <row r="1061" spans="1:7" x14ac:dyDescent="0.25">
      <c r="A1061" t="s">
        <v>4</v>
      </c>
      <c r="B1061">
        <v>1059</v>
      </c>
      <c r="C1061">
        <v>40</v>
      </c>
      <c r="D1061">
        <v>18.309030055999756</v>
      </c>
      <c r="E1061" t="s">
        <v>10</v>
      </c>
      <c r="F1061" t="s">
        <v>46</v>
      </c>
      <c r="G1061">
        <v>4.3</v>
      </c>
    </row>
    <row r="1062" spans="1:7" x14ac:dyDescent="0.25">
      <c r="A1062" t="s">
        <v>4</v>
      </c>
      <c r="B1062">
        <v>1060</v>
      </c>
      <c r="C1062">
        <v>87</v>
      </c>
      <c r="D1062">
        <v>3.8285372257232666</v>
      </c>
      <c r="E1062" t="s">
        <v>10</v>
      </c>
      <c r="F1062" t="s">
        <v>46</v>
      </c>
      <c r="G1062">
        <v>4.3</v>
      </c>
    </row>
    <row r="1063" spans="1:7" x14ac:dyDescent="0.25">
      <c r="A1063" t="s">
        <v>4</v>
      </c>
      <c r="B1063">
        <v>1061</v>
      </c>
      <c r="C1063">
        <v>90</v>
      </c>
      <c r="D1063">
        <v>4.7035584449768066</v>
      </c>
      <c r="E1063" t="s">
        <v>10</v>
      </c>
      <c r="F1063" t="s">
        <v>46</v>
      </c>
      <c r="G1063">
        <v>4.3</v>
      </c>
    </row>
    <row r="1064" spans="1:7" x14ac:dyDescent="0.25">
      <c r="A1064" t="s">
        <v>4</v>
      </c>
      <c r="B1064">
        <v>1062</v>
      </c>
      <c r="C1064">
        <v>84</v>
      </c>
      <c r="D1064">
        <v>5.037212610244751</v>
      </c>
      <c r="E1064" t="s">
        <v>10</v>
      </c>
      <c r="F1064" t="s">
        <v>41</v>
      </c>
      <c r="G1064">
        <v>5.2</v>
      </c>
    </row>
    <row r="1065" spans="1:7" x14ac:dyDescent="0.25">
      <c r="A1065" t="s">
        <v>4</v>
      </c>
      <c r="B1065">
        <v>1063</v>
      </c>
      <c r="C1065">
        <v>100</v>
      </c>
      <c r="D1065">
        <v>3.7859499454498291</v>
      </c>
      <c r="E1065" t="s">
        <v>10</v>
      </c>
      <c r="F1065" t="s">
        <v>41</v>
      </c>
      <c r="G1065">
        <v>5.2</v>
      </c>
    </row>
    <row r="1066" spans="1:7" x14ac:dyDescent="0.25">
      <c r="A1066" t="s">
        <v>4</v>
      </c>
      <c r="B1066">
        <v>1064</v>
      </c>
      <c r="C1066">
        <v>87</v>
      </c>
      <c r="D1066">
        <v>4.4961047172546387</v>
      </c>
      <c r="E1066" t="s">
        <v>10</v>
      </c>
      <c r="F1066" t="s">
        <v>41</v>
      </c>
      <c r="G1066">
        <v>5.2</v>
      </c>
    </row>
    <row r="1067" spans="1:7" x14ac:dyDescent="0.25">
      <c r="A1067" t="s">
        <v>4</v>
      </c>
      <c r="B1067">
        <v>1065</v>
      </c>
      <c r="C1067">
        <v>100</v>
      </c>
      <c r="D1067">
        <v>4.2529549598693848</v>
      </c>
      <c r="E1067" t="s">
        <v>10</v>
      </c>
      <c r="F1067" t="s">
        <v>41</v>
      </c>
      <c r="G1067">
        <v>5.2</v>
      </c>
    </row>
    <row r="1068" spans="1:7" x14ac:dyDescent="0.25">
      <c r="A1068" t="s">
        <v>4</v>
      </c>
      <c r="B1068">
        <v>1066</v>
      </c>
      <c r="C1068">
        <v>97</v>
      </c>
      <c r="D1068">
        <v>4.3418684005737305</v>
      </c>
      <c r="E1068" t="s">
        <v>10</v>
      </c>
      <c r="F1068" t="s">
        <v>41</v>
      </c>
      <c r="G1068">
        <v>5.2</v>
      </c>
    </row>
    <row r="1069" spans="1:7" x14ac:dyDescent="0.25">
      <c r="A1069" t="s">
        <v>4</v>
      </c>
      <c r="B1069">
        <v>1067</v>
      </c>
      <c r="C1069">
        <v>88</v>
      </c>
      <c r="D1069">
        <v>5.638188362121582</v>
      </c>
      <c r="E1069" t="s">
        <v>10</v>
      </c>
      <c r="F1069" t="s">
        <v>41</v>
      </c>
      <c r="G1069">
        <v>5.2</v>
      </c>
    </row>
    <row r="1070" spans="1:7" x14ac:dyDescent="0.25">
      <c r="A1070" t="s">
        <v>4</v>
      </c>
      <c r="B1070">
        <v>1068</v>
      </c>
      <c r="C1070">
        <v>87</v>
      </c>
      <c r="D1070">
        <v>5.7967503070831299</v>
      </c>
      <c r="E1070" t="s">
        <v>10</v>
      </c>
      <c r="F1070" t="s">
        <v>41</v>
      </c>
      <c r="G1070">
        <v>5.2</v>
      </c>
    </row>
    <row r="1071" spans="1:7" x14ac:dyDescent="0.25">
      <c r="A1071" t="s">
        <v>4</v>
      </c>
      <c r="B1071">
        <v>1069</v>
      </c>
      <c r="C1071">
        <v>80</v>
      </c>
      <c r="D1071">
        <v>4.0485992431640625</v>
      </c>
      <c r="E1071" t="s">
        <v>10</v>
      </c>
      <c r="F1071" t="s">
        <v>41</v>
      </c>
      <c r="G1071">
        <v>5.2</v>
      </c>
    </row>
    <row r="1072" spans="1:7" x14ac:dyDescent="0.25">
      <c r="A1072" t="s">
        <v>4</v>
      </c>
      <c r="B1072">
        <v>1070</v>
      </c>
      <c r="C1072">
        <v>72</v>
      </c>
      <c r="D1072">
        <v>3.3127372264862061</v>
      </c>
      <c r="E1072" t="s">
        <v>10</v>
      </c>
      <c r="F1072" t="s">
        <v>41</v>
      </c>
      <c r="G1072">
        <v>5.2</v>
      </c>
    </row>
    <row r="1073" spans="1:7" x14ac:dyDescent="0.25">
      <c r="A1073" t="s">
        <v>4</v>
      </c>
      <c r="B1073">
        <v>1071</v>
      </c>
      <c r="C1073">
        <v>86</v>
      </c>
      <c r="D1073">
        <v>3.5623636245727539</v>
      </c>
      <c r="E1073" t="s">
        <v>10</v>
      </c>
      <c r="F1073" t="s">
        <v>41</v>
      </c>
      <c r="G1073">
        <v>5.2</v>
      </c>
    </row>
    <row r="1074" spans="1:7" x14ac:dyDescent="0.25">
      <c r="A1074" t="s">
        <v>4</v>
      </c>
      <c r="B1074">
        <v>1072</v>
      </c>
      <c r="C1074">
        <v>72</v>
      </c>
      <c r="D1074">
        <v>3.9476497173309326</v>
      </c>
      <c r="E1074" t="s">
        <v>10</v>
      </c>
      <c r="F1074" t="s">
        <v>41</v>
      </c>
      <c r="G1074">
        <v>5.2</v>
      </c>
    </row>
    <row r="1075" spans="1:7" x14ac:dyDescent="0.25">
      <c r="A1075" t="s">
        <v>4</v>
      </c>
      <c r="B1075">
        <v>1073</v>
      </c>
      <c r="C1075">
        <v>98</v>
      </c>
      <c r="D1075">
        <v>3.3402323722839355</v>
      </c>
      <c r="E1075" t="s">
        <v>10</v>
      </c>
      <c r="F1075" t="s">
        <v>41</v>
      </c>
      <c r="G1075">
        <v>5.2</v>
      </c>
    </row>
    <row r="1076" spans="1:7" x14ac:dyDescent="0.25">
      <c r="A1076" t="s">
        <v>4</v>
      </c>
      <c r="B1076">
        <v>1074</v>
      </c>
      <c r="C1076">
        <v>20</v>
      </c>
      <c r="D1076">
        <v>4.4381988048553467</v>
      </c>
      <c r="E1076" t="s">
        <v>10</v>
      </c>
      <c r="F1076" t="s">
        <v>46</v>
      </c>
      <c r="G1076">
        <v>5</v>
      </c>
    </row>
    <row r="1077" spans="1:7" x14ac:dyDescent="0.25">
      <c r="A1077" t="s">
        <v>4</v>
      </c>
      <c r="B1077">
        <v>1075</v>
      </c>
      <c r="C1077">
        <v>80</v>
      </c>
      <c r="D1077">
        <v>3.3591578006744385</v>
      </c>
      <c r="E1077" t="s">
        <v>10</v>
      </c>
      <c r="F1077" t="s">
        <v>46</v>
      </c>
      <c r="G1077">
        <v>5</v>
      </c>
    </row>
    <row r="1078" spans="1:7" x14ac:dyDescent="0.25">
      <c r="A1078" t="s">
        <v>4</v>
      </c>
      <c r="B1078">
        <v>1076</v>
      </c>
      <c r="C1078">
        <v>75</v>
      </c>
      <c r="D1078">
        <v>3.8130619525909424</v>
      </c>
      <c r="E1078" t="s">
        <v>10</v>
      </c>
      <c r="F1078" t="s">
        <v>46</v>
      </c>
      <c r="G1078">
        <v>5</v>
      </c>
    </row>
    <row r="1079" spans="1:7" x14ac:dyDescent="0.25">
      <c r="A1079" t="s">
        <v>4</v>
      </c>
      <c r="B1079">
        <v>1077</v>
      </c>
      <c r="C1079">
        <v>100</v>
      </c>
      <c r="D1079">
        <v>3.4883859157562256</v>
      </c>
      <c r="E1079" t="s">
        <v>10</v>
      </c>
      <c r="F1079" t="s">
        <v>46</v>
      </c>
      <c r="G1079">
        <v>5</v>
      </c>
    </row>
    <row r="1080" spans="1:7" x14ac:dyDescent="0.25">
      <c r="A1080" t="s">
        <v>4</v>
      </c>
      <c r="B1080">
        <v>1078</v>
      </c>
      <c r="C1080">
        <v>99</v>
      </c>
      <c r="D1080">
        <v>5.6716139316558838</v>
      </c>
      <c r="E1080" t="s">
        <v>10</v>
      </c>
      <c r="F1080" t="s">
        <v>46</v>
      </c>
      <c r="G1080">
        <v>5</v>
      </c>
    </row>
    <row r="1081" spans="1:7" x14ac:dyDescent="0.25">
      <c r="A1081" t="s">
        <v>4</v>
      </c>
      <c r="B1081">
        <v>1079</v>
      </c>
      <c r="C1081">
        <v>78</v>
      </c>
      <c r="D1081">
        <v>5.4947021007537842</v>
      </c>
      <c r="E1081" t="s">
        <v>10</v>
      </c>
      <c r="F1081" t="s">
        <v>41</v>
      </c>
      <c r="G1081">
        <v>10</v>
      </c>
    </row>
    <row r="1082" spans="1:7" x14ac:dyDescent="0.25">
      <c r="A1082" t="s">
        <v>4</v>
      </c>
      <c r="B1082">
        <v>1080</v>
      </c>
      <c r="C1082">
        <v>97</v>
      </c>
      <c r="D1082">
        <v>5.5951740741729736</v>
      </c>
      <c r="E1082" t="s">
        <v>10</v>
      </c>
      <c r="F1082" t="s">
        <v>41</v>
      </c>
      <c r="G1082">
        <v>7.2</v>
      </c>
    </row>
    <row r="1083" spans="1:7" x14ac:dyDescent="0.25">
      <c r="A1083" t="s">
        <v>4</v>
      </c>
      <c r="B1083">
        <v>1081</v>
      </c>
      <c r="C1083">
        <v>100</v>
      </c>
      <c r="D1083">
        <v>12.099745273590088</v>
      </c>
      <c r="E1083" t="s">
        <v>10</v>
      </c>
      <c r="F1083" t="s">
        <v>41</v>
      </c>
      <c r="G1083">
        <v>4.9000000000000004</v>
      </c>
    </row>
    <row r="1084" spans="1:7" x14ac:dyDescent="0.25">
      <c r="A1084" t="s">
        <v>4</v>
      </c>
      <c r="B1084">
        <v>1082</v>
      </c>
      <c r="C1084">
        <v>90</v>
      </c>
      <c r="D1084">
        <v>3.4643714427947998</v>
      </c>
      <c r="E1084" t="s">
        <v>10</v>
      </c>
      <c r="F1084" t="s">
        <v>41</v>
      </c>
      <c r="G1084">
        <v>4</v>
      </c>
    </row>
    <row r="1085" spans="1:7" x14ac:dyDescent="0.25">
      <c r="A1085" t="s">
        <v>4</v>
      </c>
      <c r="B1085">
        <v>1083</v>
      </c>
      <c r="C1085">
        <v>84</v>
      </c>
      <c r="D1085">
        <v>3.2210304737091064</v>
      </c>
      <c r="E1085" t="s">
        <v>10</v>
      </c>
      <c r="F1085" t="s">
        <v>43</v>
      </c>
      <c r="G1085">
        <v>4.9000000000000004</v>
      </c>
    </row>
    <row r="1086" spans="1:7" x14ac:dyDescent="0.25">
      <c r="A1086" t="s">
        <v>4</v>
      </c>
      <c r="B1086">
        <v>1084</v>
      </c>
      <c r="C1086">
        <v>80</v>
      </c>
      <c r="D1086">
        <v>2.9468889236450195</v>
      </c>
      <c r="E1086" t="s">
        <v>10</v>
      </c>
      <c r="F1086" t="s">
        <v>41</v>
      </c>
      <c r="G1086">
        <v>4.9000000000000004</v>
      </c>
    </row>
    <row r="1087" spans="1:7" x14ac:dyDescent="0.25">
      <c r="A1087" t="s">
        <v>4</v>
      </c>
      <c r="B1087">
        <v>1085</v>
      </c>
      <c r="C1087">
        <v>0</v>
      </c>
      <c r="D1087">
        <v>5.7233700752258301</v>
      </c>
      <c r="E1087" t="s">
        <v>10</v>
      </c>
      <c r="F1087" t="s">
        <v>42</v>
      </c>
      <c r="G1087">
        <v>5.0999999999999996</v>
      </c>
    </row>
    <row r="1088" spans="1:7" x14ac:dyDescent="0.25">
      <c r="A1088" t="s">
        <v>4</v>
      </c>
      <c r="B1088">
        <v>1086</v>
      </c>
      <c r="C1088">
        <v>72</v>
      </c>
      <c r="D1088">
        <v>5.0581545829772949</v>
      </c>
      <c r="E1088" t="s">
        <v>10</v>
      </c>
      <c r="F1088" t="s">
        <v>42</v>
      </c>
      <c r="G1088">
        <v>5.0999999999999996</v>
      </c>
    </row>
    <row r="1089" spans="1:7" x14ac:dyDescent="0.25">
      <c r="A1089" t="s">
        <v>4</v>
      </c>
      <c r="B1089">
        <v>1087</v>
      </c>
      <c r="C1089">
        <v>45</v>
      </c>
      <c r="D1089">
        <v>8.0963664054870605</v>
      </c>
      <c r="E1089" t="s">
        <v>10</v>
      </c>
      <c r="F1089" t="s">
        <v>41</v>
      </c>
      <c r="G1089">
        <v>7.8</v>
      </c>
    </row>
    <row r="1090" spans="1:7" x14ac:dyDescent="0.25">
      <c r="A1090" t="s">
        <v>4</v>
      </c>
      <c r="B1090">
        <v>1088</v>
      </c>
      <c r="C1090">
        <v>85</v>
      </c>
      <c r="D1090">
        <v>4.2121644020080566</v>
      </c>
      <c r="E1090" t="s">
        <v>10</v>
      </c>
      <c r="F1090" t="s">
        <v>41</v>
      </c>
      <c r="G1090">
        <v>4.9000000000000004</v>
      </c>
    </row>
    <row r="1091" spans="1:7" x14ac:dyDescent="0.25">
      <c r="A1091" t="s">
        <v>4</v>
      </c>
      <c r="B1091">
        <v>1089</v>
      </c>
      <c r="C1091">
        <v>85</v>
      </c>
      <c r="D1091">
        <v>2.8234951496124268</v>
      </c>
      <c r="E1091" t="s">
        <v>10</v>
      </c>
      <c r="F1091" t="s">
        <v>41</v>
      </c>
      <c r="G1091">
        <v>4.9000000000000004</v>
      </c>
    </row>
    <row r="1092" spans="1:7" x14ac:dyDescent="0.25">
      <c r="A1092" t="s">
        <v>4</v>
      </c>
      <c r="B1092">
        <v>1090</v>
      </c>
      <c r="C1092">
        <v>80</v>
      </c>
      <c r="D1092">
        <v>5.3192534446716309</v>
      </c>
      <c r="E1092" t="s">
        <v>10</v>
      </c>
      <c r="F1092" t="s">
        <v>41</v>
      </c>
      <c r="G1092">
        <v>4.7</v>
      </c>
    </row>
    <row r="1093" spans="1:7" x14ac:dyDescent="0.25">
      <c r="A1093" t="s">
        <v>4</v>
      </c>
      <c r="B1093">
        <v>1091</v>
      </c>
      <c r="C1093">
        <v>40</v>
      </c>
      <c r="D1093">
        <v>5.1458854675292969</v>
      </c>
      <c r="E1093" t="s">
        <v>10</v>
      </c>
      <c r="F1093" t="s">
        <v>51</v>
      </c>
      <c r="G1093">
        <v>7.2</v>
      </c>
    </row>
    <row r="1094" spans="1:7" x14ac:dyDescent="0.25">
      <c r="A1094" t="s">
        <v>4</v>
      </c>
      <c r="B1094">
        <v>1092</v>
      </c>
      <c r="C1094">
        <v>14</v>
      </c>
      <c r="D1094">
        <v>4.1991357803344727</v>
      </c>
      <c r="E1094" t="s">
        <v>10</v>
      </c>
      <c r="F1094" t="s">
        <v>46</v>
      </c>
      <c r="G1094">
        <v>4.9000000000000004</v>
      </c>
    </row>
    <row r="1095" spans="1:7" x14ac:dyDescent="0.25">
      <c r="A1095" t="s">
        <v>4</v>
      </c>
      <c r="B1095">
        <v>1093</v>
      </c>
      <c r="C1095">
        <v>85</v>
      </c>
      <c r="D1095">
        <v>5.6860671043395996</v>
      </c>
      <c r="E1095" t="s">
        <v>10</v>
      </c>
      <c r="F1095" t="s">
        <v>43</v>
      </c>
      <c r="G1095">
        <v>4.3</v>
      </c>
    </row>
    <row r="1096" spans="1:7" x14ac:dyDescent="0.25">
      <c r="A1096" t="s">
        <v>4</v>
      </c>
      <c r="B1096">
        <v>1094</v>
      </c>
      <c r="C1096">
        <v>90</v>
      </c>
      <c r="D1096">
        <v>2.8088679313659668</v>
      </c>
      <c r="E1096" t="s">
        <v>10</v>
      </c>
      <c r="F1096" t="s">
        <v>43</v>
      </c>
      <c r="G1096">
        <v>4.3</v>
      </c>
    </row>
    <row r="1097" spans="1:7" x14ac:dyDescent="0.25">
      <c r="A1097" t="s">
        <v>4</v>
      </c>
      <c r="B1097">
        <v>1095</v>
      </c>
      <c r="C1097">
        <v>87</v>
      </c>
      <c r="D1097">
        <v>2.9265429973602295</v>
      </c>
      <c r="E1097" t="s">
        <v>10</v>
      </c>
      <c r="F1097" t="s">
        <v>43</v>
      </c>
      <c r="G1097">
        <v>4.3</v>
      </c>
    </row>
    <row r="1098" spans="1:7" x14ac:dyDescent="0.25">
      <c r="A1098" t="s">
        <v>4</v>
      </c>
      <c r="B1098">
        <v>1096</v>
      </c>
      <c r="C1098">
        <v>80</v>
      </c>
      <c r="D1098">
        <v>5.3598778247833252</v>
      </c>
      <c r="E1098" t="s">
        <v>10</v>
      </c>
      <c r="F1098" t="s">
        <v>43</v>
      </c>
      <c r="G1098">
        <v>4.3</v>
      </c>
    </row>
    <row r="1099" spans="1:7" x14ac:dyDescent="0.25">
      <c r="A1099" t="s">
        <v>4</v>
      </c>
      <c r="B1099">
        <v>1097</v>
      </c>
      <c r="C1099">
        <v>89</v>
      </c>
      <c r="D1099">
        <v>3.9814538955688477</v>
      </c>
      <c r="E1099" t="s">
        <v>10</v>
      </c>
      <c r="F1099" t="s">
        <v>43</v>
      </c>
      <c r="G1099">
        <v>4.3</v>
      </c>
    </row>
    <row r="1100" spans="1:7" x14ac:dyDescent="0.25">
      <c r="A1100" t="s">
        <v>4</v>
      </c>
      <c r="B1100">
        <v>1098</v>
      </c>
      <c r="C1100">
        <v>97</v>
      </c>
      <c r="D1100">
        <v>5.9896368980407715</v>
      </c>
      <c r="E1100" t="s">
        <v>10</v>
      </c>
      <c r="F1100" t="s">
        <v>43</v>
      </c>
      <c r="G1100">
        <v>4.3</v>
      </c>
    </row>
    <row r="1101" spans="1:7" x14ac:dyDescent="0.25">
      <c r="A1101" t="s">
        <v>4</v>
      </c>
      <c r="B1101">
        <v>1099</v>
      </c>
      <c r="C1101">
        <v>89</v>
      </c>
      <c r="D1101">
        <v>5.951108455657959</v>
      </c>
      <c r="E1101" t="s">
        <v>10</v>
      </c>
      <c r="F1101" t="s">
        <v>43</v>
      </c>
      <c r="G1101">
        <v>4.3</v>
      </c>
    </row>
    <row r="1102" spans="1:7" x14ac:dyDescent="0.25">
      <c r="A1102" t="s">
        <v>4</v>
      </c>
      <c r="B1102">
        <v>1100</v>
      </c>
      <c r="C1102">
        <v>5</v>
      </c>
      <c r="D1102">
        <v>4.2155101299285889</v>
      </c>
      <c r="E1102" t="s">
        <v>10</v>
      </c>
      <c r="F1102" t="s">
        <v>52</v>
      </c>
      <c r="G1102">
        <v>7.5</v>
      </c>
    </row>
    <row r="1103" spans="1:7" x14ac:dyDescent="0.25">
      <c r="A1103" t="s">
        <v>4</v>
      </c>
      <c r="B1103">
        <v>1101</v>
      </c>
      <c r="C1103">
        <v>87</v>
      </c>
      <c r="D1103">
        <v>4.1645486354827881</v>
      </c>
      <c r="E1103" t="s">
        <v>10</v>
      </c>
      <c r="F1103" t="s">
        <v>52</v>
      </c>
      <c r="G1103">
        <v>7.5</v>
      </c>
    </row>
    <row r="1104" spans="1:7" x14ac:dyDescent="0.25">
      <c r="A1104" t="s">
        <v>4</v>
      </c>
      <c r="B1104">
        <v>1102</v>
      </c>
      <c r="C1104">
        <v>83</v>
      </c>
      <c r="D1104">
        <v>3.2064096927642822</v>
      </c>
      <c r="E1104" t="s">
        <v>10</v>
      </c>
      <c r="F1104" t="s">
        <v>52</v>
      </c>
      <c r="G1104">
        <v>7.5</v>
      </c>
    </row>
    <row r="1105" spans="1:7" x14ac:dyDescent="0.25">
      <c r="A1105" t="s">
        <v>4</v>
      </c>
      <c r="B1105">
        <v>1103</v>
      </c>
      <c r="C1105">
        <v>80</v>
      </c>
      <c r="D1105">
        <v>8.6070981025695801</v>
      </c>
      <c r="E1105" t="s">
        <v>10</v>
      </c>
      <c r="F1105" t="s">
        <v>50</v>
      </c>
      <c r="G1105">
        <v>7.2</v>
      </c>
    </row>
    <row r="1106" spans="1:7" x14ac:dyDescent="0.25">
      <c r="A1106" t="s">
        <v>4</v>
      </c>
      <c r="B1106">
        <v>1104</v>
      </c>
      <c r="C1106">
        <v>0</v>
      </c>
      <c r="D1106">
        <v>4.1154978275299072</v>
      </c>
      <c r="E1106" t="s">
        <v>10</v>
      </c>
      <c r="F1106" t="s">
        <v>50</v>
      </c>
      <c r="G1106">
        <v>7.2</v>
      </c>
    </row>
    <row r="1107" spans="1:7" x14ac:dyDescent="0.25">
      <c r="A1107" t="s">
        <v>4</v>
      </c>
      <c r="B1107">
        <v>1105</v>
      </c>
      <c r="C1107">
        <v>99</v>
      </c>
      <c r="D1107">
        <v>6.9491817951202393</v>
      </c>
      <c r="E1107" t="s">
        <v>10</v>
      </c>
      <c r="F1107" t="s">
        <v>44</v>
      </c>
      <c r="G1107">
        <v>6.4</v>
      </c>
    </row>
    <row r="1108" spans="1:7" x14ac:dyDescent="0.25">
      <c r="A1108" t="s">
        <v>4</v>
      </c>
      <c r="B1108">
        <v>1106</v>
      </c>
      <c r="C1108">
        <v>0</v>
      </c>
      <c r="D1108">
        <v>4.0947904586791992</v>
      </c>
      <c r="E1108" t="s">
        <v>10</v>
      </c>
      <c r="F1108" t="s">
        <v>44</v>
      </c>
      <c r="G1108">
        <v>6.4</v>
      </c>
    </row>
    <row r="1109" spans="1:7" x14ac:dyDescent="0.25">
      <c r="A1109" t="s">
        <v>4</v>
      </c>
      <c r="B1109">
        <v>1107</v>
      </c>
      <c r="C1109">
        <v>23</v>
      </c>
      <c r="D1109">
        <v>4.5293323993682861</v>
      </c>
      <c r="E1109" t="s">
        <v>10</v>
      </c>
      <c r="F1109" t="s">
        <v>53</v>
      </c>
      <c r="G1109">
        <v>7.8</v>
      </c>
    </row>
    <row r="1110" spans="1:7" x14ac:dyDescent="0.25">
      <c r="A1110" t="s">
        <v>4</v>
      </c>
      <c r="B1110">
        <v>1108</v>
      </c>
      <c r="C1110">
        <v>84</v>
      </c>
      <c r="D1110">
        <v>3.9523582458496094</v>
      </c>
      <c r="E1110" t="s">
        <v>10</v>
      </c>
      <c r="F1110" t="s">
        <v>53</v>
      </c>
      <c r="G1110">
        <v>7.8</v>
      </c>
    </row>
    <row r="1111" spans="1:7" x14ac:dyDescent="0.25">
      <c r="A1111" t="s">
        <v>4</v>
      </c>
      <c r="B1111">
        <v>1109</v>
      </c>
      <c r="C1111">
        <v>100</v>
      </c>
      <c r="D1111">
        <v>5.8702423572540283</v>
      </c>
      <c r="E1111" t="s">
        <v>10</v>
      </c>
      <c r="F1111" t="s">
        <v>53</v>
      </c>
      <c r="G1111">
        <v>7.8</v>
      </c>
    </row>
    <row r="1112" spans="1:7" x14ac:dyDescent="0.25">
      <c r="A1112" t="s">
        <v>4</v>
      </c>
      <c r="B1112">
        <v>1110</v>
      </c>
      <c r="C1112">
        <v>83</v>
      </c>
      <c r="D1112">
        <v>4.310985803604126</v>
      </c>
      <c r="E1112" t="s">
        <v>10</v>
      </c>
      <c r="F1112" t="s">
        <v>54</v>
      </c>
      <c r="G1112">
        <v>4.9000000000000004</v>
      </c>
    </row>
    <row r="1113" spans="1:7" x14ac:dyDescent="0.25">
      <c r="A1113" t="s">
        <v>4</v>
      </c>
      <c r="B1113">
        <v>1111</v>
      </c>
      <c r="C1113">
        <v>83</v>
      </c>
      <c r="D1113">
        <v>3.4340469837188721</v>
      </c>
      <c r="E1113" t="s">
        <v>10</v>
      </c>
      <c r="F1113" t="s">
        <v>54</v>
      </c>
      <c r="G1113">
        <v>4.9000000000000004</v>
      </c>
    </row>
    <row r="1114" spans="1:7" x14ac:dyDescent="0.25">
      <c r="A1114" t="s">
        <v>4</v>
      </c>
      <c r="B1114">
        <v>1112</v>
      </c>
      <c r="C1114">
        <v>30</v>
      </c>
      <c r="D1114">
        <v>2.6738502979278564</v>
      </c>
      <c r="E1114" t="s">
        <v>10</v>
      </c>
      <c r="F1114" t="s">
        <v>54</v>
      </c>
      <c r="G1114">
        <v>4.9000000000000004</v>
      </c>
    </row>
    <row r="1115" spans="1:7" x14ac:dyDescent="0.25">
      <c r="A1115" t="s">
        <v>4</v>
      </c>
      <c r="B1115">
        <v>1113</v>
      </c>
      <c r="C1115">
        <v>88</v>
      </c>
      <c r="D1115">
        <v>5.7265338897705078</v>
      </c>
      <c r="E1115" t="s">
        <v>10</v>
      </c>
      <c r="F1115" t="s">
        <v>54</v>
      </c>
      <c r="G1115">
        <v>4.9000000000000004</v>
      </c>
    </row>
    <row r="1116" spans="1:7" x14ac:dyDescent="0.25">
      <c r="A1116" t="s">
        <v>4</v>
      </c>
      <c r="B1116">
        <v>1114</v>
      </c>
      <c r="C1116">
        <v>85</v>
      </c>
      <c r="D1116">
        <v>3.2666375637054443</v>
      </c>
      <c r="E1116" t="s">
        <v>10</v>
      </c>
      <c r="F1116" t="s">
        <v>54</v>
      </c>
      <c r="G1116">
        <v>4.9000000000000004</v>
      </c>
    </row>
    <row r="1117" spans="1:7" x14ac:dyDescent="0.25">
      <c r="A1117" t="s">
        <v>4</v>
      </c>
      <c r="B1117">
        <v>1115</v>
      </c>
      <c r="C1117">
        <v>70</v>
      </c>
      <c r="D1117">
        <v>6.3202569484710693</v>
      </c>
      <c r="E1117" t="s">
        <v>10</v>
      </c>
      <c r="F1117" t="s">
        <v>46</v>
      </c>
      <c r="G1117">
        <v>4.9000000000000004</v>
      </c>
    </row>
    <row r="1118" spans="1:7" x14ac:dyDescent="0.25">
      <c r="A1118" t="s">
        <v>4</v>
      </c>
      <c r="B1118">
        <v>1116</v>
      </c>
      <c r="C1118">
        <v>72</v>
      </c>
      <c r="D1118">
        <v>8.8911311626434326</v>
      </c>
      <c r="E1118" t="s">
        <v>10</v>
      </c>
      <c r="F1118" t="s">
        <v>41</v>
      </c>
      <c r="G1118">
        <v>4.9000000000000004</v>
      </c>
    </row>
    <row r="1119" spans="1:7" x14ac:dyDescent="0.25">
      <c r="A1119" t="s">
        <v>4</v>
      </c>
      <c r="B1119">
        <v>1117</v>
      </c>
      <c r="C1119">
        <v>98</v>
      </c>
      <c r="D1119">
        <v>6.731083869934082</v>
      </c>
      <c r="E1119" t="s">
        <v>10</v>
      </c>
      <c r="F1119" t="s">
        <v>41</v>
      </c>
      <c r="G1119">
        <v>7.1</v>
      </c>
    </row>
    <row r="1120" spans="1:7" x14ac:dyDescent="0.25">
      <c r="A1120" t="s">
        <v>4</v>
      </c>
      <c r="B1120">
        <v>1118</v>
      </c>
      <c r="C1120">
        <v>10</v>
      </c>
      <c r="D1120">
        <v>3.5934135913848877</v>
      </c>
      <c r="E1120" t="s">
        <v>10</v>
      </c>
      <c r="F1120" t="s">
        <v>41</v>
      </c>
      <c r="G1120">
        <v>4.9000000000000004</v>
      </c>
    </row>
    <row r="1121" spans="1:7" x14ac:dyDescent="0.25">
      <c r="A1121" t="s">
        <v>4</v>
      </c>
      <c r="B1121">
        <v>1119</v>
      </c>
      <c r="C1121">
        <v>75</v>
      </c>
      <c r="D1121">
        <v>3.5855839252471924</v>
      </c>
      <c r="E1121" t="s">
        <v>10</v>
      </c>
      <c r="F1121" t="s">
        <v>41</v>
      </c>
      <c r="G1121">
        <v>4.9000000000000004</v>
      </c>
    </row>
    <row r="1122" spans="1:7" x14ac:dyDescent="0.25">
      <c r="A1122" t="s">
        <v>4</v>
      </c>
      <c r="B1122">
        <v>1120</v>
      </c>
      <c r="C1122">
        <v>80</v>
      </c>
      <c r="D1122">
        <v>5.5609745979309082</v>
      </c>
      <c r="E1122" t="s">
        <v>10</v>
      </c>
      <c r="F1122" t="s">
        <v>41</v>
      </c>
      <c r="G1122">
        <v>4.9000000000000004</v>
      </c>
    </row>
    <row r="1123" spans="1:7" x14ac:dyDescent="0.25">
      <c r="A1123" t="s">
        <v>4</v>
      </c>
      <c r="B1123">
        <v>1121</v>
      </c>
      <c r="C1123">
        <v>84</v>
      </c>
      <c r="D1123">
        <v>4.3310716152191162</v>
      </c>
      <c r="E1123" t="s">
        <v>10</v>
      </c>
      <c r="F1123" t="s">
        <v>41</v>
      </c>
      <c r="G1123">
        <v>4.9000000000000004</v>
      </c>
    </row>
    <row r="1124" spans="1:7" x14ac:dyDescent="0.25">
      <c r="A1124" t="s">
        <v>4</v>
      </c>
      <c r="B1124">
        <v>1122</v>
      </c>
      <c r="C1124">
        <v>87</v>
      </c>
      <c r="D1124">
        <v>3.2508962154388428</v>
      </c>
      <c r="E1124" t="s">
        <v>10</v>
      </c>
      <c r="F1124" t="s">
        <v>41</v>
      </c>
      <c r="G1124">
        <v>4.9000000000000004</v>
      </c>
    </row>
    <row r="1125" spans="1:7" x14ac:dyDescent="0.25">
      <c r="A1125" t="s">
        <v>4</v>
      </c>
      <c r="B1125">
        <v>1123</v>
      </c>
      <c r="C1125">
        <v>100</v>
      </c>
      <c r="D1125">
        <v>2.9387366771697998</v>
      </c>
      <c r="E1125" t="s">
        <v>10</v>
      </c>
      <c r="F1125" t="s">
        <v>41</v>
      </c>
      <c r="G1125">
        <v>4.9000000000000004</v>
      </c>
    </row>
    <row r="1126" spans="1:7" x14ac:dyDescent="0.25">
      <c r="A1126" t="s">
        <v>4</v>
      </c>
      <c r="B1126">
        <v>1124</v>
      </c>
      <c r="C1126">
        <v>99</v>
      </c>
      <c r="D1126">
        <v>4.7942814826965332</v>
      </c>
      <c r="E1126" t="s">
        <v>10</v>
      </c>
      <c r="F1126" t="s">
        <v>41</v>
      </c>
      <c r="G1126">
        <v>4.9000000000000004</v>
      </c>
    </row>
    <row r="1127" spans="1:7" x14ac:dyDescent="0.25">
      <c r="A1127" t="s">
        <v>4</v>
      </c>
      <c r="B1127">
        <v>1125</v>
      </c>
      <c r="C1127">
        <v>82</v>
      </c>
      <c r="D1127">
        <v>3.9013216495513916</v>
      </c>
      <c r="E1127" t="s">
        <v>10</v>
      </c>
      <c r="F1127" t="s">
        <v>41</v>
      </c>
      <c r="G1127">
        <v>4.9000000000000004</v>
      </c>
    </row>
    <row r="1128" spans="1:7" x14ac:dyDescent="0.25">
      <c r="A1128" t="s">
        <v>4</v>
      </c>
      <c r="B1128">
        <v>1126</v>
      </c>
      <c r="C1128">
        <v>80</v>
      </c>
      <c r="D1128">
        <v>5.1400673389434814</v>
      </c>
      <c r="E1128" t="s">
        <v>10</v>
      </c>
      <c r="F1128" t="s">
        <v>41</v>
      </c>
      <c r="G1128">
        <v>4.9000000000000004</v>
      </c>
    </row>
    <row r="1129" spans="1:7" x14ac:dyDescent="0.25">
      <c r="A1129" t="s">
        <v>4</v>
      </c>
      <c r="B1129">
        <v>1127</v>
      </c>
      <c r="C1129">
        <v>90</v>
      </c>
      <c r="D1129">
        <v>5.195976734161377</v>
      </c>
      <c r="E1129" t="s">
        <v>10</v>
      </c>
      <c r="F1129" t="s">
        <v>41</v>
      </c>
      <c r="G1129">
        <v>4.9000000000000004</v>
      </c>
    </row>
    <row r="1130" spans="1:7" x14ac:dyDescent="0.25">
      <c r="A1130" t="s">
        <v>4</v>
      </c>
      <c r="B1130">
        <v>1128</v>
      </c>
      <c r="C1130">
        <v>47</v>
      </c>
      <c r="D1130">
        <v>3.9211905002593994</v>
      </c>
      <c r="E1130" t="s">
        <v>10</v>
      </c>
      <c r="F1130" t="s">
        <v>41</v>
      </c>
      <c r="G1130">
        <v>4.9000000000000004</v>
      </c>
    </row>
    <row r="1131" spans="1:7" x14ac:dyDescent="0.25">
      <c r="A1131" t="s">
        <v>4</v>
      </c>
      <c r="B1131">
        <v>1129</v>
      </c>
      <c r="C1131">
        <v>80</v>
      </c>
      <c r="D1131">
        <v>3.584068775177002</v>
      </c>
      <c r="E1131" t="s">
        <v>10</v>
      </c>
      <c r="F1131" t="s">
        <v>41</v>
      </c>
      <c r="G1131">
        <v>4.9000000000000004</v>
      </c>
    </row>
    <row r="1132" spans="1:7" x14ac:dyDescent="0.25">
      <c r="A1132" t="s">
        <v>4</v>
      </c>
      <c r="B1132">
        <v>1130</v>
      </c>
      <c r="C1132">
        <v>72</v>
      </c>
      <c r="D1132">
        <v>3.3472216129302979</v>
      </c>
      <c r="E1132" t="s">
        <v>10</v>
      </c>
      <c r="F1132" t="s">
        <v>41</v>
      </c>
      <c r="G1132">
        <v>4.9000000000000004</v>
      </c>
    </row>
    <row r="1133" spans="1:7" x14ac:dyDescent="0.25">
      <c r="A1133" t="s">
        <v>4</v>
      </c>
      <c r="B1133">
        <v>1131</v>
      </c>
      <c r="C1133">
        <v>100</v>
      </c>
      <c r="D1133">
        <v>4.6201210021972656</v>
      </c>
      <c r="E1133" t="s">
        <v>10</v>
      </c>
      <c r="F1133" t="s">
        <v>41</v>
      </c>
      <c r="G1133">
        <v>4.9000000000000004</v>
      </c>
    </row>
    <row r="1134" spans="1:7" x14ac:dyDescent="0.25">
      <c r="A1134" t="s">
        <v>4</v>
      </c>
      <c r="B1134">
        <v>1132</v>
      </c>
      <c r="C1134">
        <v>83</v>
      </c>
      <c r="D1134">
        <v>3.5158157348632813</v>
      </c>
      <c r="E1134" t="s">
        <v>10</v>
      </c>
      <c r="F1134" t="s">
        <v>41</v>
      </c>
      <c r="G1134">
        <v>4.9000000000000004</v>
      </c>
    </row>
    <row r="1135" spans="1:7" x14ac:dyDescent="0.25">
      <c r="A1135" t="s">
        <v>4</v>
      </c>
      <c r="B1135">
        <v>1133</v>
      </c>
      <c r="C1135">
        <v>83</v>
      </c>
      <c r="D1135">
        <v>3.0157942771911621</v>
      </c>
      <c r="E1135" t="s">
        <v>10</v>
      </c>
      <c r="F1135" t="s">
        <v>41</v>
      </c>
      <c r="G1135">
        <v>4.9000000000000004</v>
      </c>
    </row>
    <row r="1136" spans="1:7" x14ac:dyDescent="0.25">
      <c r="A1136" t="s">
        <v>4</v>
      </c>
      <c r="B1136">
        <v>1134</v>
      </c>
      <c r="C1136">
        <v>14</v>
      </c>
      <c r="D1136">
        <v>3.5899834632873535</v>
      </c>
      <c r="E1136" t="s">
        <v>10</v>
      </c>
      <c r="F1136" t="s">
        <v>41</v>
      </c>
      <c r="G1136">
        <v>4.9000000000000004</v>
      </c>
    </row>
    <row r="1137" spans="1:7" x14ac:dyDescent="0.25">
      <c r="A1137" t="s">
        <v>4</v>
      </c>
      <c r="B1137">
        <v>1135</v>
      </c>
      <c r="C1137">
        <v>100</v>
      </c>
      <c r="D1137">
        <v>4.2412538528442383</v>
      </c>
      <c r="E1137" t="s">
        <v>10</v>
      </c>
      <c r="F1137" t="s">
        <v>41</v>
      </c>
      <c r="G1137">
        <v>4.9000000000000004</v>
      </c>
    </row>
    <row r="1138" spans="1:7" x14ac:dyDescent="0.25">
      <c r="A1138" t="s">
        <v>4</v>
      </c>
      <c r="B1138">
        <v>1136</v>
      </c>
      <c r="C1138">
        <v>83</v>
      </c>
      <c r="D1138">
        <v>5.5027251243591309</v>
      </c>
      <c r="E1138" t="s">
        <v>10</v>
      </c>
      <c r="F1138" t="s">
        <v>41</v>
      </c>
      <c r="G1138">
        <v>4.9000000000000004</v>
      </c>
    </row>
    <row r="1139" spans="1:7" x14ac:dyDescent="0.25">
      <c r="A1139" t="s">
        <v>4</v>
      </c>
      <c r="B1139">
        <v>1137</v>
      </c>
      <c r="C1139">
        <v>34</v>
      </c>
      <c r="D1139">
        <v>4.8473896980285645</v>
      </c>
      <c r="E1139" t="s">
        <v>10</v>
      </c>
      <c r="F1139" t="s">
        <v>41</v>
      </c>
      <c r="G1139">
        <v>4.9000000000000004</v>
      </c>
    </row>
    <row r="1140" spans="1:7" x14ac:dyDescent="0.25">
      <c r="A1140" t="s">
        <v>4</v>
      </c>
      <c r="B1140">
        <v>1138</v>
      </c>
      <c r="C1140">
        <v>99</v>
      </c>
      <c r="D1140">
        <v>4.4853842258453369</v>
      </c>
      <c r="E1140" t="s">
        <v>10</v>
      </c>
      <c r="F1140" t="s">
        <v>41</v>
      </c>
      <c r="G1140">
        <v>4.9000000000000004</v>
      </c>
    </row>
    <row r="1141" spans="1:7" x14ac:dyDescent="0.25">
      <c r="A1141" t="s">
        <v>4</v>
      </c>
      <c r="B1141">
        <v>1139</v>
      </c>
      <c r="C1141">
        <v>70</v>
      </c>
      <c r="D1141">
        <v>2.9839324951171875</v>
      </c>
      <c r="E1141" t="s">
        <v>10</v>
      </c>
      <c r="F1141" t="s">
        <v>41</v>
      </c>
      <c r="G1141">
        <v>4.9000000000000004</v>
      </c>
    </row>
    <row r="1142" spans="1:7" x14ac:dyDescent="0.25">
      <c r="A1142" t="s">
        <v>4</v>
      </c>
      <c r="B1142">
        <v>1140</v>
      </c>
      <c r="C1142">
        <v>12</v>
      </c>
      <c r="D1142">
        <v>4.6256661415100098</v>
      </c>
      <c r="E1142" t="s">
        <v>10</v>
      </c>
      <c r="F1142" t="s">
        <v>41</v>
      </c>
      <c r="G1142">
        <v>4.9000000000000004</v>
      </c>
    </row>
    <row r="1143" spans="1:7" x14ac:dyDescent="0.25">
      <c r="A1143" t="s">
        <v>4</v>
      </c>
      <c r="B1143">
        <v>1141</v>
      </c>
      <c r="C1143">
        <v>17</v>
      </c>
      <c r="D1143">
        <v>2.869835376739502</v>
      </c>
      <c r="E1143" t="s">
        <v>10</v>
      </c>
      <c r="F1143" t="s">
        <v>41</v>
      </c>
      <c r="G1143">
        <v>4.9000000000000004</v>
      </c>
    </row>
    <row r="1144" spans="1:7" x14ac:dyDescent="0.25">
      <c r="A1144" t="s">
        <v>4</v>
      </c>
      <c r="B1144">
        <v>1142</v>
      </c>
      <c r="C1144">
        <v>100</v>
      </c>
      <c r="D1144">
        <v>3.897974967956543</v>
      </c>
      <c r="E1144" t="s">
        <v>10</v>
      </c>
      <c r="F1144" t="s">
        <v>41</v>
      </c>
      <c r="G1144">
        <v>4.9000000000000004</v>
      </c>
    </row>
    <row r="1145" spans="1:7" x14ac:dyDescent="0.25">
      <c r="A1145" t="s">
        <v>4</v>
      </c>
      <c r="B1145">
        <v>1143</v>
      </c>
      <c r="C1145">
        <v>90</v>
      </c>
      <c r="D1145">
        <v>3.1335766315460205</v>
      </c>
      <c r="E1145" t="s">
        <v>10</v>
      </c>
      <c r="F1145" t="s">
        <v>41</v>
      </c>
      <c r="G1145">
        <v>4.9000000000000004</v>
      </c>
    </row>
    <row r="1146" spans="1:7" x14ac:dyDescent="0.25">
      <c r="A1146" t="s">
        <v>4</v>
      </c>
      <c r="B1146">
        <v>1144</v>
      </c>
      <c r="C1146">
        <v>81</v>
      </c>
      <c r="D1146">
        <v>4.3057553768157959</v>
      </c>
      <c r="E1146" t="s">
        <v>10</v>
      </c>
      <c r="F1146" t="s">
        <v>41</v>
      </c>
      <c r="G1146">
        <v>4.9000000000000004</v>
      </c>
    </row>
    <row r="1147" spans="1:7" x14ac:dyDescent="0.25">
      <c r="A1147" t="s">
        <v>4</v>
      </c>
      <c r="B1147">
        <v>1145</v>
      </c>
      <c r="C1147">
        <v>17</v>
      </c>
      <c r="D1147">
        <v>4.6002588272094727</v>
      </c>
      <c r="E1147" t="s">
        <v>10</v>
      </c>
      <c r="F1147" t="s">
        <v>41</v>
      </c>
      <c r="G1147">
        <v>4.9000000000000004</v>
      </c>
    </row>
    <row r="1148" spans="1:7" x14ac:dyDescent="0.25">
      <c r="A1148" t="s">
        <v>4</v>
      </c>
      <c r="B1148">
        <v>1146</v>
      </c>
      <c r="C1148">
        <v>30</v>
      </c>
      <c r="D1148">
        <v>2.5685474872589111</v>
      </c>
      <c r="E1148" t="s">
        <v>10</v>
      </c>
      <c r="F1148" t="s">
        <v>41</v>
      </c>
      <c r="G1148">
        <v>4.9000000000000004</v>
      </c>
    </row>
    <row r="1149" spans="1:7" x14ac:dyDescent="0.25">
      <c r="A1149" t="s">
        <v>4</v>
      </c>
      <c r="B1149">
        <v>1147</v>
      </c>
      <c r="C1149">
        <v>80</v>
      </c>
      <c r="D1149">
        <v>2.8886311054229736</v>
      </c>
      <c r="E1149" t="s">
        <v>10</v>
      </c>
      <c r="F1149" t="s">
        <v>41</v>
      </c>
      <c r="G1149">
        <v>4.9000000000000004</v>
      </c>
    </row>
    <row r="1150" spans="1:7" x14ac:dyDescent="0.25">
      <c r="A1150" t="s">
        <v>4</v>
      </c>
      <c r="B1150">
        <v>1148</v>
      </c>
      <c r="C1150">
        <v>64</v>
      </c>
      <c r="D1150">
        <v>3.7655363082885742</v>
      </c>
      <c r="E1150" t="s">
        <v>10</v>
      </c>
      <c r="F1150" t="s">
        <v>41</v>
      </c>
      <c r="G1150">
        <v>4.9000000000000004</v>
      </c>
    </row>
    <row r="1151" spans="1:7" x14ac:dyDescent="0.25">
      <c r="A1151" t="s">
        <v>4</v>
      </c>
      <c r="B1151">
        <v>1149</v>
      </c>
      <c r="C1151">
        <v>34</v>
      </c>
      <c r="D1151">
        <v>3.0155820846557617</v>
      </c>
      <c r="E1151" t="s">
        <v>10</v>
      </c>
      <c r="F1151" t="s">
        <v>41</v>
      </c>
      <c r="G1151">
        <v>4.9000000000000004</v>
      </c>
    </row>
    <row r="1152" spans="1:7" x14ac:dyDescent="0.25">
      <c r="A1152" t="s">
        <v>4</v>
      </c>
      <c r="B1152">
        <v>1150</v>
      </c>
      <c r="C1152">
        <v>70</v>
      </c>
      <c r="D1152">
        <v>3.3949623107910156</v>
      </c>
      <c r="E1152" t="s">
        <v>10</v>
      </c>
      <c r="F1152" t="s">
        <v>41</v>
      </c>
      <c r="G1152">
        <v>4.9000000000000004</v>
      </c>
    </row>
    <row r="1153" spans="1:7" x14ac:dyDescent="0.25">
      <c r="A1153" t="s">
        <v>4</v>
      </c>
      <c r="B1153">
        <v>1151</v>
      </c>
      <c r="C1153">
        <v>87</v>
      </c>
      <c r="D1153">
        <v>3.2967593669891357</v>
      </c>
      <c r="E1153" t="s">
        <v>10</v>
      </c>
      <c r="F1153" t="s">
        <v>41</v>
      </c>
      <c r="G1153">
        <v>4.9000000000000004</v>
      </c>
    </row>
    <row r="1154" spans="1:7" x14ac:dyDescent="0.25">
      <c r="A1154" t="s">
        <v>4</v>
      </c>
      <c r="B1154">
        <v>1152</v>
      </c>
      <c r="C1154">
        <v>97</v>
      </c>
      <c r="D1154">
        <v>5.2215125560760498</v>
      </c>
      <c r="E1154" t="s">
        <v>10</v>
      </c>
      <c r="F1154" t="s">
        <v>41</v>
      </c>
      <c r="G1154">
        <v>4.5999999999999996</v>
      </c>
    </row>
    <row r="1155" spans="1:7" x14ac:dyDescent="0.25">
      <c r="A1155" t="s">
        <v>4</v>
      </c>
      <c r="B1155">
        <v>1153</v>
      </c>
      <c r="C1155">
        <v>93</v>
      </c>
      <c r="D1155">
        <v>2.9932911396026611</v>
      </c>
      <c r="E1155" t="s">
        <v>10</v>
      </c>
      <c r="F1155" t="s">
        <v>41</v>
      </c>
      <c r="G1155">
        <v>4.5999999999999996</v>
      </c>
    </row>
    <row r="1156" spans="1:7" x14ac:dyDescent="0.25">
      <c r="A1156" t="s">
        <v>4</v>
      </c>
      <c r="B1156">
        <v>1154</v>
      </c>
      <c r="C1156">
        <v>94</v>
      </c>
      <c r="D1156">
        <v>3.300527811050415</v>
      </c>
      <c r="E1156" t="s">
        <v>10</v>
      </c>
      <c r="F1156" t="s">
        <v>41</v>
      </c>
      <c r="G1156">
        <v>4.5999999999999996</v>
      </c>
    </row>
    <row r="1157" spans="1:7" x14ac:dyDescent="0.25">
      <c r="A1157" t="s">
        <v>4</v>
      </c>
      <c r="B1157">
        <v>1155</v>
      </c>
      <c r="C1157">
        <v>78</v>
      </c>
      <c r="D1157">
        <v>4.4524514675140381</v>
      </c>
      <c r="E1157" t="s">
        <v>10</v>
      </c>
      <c r="F1157" t="s">
        <v>41</v>
      </c>
      <c r="G1157">
        <v>4.5999999999999996</v>
      </c>
    </row>
    <row r="1158" spans="1:7" x14ac:dyDescent="0.25">
      <c r="A1158" t="s">
        <v>4</v>
      </c>
      <c r="B1158">
        <v>1156</v>
      </c>
      <c r="C1158">
        <v>85</v>
      </c>
      <c r="D1158">
        <v>3.278986930847168</v>
      </c>
      <c r="E1158" t="s">
        <v>10</v>
      </c>
      <c r="F1158" t="s">
        <v>41</v>
      </c>
      <c r="G1158">
        <v>4.5999999999999996</v>
      </c>
    </row>
    <row r="1159" spans="1:7" x14ac:dyDescent="0.25">
      <c r="A1159" t="s">
        <v>4</v>
      </c>
      <c r="B1159">
        <v>1157</v>
      </c>
      <c r="C1159">
        <v>83</v>
      </c>
      <c r="D1159">
        <v>3.8534176349639893</v>
      </c>
      <c r="E1159" t="s">
        <v>10</v>
      </c>
      <c r="F1159" t="s">
        <v>41</v>
      </c>
      <c r="G1159">
        <v>4.5999999999999996</v>
      </c>
    </row>
    <row r="1160" spans="1:7" x14ac:dyDescent="0.25">
      <c r="A1160" t="s">
        <v>4</v>
      </c>
      <c r="B1160">
        <v>1158</v>
      </c>
      <c r="C1160">
        <v>0</v>
      </c>
      <c r="D1160">
        <v>2.7138471603393555</v>
      </c>
      <c r="E1160" t="s">
        <v>10</v>
      </c>
      <c r="F1160" t="s">
        <v>45</v>
      </c>
      <c r="G1160">
        <v>4.5999999999999996</v>
      </c>
    </row>
    <row r="1161" spans="1:7" x14ac:dyDescent="0.25">
      <c r="A1161" t="s">
        <v>4</v>
      </c>
      <c r="B1161">
        <v>1159</v>
      </c>
      <c r="C1161">
        <v>83</v>
      </c>
      <c r="D1161">
        <v>2.7210609912872314</v>
      </c>
      <c r="E1161" t="s">
        <v>10</v>
      </c>
      <c r="F1161" t="s">
        <v>45</v>
      </c>
      <c r="G1161">
        <v>4.5999999999999996</v>
      </c>
    </row>
    <row r="1162" spans="1:7" x14ac:dyDescent="0.25">
      <c r="A1162" t="s">
        <v>4</v>
      </c>
      <c r="B1162">
        <v>1160</v>
      </c>
      <c r="C1162">
        <v>100</v>
      </c>
      <c r="D1162">
        <v>3.6969683170318604</v>
      </c>
      <c r="E1162" t="s">
        <v>10</v>
      </c>
      <c r="F1162" t="s">
        <v>45</v>
      </c>
      <c r="G1162">
        <v>4.5999999999999996</v>
      </c>
    </row>
    <row r="1163" spans="1:7" x14ac:dyDescent="0.25">
      <c r="A1163" t="s">
        <v>4</v>
      </c>
      <c r="B1163">
        <v>1161</v>
      </c>
      <c r="C1163">
        <v>30</v>
      </c>
      <c r="D1163">
        <v>5.0963246822357178</v>
      </c>
      <c r="E1163" t="s">
        <v>10</v>
      </c>
      <c r="F1163" t="s">
        <v>41</v>
      </c>
      <c r="G1163">
        <v>4.9000000000000004</v>
      </c>
    </row>
    <row r="1164" spans="1:7" x14ac:dyDescent="0.25">
      <c r="A1164" t="s">
        <v>4</v>
      </c>
      <c r="B1164">
        <v>1162</v>
      </c>
      <c r="C1164">
        <v>90</v>
      </c>
      <c r="D1164">
        <v>3.7457916736602783</v>
      </c>
      <c r="E1164" t="s">
        <v>10</v>
      </c>
      <c r="F1164" t="s">
        <v>41</v>
      </c>
      <c r="G1164">
        <v>4.9000000000000004</v>
      </c>
    </row>
    <row r="1165" spans="1:7" x14ac:dyDescent="0.25">
      <c r="A1165" t="s">
        <v>4</v>
      </c>
      <c r="B1165">
        <v>1163</v>
      </c>
      <c r="C1165">
        <v>60</v>
      </c>
      <c r="D1165">
        <v>5.1303563117980957</v>
      </c>
      <c r="E1165" t="s">
        <v>10</v>
      </c>
      <c r="F1165" t="s">
        <v>41</v>
      </c>
      <c r="G1165">
        <v>4.9000000000000004</v>
      </c>
    </row>
    <row r="1166" spans="1:7" x14ac:dyDescent="0.25">
      <c r="A1166" t="s">
        <v>4</v>
      </c>
      <c r="B1166">
        <v>1164</v>
      </c>
      <c r="C1166">
        <v>100</v>
      </c>
      <c r="D1166">
        <v>3.361295223236084</v>
      </c>
      <c r="E1166" t="s">
        <v>10</v>
      </c>
      <c r="F1166" t="s">
        <v>41</v>
      </c>
      <c r="G1166">
        <v>4.9000000000000004</v>
      </c>
    </row>
    <row r="1167" spans="1:7" x14ac:dyDescent="0.25">
      <c r="A1167" t="s">
        <v>4</v>
      </c>
      <c r="B1167">
        <v>1165</v>
      </c>
      <c r="C1167">
        <v>85</v>
      </c>
      <c r="D1167">
        <v>3.5301523208618164</v>
      </c>
      <c r="E1167" t="s">
        <v>10</v>
      </c>
      <c r="F1167" t="s">
        <v>41</v>
      </c>
      <c r="G1167">
        <v>4.9000000000000004</v>
      </c>
    </row>
    <row r="1168" spans="1:7" x14ac:dyDescent="0.25">
      <c r="A1168" t="s">
        <v>4</v>
      </c>
      <c r="B1168">
        <v>1166</v>
      </c>
      <c r="C1168">
        <v>89</v>
      </c>
      <c r="D1168">
        <v>4.5124516487121582</v>
      </c>
      <c r="E1168" t="s">
        <v>10</v>
      </c>
      <c r="F1168" t="s">
        <v>41</v>
      </c>
      <c r="G1168">
        <v>4.9000000000000004</v>
      </c>
    </row>
    <row r="1169" spans="1:7" x14ac:dyDescent="0.25">
      <c r="A1169" t="s">
        <v>4</v>
      </c>
      <c r="B1169">
        <v>1167</v>
      </c>
      <c r="C1169">
        <v>19</v>
      </c>
      <c r="D1169">
        <v>3.1378738880157471</v>
      </c>
      <c r="E1169" t="s">
        <v>10</v>
      </c>
      <c r="F1169" t="s">
        <v>41</v>
      </c>
      <c r="G1169">
        <v>4.9000000000000004</v>
      </c>
    </row>
    <row r="1170" spans="1:7" x14ac:dyDescent="0.25">
      <c r="A1170" t="s">
        <v>4</v>
      </c>
      <c r="B1170">
        <v>1168</v>
      </c>
      <c r="C1170">
        <v>99</v>
      </c>
      <c r="D1170">
        <v>5.2365305423736572</v>
      </c>
      <c r="E1170" t="s">
        <v>10</v>
      </c>
      <c r="F1170" t="s">
        <v>41</v>
      </c>
      <c r="G1170">
        <v>4.9000000000000004</v>
      </c>
    </row>
    <row r="1171" spans="1:7" x14ac:dyDescent="0.25">
      <c r="A1171" t="s">
        <v>4</v>
      </c>
      <c r="B1171">
        <v>1169</v>
      </c>
      <c r="C1171">
        <v>84</v>
      </c>
      <c r="D1171">
        <v>12.511813879013062</v>
      </c>
      <c r="E1171" t="s">
        <v>10</v>
      </c>
      <c r="F1171" t="s">
        <v>41</v>
      </c>
      <c r="G1171">
        <v>4.9000000000000004</v>
      </c>
    </row>
    <row r="1172" spans="1:7" x14ac:dyDescent="0.25">
      <c r="A1172" t="s">
        <v>4</v>
      </c>
      <c r="B1172">
        <v>1170</v>
      </c>
      <c r="C1172">
        <v>99</v>
      </c>
      <c r="D1172">
        <v>4.0682501792907715</v>
      </c>
      <c r="E1172" t="s">
        <v>10</v>
      </c>
      <c r="F1172" t="s">
        <v>41</v>
      </c>
      <c r="G1172">
        <v>4.9000000000000004</v>
      </c>
    </row>
    <row r="1173" spans="1:7" x14ac:dyDescent="0.25">
      <c r="A1173" t="s">
        <v>4</v>
      </c>
      <c r="B1173">
        <v>1171</v>
      </c>
      <c r="C1173">
        <v>43</v>
      </c>
      <c r="D1173">
        <v>3.9353251457214355</v>
      </c>
      <c r="E1173" t="s">
        <v>10</v>
      </c>
      <c r="F1173" t="s">
        <v>41</v>
      </c>
      <c r="G1173">
        <v>4.9000000000000004</v>
      </c>
    </row>
    <row r="1174" spans="1:7" x14ac:dyDescent="0.25">
      <c r="A1174" t="s">
        <v>4</v>
      </c>
      <c r="B1174">
        <v>1172</v>
      </c>
      <c r="C1174">
        <v>0</v>
      </c>
      <c r="D1174">
        <v>3.1038916110992432</v>
      </c>
      <c r="E1174" t="s">
        <v>10</v>
      </c>
      <c r="F1174" t="s">
        <v>41</v>
      </c>
      <c r="G1174">
        <v>4.9000000000000004</v>
      </c>
    </row>
    <row r="1175" spans="1:7" x14ac:dyDescent="0.25">
      <c r="A1175" t="s">
        <v>4</v>
      </c>
      <c r="B1175">
        <v>1173</v>
      </c>
      <c r="C1175">
        <v>20</v>
      </c>
      <c r="D1175">
        <v>3.7097983360290527</v>
      </c>
      <c r="E1175" t="s">
        <v>10</v>
      </c>
      <c r="F1175" t="s">
        <v>41</v>
      </c>
      <c r="G1175">
        <v>4.9000000000000004</v>
      </c>
    </row>
    <row r="1176" spans="1:7" x14ac:dyDescent="0.25">
      <c r="A1176" t="s">
        <v>4</v>
      </c>
      <c r="B1176">
        <v>1174</v>
      </c>
      <c r="C1176">
        <v>20</v>
      </c>
      <c r="D1176">
        <v>2.7596220970153809</v>
      </c>
      <c r="E1176" t="s">
        <v>10</v>
      </c>
      <c r="F1176" t="s">
        <v>41</v>
      </c>
      <c r="G1176">
        <v>4.9000000000000004</v>
      </c>
    </row>
    <row r="1177" spans="1:7" x14ac:dyDescent="0.25">
      <c r="A1177" t="s">
        <v>4</v>
      </c>
      <c r="B1177">
        <v>1175</v>
      </c>
      <c r="C1177">
        <v>70</v>
      </c>
      <c r="D1177">
        <v>2.7610924243927002</v>
      </c>
      <c r="E1177" t="s">
        <v>10</v>
      </c>
      <c r="F1177" t="s">
        <v>41</v>
      </c>
      <c r="G1177">
        <v>4.9000000000000004</v>
      </c>
    </row>
    <row r="1178" spans="1:7" x14ac:dyDescent="0.25">
      <c r="A1178" t="s">
        <v>4</v>
      </c>
      <c r="B1178">
        <v>1176</v>
      </c>
      <c r="C1178">
        <v>30</v>
      </c>
      <c r="D1178">
        <v>5.4695935249328613</v>
      </c>
      <c r="E1178" t="s">
        <v>10</v>
      </c>
      <c r="F1178" t="s">
        <v>46</v>
      </c>
      <c r="G1178">
        <v>4.9000000000000004</v>
      </c>
    </row>
    <row r="1179" spans="1:7" x14ac:dyDescent="0.25">
      <c r="A1179" t="s">
        <v>4</v>
      </c>
      <c r="B1179">
        <v>1177</v>
      </c>
      <c r="C1179">
        <v>99</v>
      </c>
      <c r="D1179">
        <v>11.11326003074646</v>
      </c>
      <c r="E1179" t="s">
        <v>10</v>
      </c>
      <c r="F1179" t="s">
        <v>46</v>
      </c>
      <c r="G1179">
        <v>4.9000000000000004</v>
      </c>
    </row>
    <row r="1180" spans="1:7" x14ac:dyDescent="0.25">
      <c r="A1180" t="s">
        <v>4</v>
      </c>
      <c r="B1180">
        <v>1178</v>
      </c>
      <c r="C1180">
        <v>89</v>
      </c>
      <c r="D1180">
        <v>2.9067633152008057</v>
      </c>
      <c r="E1180" t="s">
        <v>10</v>
      </c>
      <c r="F1180" t="s">
        <v>41</v>
      </c>
      <c r="G1180">
        <v>4.9000000000000004</v>
      </c>
    </row>
    <row r="1181" spans="1:7" x14ac:dyDescent="0.25">
      <c r="A1181" t="s">
        <v>4</v>
      </c>
      <c r="B1181">
        <v>1179</v>
      </c>
      <c r="C1181">
        <v>40</v>
      </c>
      <c r="D1181">
        <v>4.5338902473449707</v>
      </c>
      <c r="E1181" t="s">
        <v>10</v>
      </c>
      <c r="F1181" t="s">
        <v>41</v>
      </c>
      <c r="G1181">
        <v>4.9000000000000004</v>
      </c>
    </row>
    <row r="1182" spans="1:7" x14ac:dyDescent="0.25">
      <c r="A1182" t="s">
        <v>4</v>
      </c>
      <c r="B1182">
        <v>1180</v>
      </c>
      <c r="C1182">
        <v>8</v>
      </c>
      <c r="D1182">
        <v>3.357914924621582</v>
      </c>
      <c r="E1182" t="s">
        <v>10</v>
      </c>
      <c r="F1182" t="s">
        <v>41</v>
      </c>
      <c r="G1182">
        <v>4.9000000000000004</v>
      </c>
    </row>
    <row r="1183" spans="1:7" x14ac:dyDescent="0.25">
      <c r="A1183" t="s">
        <v>4</v>
      </c>
      <c r="B1183">
        <v>1181</v>
      </c>
      <c r="C1183">
        <v>0</v>
      </c>
      <c r="D1183">
        <v>18.809882640838623</v>
      </c>
      <c r="E1183" t="s">
        <v>10</v>
      </c>
      <c r="F1183" t="s">
        <v>41</v>
      </c>
      <c r="G1183">
        <v>5.4</v>
      </c>
    </row>
    <row r="1184" spans="1:7" x14ac:dyDescent="0.25">
      <c r="A1184" t="s">
        <v>4</v>
      </c>
      <c r="B1184">
        <v>1182</v>
      </c>
      <c r="C1184">
        <v>34</v>
      </c>
      <c r="D1184">
        <v>7.0346353054046631</v>
      </c>
      <c r="E1184" t="s">
        <v>10</v>
      </c>
      <c r="F1184" t="s">
        <v>46</v>
      </c>
      <c r="G1184">
        <v>5.4</v>
      </c>
    </row>
    <row r="1185" spans="1:7" x14ac:dyDescent="0.25">
      <c r="A1185" t="s">
        <v>4</v>
      </c>
      <c r="B1185">
        <v>1183</v>
      </c>
      <c r="C1185">
        <v>100</v>
      </c>
      <c r="D1185">
        <v>4.0820448398590088</v>
      </c>
      <c r="E1185" t="s">
        <v>10</v>
      </c>
      <c r="F1185" t="s">
        <v>46</v>
      </c>
      <c r="G1185">
        <v>4.9000000000000004</v>
      </c>
    </row>
    <row r="1186" spans="1:7" x14ac:dyDescent="0.25">
      <c r="A1186" t="s">
        <v>4</v>
      </c>
      <c r="B1186">
        <v>1184</v>
      </c>
      <c r="C1186">
        <v>89</v>
      </c>
      <c r="D1186">
        <v>3.0301787853240967</v>
      </c>
      <c r="E1186" t="s">
        <v>10</v>
      </c>
      <c r="F1186" t="s">
        <v>41</v>
      </c>
      <c r="G1186">
        <v>4.9000000000000004</v>
      </c>
    </row>
    <row r="1187" spans="1:7" x14ac:dyDescent="0.25">
      <c r="A1187" t="s">
        <v>4</v>
      </c>
      <c r="B1187">
        <v>1185</v>
      </c>
      <c r="C1187">
        <v>30</v>
      </c>
      <c r="D1187">
        <v>2.8614814281463623</v>
      </c>
      <c r="E1187" t="s">
        <v>10</v>
      </c>
      <c r="F1187" t="s">
        <v>41</v>
      </c>
      <c r="G1187">
        <v>4.9000000000000004</v>
      </c>
    </row>
    <row r="1188" spans="1:7" x14ac:dyDescent="0.25">
      <c r="A1188" t="s">
        <v>4</v>
      </c>
      <c r="B1188">
        <v>1186</v>
      </c>
      <c r="C1188">
        <v>90</v>
      </c>
      <c r="D1188">
        <v>3.7566990852355957</v>
      </c>
      <c r="E1188" t="s">
        <v>10</v>
      </c>
      <c r="F1188" t="s">
        <v>41</v>
      </c>
      <c r="G1188">
        <v>4.9000000000000004</v>
      </c>
    </row>
    <row r="1189" spans="1:7" x14ac:dyDescent="0.25">
      <c r="A1189" t="s">
        <v>4</v>
      </c>
      <c r="B1189">
        <v>1187</v>
      </c>
      <c r="C1189">
        <v>48</v>
      </c>
      <c r="D1189">
        <v>3.41518235206604</v>
      </c>
      <c r="E1189" t="s">
        <v>10</v>
      </c>
      <c r="F1189" t="s">
        <v>41</v>
      </c>
      <c r="G1189">
        <v>4.9000000000000004</v>
      </c>
    </row>
    <row r="1190" spans="1:7" x14ac:dyDescent="0.25">
      <c r="A1190" t="s">
        <v>4</v>
      </c>
      <c r="B1190">
        <v>1188</v>
      </c>
      <c r="C1190">
        <v>0</v>
      </c>
      <c r="D1190">
        <v>6.5180609226226807</v>
      </c>
      <c r="E1190" t="s">
        <v>10</v>
      </c>
      <c r="F1190" t="s">
        <v>41</v>
      </c>
      <c r="G1190">
        <v>4.9000000000000004</v>
      </c>
    </row>
    <row r="1191" spans="1:7" x14ac:dyDescent="0.25">
      <c r="A1191" t="s">
        <v>4</v>
      </c>
      <c r="B1191">
        <v>1189</v>
      </c>
      <c r="C1191">
        <v>90</v>
      </c>
      <c r="D1191">
        <v>3.8826570510864258</v>
      </c>
      <c r="E1191" t="s">
        <v>10</v>
      </c>
      <c r="F1191" t="s">
        <v>41</v>
      </c>
      <c r="G1191">
        <v>4.9000000000000004</v>
      </c>
    </row>
    <row r="1192" spans="1:7" x14ac:dyDescent="0.25">
      <c r="A1192" t="s">
        <v>4</v>
      </c>
      <c r="B1192">
        <v>1190</v>
      </c>
      <c r="C1192">
        <v>97</v>
      </c>
      <c r="D1192">
        <v>2.8755621910095215</v>
      </c>
      <c r="E1192" t="s">
        <v>10</v>
      </c>
      <c r="F1192" t="s">
        <v>41</v>
      </c>
      <c r="G1192">
        <v>4.9000000000000004</v>
      </c>
    </row>
    <row r="1193" spans="1:7" x14ac:dyDescent="0.25">
      <c r="A1193" t="s">
        <v>4</v>
      </c>
      <c r="B1193">
        <v>1191</v>
      </c>
      <c r="C1193">
        <v>30</v>
      </c>
      <c r="D1193">
        <v>3.1178982257843018</v>
      </c>
      <c r="E1193" t="s">
        <v>10</v>
      </c>
      <c r="F1193" t="s">
        <v>41</v>
      </c>
      <c r="G1193">
        <v>4.9000000000000004</v>
      </c>
    </row>
    <row r="1194" spans="1:7" x14ac:dyDescent="0.25">
      <c r="A1194" t="s">
        <v>4</v>
      </c>
      <c r="B1194">
        <v>1192</v>
      </c>
      <c r="C1194">
        <v>100</v>
      </c>
      <c r="D1194">
        <v>2.9667565822601318</v>
      </c>
      <c r="E1194" t="s">
        <v>10</v>
      </c>
      <c r="F1194" t="s">
        <v>41</v>
      </c>
      <c r="G1194">
        <v>4.9000000000000004</v>
      </c>
    </row>
    <row r="1195" spans="1:7" x14ac:dyDescent="0.25">
      <c r="A1195" t="s">
        <v>4</v>
      </c>
      <c r="B1195">
        <v>1193</v>
      </c>
      <c r="C1195">
        <v>72</v>
      </c>
      <c r="D1195">
        <v>13.285953760147095</v>
      </c>
      <c r="E1195" t="s">
        <v>10</v>
      </c>
      <c r="F1195" t="s">
        <v>41</v>
      </c>
      <c r="G1195">
        <v>4.9000000000000004</v>
      </c>
    </row>
    <row r="1196" spans="1:7" x14ac:dyDescent="0.25">
      <c r="A1196" t="s">
        <v>4</v>
      </c>
      <c r="B1196">
        <v>1194</v>
      </c>
      <c r="C1196">
        <v>71</v>
      </c>
      <c r="D1196">
        <v>6.8445286750793457</v>
      </c>
      <c r="E1196" t="s">
        <v>10</v>
      </c>
      <c r="F1196" t="s">
        <v>41</v>
      </c>
      <c r="G1196">
        <v>4.9000000000000004</v>
      </c>
    </row>
    <row r="1197" spans="1:7" x14ac:dyDescent="0.25">
      <c r="A1197" t="s">
        <v>4</v>
      </c>
      <c r="B1197">
        <v>1195</v>
      </c>
      <c r="C1197">
        <v>100</v>
      </c>
      <c r="D1197">
        <v>12.147255897521973</v>
      </c>
      <c r="E1197" t="s">
        <v>10</v>
      </c>
      <c r="F1197" t="s">
        <v>55</v>
      </c>
      <c r="G1197">
        <v>10</v>
      </c>
    </row>
    <row r="1198" spans="1:7" x14ac:dyDescent="0.25">
      <c r="A1198" t="s">
        <v>4</v>
      </c>
      <c r="B1198">
        <v>1196</v>
      </c>
      <c r="C1198">
        <v>100</v>
      </c>
      <c r="D1198">
        <v>2.6315834522247314</v>
      </c>
      <c r="E1198" t="s">
        <v>10</v>
      </c>
      <c r="F1198" t="s">
        <v>41</v>
      </c>
      <c r="G1198">
        <v>6.8</v>
      </c>
    </row>
    <row r="1199" spans="1:7" x14ac:dyDescent="0.25">
      <c r="A1199" t="s">
        <v>4</v>
      </c>
      <c r="B1199">
        <v>1197</v>
      </c>
      <c r="C1199">
        <v>87</v>
      </c>
      <c r="D1199">
        <v>2.9258427619934082</v>
      </c>
      <c r="E1199" t="s">
        <v>10</v>
      </c>
      <c r="F1199" t="s">
        <v>41</v>
      </c>
      <c r="G1199">
        <v>6.8</v>
      </c>
    </row>
    <row r="1200" spans="1:7" x14ac:dyDescent="0.25">
      <c r="A1200" t="s">
        <v>4</v>
      </c>
      <c r="B1200">
        <v>1198</v>
      </c>
      <c r="C1200">
        <v>100</v>
      </c>
      <c r="D1200">
        <v>2.95440673828125</v>
      </c>
      <c r="E1200" t="s">
        <v>10</v>
      </c>
      <c r="F1200" t="s">
        <v>41</v>
      </c>
      <c r="G1200">
        <v>6.8</v>
      </c>
    </row>
    <row r="1201" spans="1:7" x14ac:dyDescent="0.25">
      <c r="A1201" t="s">
        <v>4</v>
      </c>
      <c r="B1201">
        <v>1199</v>
      </c>
      <c r="C1201">
        <v>100</v>
      </c>
      <c r="D1201">
        <v>3.3959357738494873</v>
      </c>
      <c r="E1201" t="s">
        <v>10</v>
      </c>
      <c r="F1201" t="s">
        <v>41</v>
      </c>
      <c r="G1201">
        <v>6.8</v>
      </c>
    </row>
    <row r="1202" spans="1:7" x14ac:dyDescent="0.25">
      <c r="A1202" t="s">
        <v>4</v>
      </c>
      <c r="B1202">
        <v>1200</v>
      </c>
      <c r="C1202">
        <v>30</v>
      </c>
      <c r="D1202">
        <v>3.2497246265411377</v>
      </c>
      <c r="E1202" t="s">
        <v>10</v>
      </c>
      <c r="F1202" t="s">
        <v>41</v>
      </c>
      <c r="G1202">
        <v>6.8</v>
      </c>
    </row>
    <row r="1203" spans="1:7" x14ac:dyDescent="0.25">
      <c r="A1203" t="s">
        <v>4</v>
      </c>
      <c r="B1203">
        <v>1201</v>
      </c>
      <c r="C1203">
        <v>25</v>
      </c>
      <c r="D1203">
        <v>3.3291416168212891</v>
      </c>
      <c r="E1203" t="s">
        <v>10</v>
      </c>
      <c r="F1203" t="s">
        <v>41</v>
      </c>
      <c r="G1203">
        <v>6.8</v>
      </c>
    </row>
    <row r="1204" spans="1:7" x14ac:dyDescent="0.25">
      <c r="A1204" t="s">
        <v>4</v>
      </c>
      <c r="B1204">
        <v>1202</v>
      </c>
      <c r="C1204">
        <v>90</v>
      </c>
      <c r="D1204">
        <v>3.2485051155090332</v>
      </c>
      <c r="E1204" t="s">
        <v>10</v>
      </c>
      <c r="F1204" t="s">
        <v>41</v>
      </c>
      <c r="G1204">
        <v>6.8</v>
      </c>
    </row>
    <row r="1205" spans="1:7" x14ac:dyDescent="0.25">
      <c r="A1205" t="s">
        <v>4</v>
      </c>
      <c r="B1205">
        <v>1203</v>
      </c>
      <c r="C1205">
        <v>80</v>
      </c>
      <c r="D1205">
        <v>3.2953372001647949</v>
      </c>
      <c r="E1205" t="s">
        <v>10</v>
      </c>
      <c r="F1205" t="s">
        <v>41</v>
      </c>
      <c r="G1205">
        <v>6.8</v>
      </c>
    </row>
    <row r="1206" spans="1:7" x14ac:dyDescent="0.25">
      <c r="A1206" t="s">
        <v>4</v>
      </c>
      <c r="B1206">
        <v>1204</v>
      </c>
      <c r="C1206">
        <v>84</v>
      </c>
      <c r="D1206">
        <v>4.729506254196167</v>
      </c>
      <c r="E1206" t="s">
        <v>10</v>
      </c>
      <c r="F1206" t="s">
        <v>41</v>
      </c>
      <c r="G1206">
        <v>6.8</v>
      </c>
    </row>
    <row r="1207" spans="1:7" x14ac:dyDescent="0.25">
      <c r="A1207" t="s">
        <v>4</v>
      </c>
      <c r="B1207">
        <v>1205</v>
      </c>
      <c r="C1207">
        <v>85</v>
      </c>
      <c r="D1207">
        <v>3.5062041282653809</v>
      </c>
      <c r="E1207" t="s">
        <v>10</v>
      </c>
      <c r="F1207" t="s">
        <v>41</v>
      </c>
      <c r="G1207">
        <v>6.8</v>
      </c>
    </row>
    <row r="1208" spans="1:7" x14ac:dyDescent="0.25">
      <c r="A1208" t="s">
        <v>4</v>
      </c>
      <c r="B1208">
        <v>1206</v>
      </c>
      <c r="C1208">
        <v>83</v>
      </c>
      <c r="D1208">
        <v>2.6631233692169189</v>
      </c>
      <c r="E1208" t="s">
        <v>10</v>
      </c>
      <c r="F1208" t="s">
        <v>41</v>
      </c>
      <c r="G1208">
        <v>6.8</v>
      </c>
    </row>
    <row r="1209" spans="1:7" x14ac:dyDescent="0.25">
      <c r="A1209" t="s">
        <v>4</v>
      </c>
      <c r="B1209">
        <v>1207</v>
      </c>
      <c r="C1209">
        <v>48</v>
      </c>
      <c r="D1209">
        <v>2.8547623157501221</v>
      </c>
      <c r="E1209" t="s">
        <v>10</v>
      </c>
      <c r="F1209" t="s">
        <v>41</v>
      </c>
      <c r="G1209">
        <v>6.8</v>
      </c>
    </row>
    <row r="1210" spans="1:7" x14ac:dyDescent="0.25">
      <c r="A1210" t="s">
        <v>4</v>
      </c>
      <c r="B1210">
        <v>1208</v>
      </c>
      <c r="C1210">
        <v>85</v>
      </c>
      <c r="D1210">
        <v>5.92763352394104</v>
      </c>
      <c r="E1210" t="s">
        <v>10</v>
      </c>
      <c r="F1210" t="s">
        <v>46</v>
      </c>
      <c r="G1210">
        <v>4.9000000000000004</v>
      </c>
    </row>
    <row r="1211" spans="1:7" x14ac:dyDescent="0.25">
      <c r="A1211" t="s">
        <v>4</v>
      </c>
      <c r="B1211">
        <v>1209</v>
      </c>
      <c r="C1211">
        <v>80</v>
      </c>
      <c r="D1211">
        <v>5.1383509635925293</v>
      </c>
      <c r="E1211" t="s">
        <v>10</v>
      </c>
      <c r="F1211" t="s">
        <v>46</v>
      </c>
      <c r="G1211">
        <v>4.9000000000000004</v>
      </c>
    </row>
    <row r="1212" spans="1:7" x14ac:dyDescent="0.25">
      <c r="A1212" t="s">
        <v>4</v>
      </c>
      <c r="B1212">
        <v>1210</v>
      </c>
      <c r="C1212">
        <v>100</v>
      </c>
      <c r="D1212">
        <v>5.0835955142974854</v>
      </c>
      <c r="E1212" t="s">
        <v>10</v>
      </c>
      <c r="F1212" t="s">
        <v>46</v>
      </c>
      <c r="G1212">
        <v>4.9000000000000004</v>
      </c>
    </row>
    <row r="1213" spans="1:7" x14ac:dyDescent="0.25">
      <c r="A1213" t="s">
        <v>4</v>
      </c>
      <c r="B1213">
        <v>1211</v>
      </c>
      <c r="C1213">
        <v>12</v>
      </c>
      <c r="D1213">
        <v>5.1400008201599121</v>
      </c>
      <c r="E1213" t="s">
        <v>10</v>
      </c>
      <c r="F1213" t="s">
        <v>46</v>
      </c>
      <c r="G1213">
        <v>4.9000000000000004</v>
      </c>
    </row>
    <row r="1214" spans="1:7" x14ac:dyDescent="0.25">
      <c r="A1214" t="s">
        <v>4</v>
      </c>
      <c r="B1214">
        <v>1212</v>
      </c>
      <c r="C1214">
        <v>90</v>
      </c>
      <c r="D1214">
        <v>4.8436329364776611</v>
      </c>
      <c r="E1214" t="s">
        <v>10</v>
      </c>
      <c r="F1214" t="s">
        <v>46</v>
      </c>
      <c r="G1214">
        <v>4.9000000000000004</v>
      </c>
    </row>
    <row r="1215" spans="1:7" x14ac:dyDescent="0.25">
      <c r="A1215" t="s">
        <v>4</v>
      </c>
      <c r="B1215">
        <v>1213</v>
      </c>
      <c r="C1215">
        <v>12</v>
      </c>
      <c r="D1215">
        <v>3.6323833465576172</v>
      </c>
      <c r="E1215" t="s">
        <v>10</v>
      </c>
      <c r="F1215" t="s">
        <v>46</v>
      </c>
      <c r="G1215">
        <v>4.9000000000000004</v>
      </c>
    </row>
    <row r="1216" spans="1:7" x14ac:dyDescent="0.25">
      <c r="A1216" t="s">
        <v>4</v>
      </c>
      <c r="B1216">
        <v>1214</v>
      </c>
      <c r="C1216">
        <v>99</v>
      </c>
      <c r="D1216">
        <v>5.5176577568054199</v>
      </c>
      <c r="E1216" t="s">
        <v>10</v>
      </c>
      <c r="F1216" t="s">
        <v>46</v>
      </c>
      <c r="G1216">
        <v>4.9000000000000004</v>
      </c>
    </row>
    <row r="1217" spans="1:7" x14ac:dyDescent="0.25">
      <c r="A1217" t="s">
        <v>4</v>
      </c>
      <c r="B1217">
        <v>1215</v>
      </c>
      <c r="C1217">
        <v>0</v>
      </c>
      <c r="D1217">
        <v>6.7364065647125244</v>
      </c>
      <c r="E1217" t="s">
        <v>10</v>
      </c>
      <c r="F1217" t="s">
        <v>46</v>
      </c>
      <c r="G1217">
        <v>4.9000000000000004</v>
      </c>
    </row>
    <row r="1218" spans="1:7" x14ac:dyDescent="0.25">
      <c r="A1218" t="s">
        <v>4</v>
      </c>
      <c r="B1218">
        <v>1216</v>
      </c>
      <c r="C1218">
        <v>80</v>
      </c>
      <c r="D1218">
        <v>3.4380452632904053</v>
      </c>
      <c r="E1218" t="s">
        <v>10</v>
      </c>
      <c r="F1218" t="s">
        <v>46</v>
      </c>
      <c r="G1218">
        <v>4.9000000000000004</v>
      </c>
    </row>
    <row r="1219" spans="1:7" x14ac:dyDescent="0.25">
      <c r="A1219" t="s">
        <v>4</v>
      </c>
      <c r="B1219">
        <v>1217</v>
      </c>
      <c r="C1219">
        <v>81</v>
      </c>
      <c r="D1219">
        <v>3.3939352035522461</v>
      </c>
      <c r="E1219" t="s">
        <v>10</v>
      </c>
      <c r="F1219" t="s">
        <v>46</v>
      </c>
      <c r="G1219">
        <v>4.9000000000000004</v>
      </c>
    </row>
    <row r="1220" spans="1:7" x14ac:dyDescent="0.25">
      <c r="A1220" t="s">
        <v>4</v>
      </c>
      <c r="B1220">
        <v>1218</v>
      </c>
      <c r="C1220">
        <v>0</v>
      </c>
      <c r="D1220">
        <v>4.3682806491851807</v>
      </c>
      <c r="E1220" t="s">
        <v>10</v>
      </c>
      <c r="F1220" t="s">
        <v>46</v>
      </c>
      <c r="G1220">
        <v>4.9000000000000004</v>
      </c>
    </row>
    <row r="1221" spans="1:7" x14ac:dyDescent="0.25">
      <c r="A1221" t="s">
        <v>4</v>
      </c>
      <c r="B1221">
        <v>1219</v>
      </c>
      <c r="C1221">
        <v>99</v>
      </c>
      <c r="D1221">
        <v>2.9904859066009521</v>
      </c>
      <c r="E1221" t="s">
        <v>10</v>
      </c>
      <c r="F1221" t="s">
        <v>46</v>
      </c>
      <c r="G1221">
        <v>4.9000000000000004</v>
      </c>
    </row>
    <row r="1222" spans="1:7" x14ac:dyDescent="0.25">
      <c r="A1222" t="s">
        <v>4</v>
      </c>
      <c r="B1222">
        <v>1220</v>
      </c>
      <c r="C1222">
        <v>90</v>
      </c>
      <c r="D1222">
        <v>3.8106744289398193</v>
      </c>
      <c r="E1222" t="s">
        <v>10</v>
      </c>
      <c r="F1222" t="s">
        <v>46</v>
      </c>
      <c r="G1222">
        <v>4.9000000000000004</v>
      </c>
    </row>
    <row r="1223" spans="1:7" x14ac:dyDescent="0.25">
      <c r="A1223" t="s">
        <v>4</v>
      </c>
      <c r="B1223">
        <v>1221</v>
      </c>
      <c r="C1223">
        <v>41</v>
      </c>
      <c r="D1223">
        <v>15.871729135513306</v>
      </c>
      <c r="E1223" t="s">
        <v>10</v>
      </c>
      <c r="F1223" t="s">
        <v>46</v>
      </c>
      <c r="G1223">
        <v>4.9000000000000004</v>
      </c>
    </row>
    <row r="1224" spans="1:7" x14ac:dyDescent="0.25">
      <c r="A1224" t="s">
        <v>4</v>
      </c>
      <c r="B1224">
        <v>1222</v>
      </c>
      <c r="C1224">
        <v>0</v>
      </c>
      <c r="D1224">
        <v>11.228767156600952</v>
      </c>
      <c r="E1224" t="s">
        <v>10</v>
      </c>
      <c r="F1224" t="s">
        <v>46</v>
      </c>
      <c r="G1224">
        <v>4.9000000000000004</v>
      </c>
    </row>
    <row r="1225" spans="1:7" x14ac:dyDescent="0.25">
      <c r="A1225" t="s">
        <v>4</v>
      </c>
      <c r="B1225">
        <v>1223</v>
      </c>
      <c r="C1225">
        <v>33</v>
      </c>
      <c r="D1225">
        <v>18.274316787719727</v>
      </c>
      <c r="E1225" t="s">
        <v>10</v>
      </c>
      <c r="F1225" t="s">
        <v>46</v>
      </c>
      <c r="G1225">
        <v>4.9000000000000004</v>
      </c>
    </row>
    <row r="1226" spans="1:7" x14ac:dyDescent="0.25">
      <c r="A1226" t="s">
        <v>4</v>
      </c>
      <c r="B1226">
        <v>1224</v>
      </c>
      <c r="C1226">
        <v>93</v>
      </c>
      <c r="D1226">
        <v>5.4608347415924072</v>
      </c>
      <c r="E1226" t="s">
        <v>10</v>
      </c>
      <c r="F1226" t="s">
        <v>46</v>
      </c>
      <c r="G1226">
        <v>4.9000000000000004</v>
      </c>
    </row>
    <row r="1227" spans="1:7" x14ac:dyDescent="0.25">
      <c r="A1227" t="s">
        <v>4</v>
      </c>
      <c r="B1227">
        <v>1225</v>
      </c>
      <c r="C1227">
        <v>74</v>
      </c>
      <c r="D1227">
        <v>4.8669445514678955</v>
      </c>
      <c r="E1227" t="s">
        <v>10</v>
      </c>
      <c r="F1227" t="s">
        <v>46</v>
      </c>
      <c r="G1227">
        <v>4.9000000000000004</v>
      </c>
    </row>
    <row r="1228" spans="1:7" x14ac:dyDescent="0.25">
      <c r="A1228" t="s">
        <v>4</v>
      </c>
      <c r="B1228">
        <v>1226</v>
      </c>
      <c r="C1228">
        <v>90</v>
      </c>
      <c r="D1228">
        <v>4.0914332866668701</v>
      </c>
      <c r="E1228" t="s">
        <v>10</v>
      </c>
      <c r="F1228" t="s">
        <v>46</v>
      </c>
      <c r="G1228">
        <v>4.9000000000000004</v>
      </c>
    </row>
    <row r="1229" spans="1:7" x14ac:dyDescent="0.25">
      <c r="A1229" t="s">
        <v>4</v>
      </c>
      <c r="B1229">
        <v>1227</v>
      </c>
      <c r="C1229">
        <v>85</v>
      </c>
      <c r="D1229">
        <v>5.0057244300842285</v>
      </c>
      <c r="E1229" t="s">
        <v>10</v>
      </c>
      <c r="F1229" t="s">
        <v>46</v>
      </c>
      <c r="G1229">
        <v>4.9000000000000004</v>
      </c>
    </row>
    <row r="1230" spans="1:7" x14ac:dyDescent="0.25">
      <c r="A1230" t="s">
        <v>4</v>
      </c>
      <c r="B1230">
        <v>1228</v>
      </c>
      <c r="C1230">
        <v>90</v>
      </c>
      <c r="D1230">
        <v>3.1898682117462158</v>
      </c>
      <c r="E1230" t="s">
        <v>10</v>
      </c>
      <c r="F1230" t="s">
        <v>46</v>
      </c>
      <c r="G1230">
        <v>4.9000000000000004</v>
      </c>
    </row>
    <row r="1231" spans="1:7" x14ac:dyDescent="0.25">
      <c r="A1231" t="s">
        <v>4</v>
      </c>
      <c r="B1231">
        <v>1229</v>
      </c>
      <c r="C1231">
        <v>100</v>
      </c>
      <c r="D1231">
        <v>25.170290231704712</v>
      </c>
      <c r="E1231" t="s">
        <v>10</v>
      </c>
      <c r="F1231" t="s">
        <v>46</v>
      </c>
      <c r="G1231">
        <v>4.9000000000000004</v>
      </c>
    </row>
    <row r="1232" spans="1:7" x14ac:dyDescent="0.25">
      <c r="A1232" t="s">
        <v>4</v>
      </c>
      <c r="B1232">
        <v>1230</v>
      </c>
      <c r="C1232">
        <v>99</v>
      </c>
      <c r="D1232">
        <v>6.8366286754608154</v>
      </c>
      <c r="E1232" t="s">
        <v>10</v>
      </c>
      <c r="F1232" t="s">
        <v>46</v>
      </c>
      <c r="G1232">
        <v>4.9000000000000004</v>
      </c>
    </row>
    <row r="1233" spans="1:7" x14ac:dyDescent="0.25">
      <c r="A1233" t="s">
        <v>4</v>
      </c>
      <c r="B1233">
        <v>1231</v>
      </c>
      <c r="C1233">
        <v>80</v>
      </c>
      <c r="D1233">
        <v>3.0353446006774902</v>
      </c>
      <c r="E1233" t="s">
        <v>10</v>
      </c>
      <c r="F1233" t="s">
        <v>46</v>
      </c>
      <c r="G1233">
        <v>4.9000000000000004</v>
      </c>
    </row>
    <row r="1234" spans="1:7" x14ac:dyDescent="0.25">
      <c r="A1234" t="s">
        <v>4</v>
      </c>
      <c r="B1234">
        <v>1232</v>
      </c>
      <c r="C1234">
        <v>85</v>
      </c>
      <c r="D1234">
        <v>10.60778021812439</v>
      </c>
      <c r="E1234" t="s">
        <v>10</v>
      </c>
      <c r="F1234" t="s">
        <v>46</v>
      </c>
      <c r="G1234">
        <v>4.9000000000000004</v>
      </c>
    </row>
    <row r="1235" spans="1:7" x14ac:dyDescent="0.25">
      <c r="A1235" t="s">
        <v>4</v>
      </c>
      <c r="B1235">
        <v>1233</v>
      </c>
      <c r="C1235">
        <v>0</v>
      </c>
      <c r="D1235">
        <v>6.1894989013671875</v>
      </c>
      <c r="E1235" t="s">
        <v>10</v>
      </c>
      <c r="F1235" t="s">
        <v>46</v>
      </c>
      <c r="G1235">
        <v>4.9000000000000004</v>
      </c>
    </row>
    <row r="1236" spans="1:7" x14ac:dyDescent="0.25">
      <c r="A1236" t="s">
        <v>4</v>
      </c>
      <c r="B1236">
        <v>1234</v>
      </c>
      <c r="C1236">
        <v>80</v>
      </c>
      <c r="D1236">
        <v>6.087501049041748</v>
      </c>
      <c r="E1236" t="s">
        <v>10</v>
      </c>
      <c r="F1236" t="s">
        <v>46</v>
      </c>
      <c r="G1236">
        <v>4.9000000000000004</v>
      </c>
    </row>
    <row r="1237" spans="1:7" x14ac:dyDescent="0.25">
      <c r="A1237" t="s">
        <v>4</v>
      </c>
      <c r="B1237">
        <v>1235</v>
      </c>
      <c r="C1237">
        <v>100</v>
      </c>
      <c r="D1237">
        <v>6.4365653991699219</v>
      </c>
      <c r="E1237" t="s">
        <v>10</v>
      </c>
      <c r="F1237" t="s">
        <v>46</v>
      </c>
      <c r="G1237">
        <v>4.9000000000000004</v>
      </c>
    </row>
    <row r="1238" spans="1:7" x14ac:dyDescent="0.25">
      <c r="A1238" t="s">
        <v>4</v>
      </c>
      <c r="B1238">
        <v>1236</v>
      </c>
      <c r="C1238">
        <v>80</v>
      </c>
      <c r="D1238">
        <v>6.1078274250030518</v>
      </c>
      <c r="E1238" t="s">
        <v>10</v>
      </c>
      <c r="F1238" t="s">
        <v>46</v>
      </c>
      <c r="G1238">
        <v>4.9000000000000004</v>
      </c>
    </row>
    <row r="1239" spans="1:7" x14ac:dyDescent="0.25">
      <c r="A1239" t="s">
        <v>4</v>
      </c>
      <c r="B1239">
        <v>1237</v>
      </c>
      <c r="C1239">
        <v>25</v>
      </c>
      <c r="D1239">
        <v>3.9426841735839844</v>
      </c>
      <c r="E1239" t="s">
        <v>10</v>
      </c>
      <c r="F1239" t="s">
        <v>46</v>
      </c>
      <c r="G1239">
        <v>4.9000000000000004</v>
      </c>
    </row>
    <row r="1240" spans="1:7" x14ac:dyDescent="0.25">
      <c r="A1240" t="s">
        <v>4</v>
      </c>
      <c r="B1240">
        <v>1238</v>
      </c>
      <c r="C1240">
        <v>80</v>
      </c>
      <c r="D1240">
        <v>11.603850126266479</v>
      </c>
      <c r="E1240" t="s">
        <v>10</v>
      </c>
      <c r="F1240" t="s">
        <v>46</v>
      </c>
      <c r="G1240">
        <v>4.9000000000000004</v>
      </c>
    </row>
    <row r="1241" spans="1:7" x14ac:dyDescent="0.25">
      <c r="A1241" t="s">
        <v>4</v>
      </c>
      <c r="B1241">
        <v>1239</v>
      </c>
      <c r="C1241">
        <v>74</v>
      </c>
      <c r="D1241">
        <v>14.844770669937134</v>
      </c>
      <c r="E1241" t="s">
        <v>10</v>
      </c>
      <c r="F1241" t="s">
        <v>46</v>
      </c>
      <c r="G1241">
        <v>4.9000000000000004</v>
      </c>
    </row>
    <row r="1242" spans="1:7" x14ac:dyDescent="0.25">
      <c r="A1242" t="s">
        <v>4</v>
      </c>
      <c r="B1242">
        <v>1240</v>
      </c>
      <c r="C1242">
        <v>68</v>
      </c>
      <c r="D1242">
        <v>4.6217801570892334</v>
      </c>
      <c r="E1242" t="s">
        <v>10</v>
      </c>
      <c r="F1242" t="s">
        <v>46</v>
      </c>
      <c r="G1242">
        <v>4.9000000000000004</v>
      </c>
    </row>
    <row r="1243" spans="1:7" x14ac:dyDescent="0.25">
      <c r="A1243" t="s">
        <v>4</v>
      </c>
      <c r="B1243">
        <v>1241</v>
      </c>
      <c r="C1243">
        <v>30</v>
      </c>
      <c r="D1243">
        <v>4.0116643905639648</v>
      </c>
      <c r="E1243" t="s">
        <v>10</v>
      </c>
      <c r="F1243" t="s">
        <v>46</v>
      </c>
      <c r="G1243">
        <v>4.9000000000000004</v>
      </c>
    </row>
    <row r="1244" spans="1:7" x14ac:dyDescent="0.25">
      <c r="A1244" t="s">
        <v>4</v>
      </c>
      <c r="B1244">
        <v>1242</v>
      </c>
      <c r="C1244">
        <v>89</v>
      </c>
      <c r="D1244">
        <v>4.5346195697784424</v>
      </c>
      <c r="E1244" t="s">
        <v>10</v>
      </c>
      <c r="F1244" t="s">
        <v>46</v>
      </c>
      <c r="G1244">
        <v>4.9000000000000004</v>
      </c>
    </row>
    <row r="1245" spans="1:7" x14ac:dyDescent="0.25">
      <c r="A1245" t="s">
        <v>4</v>
      </c>
      <c r="B1245">
        <v>1243</v>
      </c>
      <c r="C1245">
        <v>12</v>
      </c>
      <c r="D1245">
        <v>3.9688007831573486</v>
      </c>
      <c r="E1245" t="s">
        <v>10</v>
      </c>
      <c r="F1245" t="s">
        <v>46</v>
      </c>
      <c r="G1245">
        <v>4.9000000000000004</v>
      </c>
    </row>
    <row r="1246" spans="1:7" x14ac:dyDescent="0.25">
      <c r="A1246" t="s">
        <v>4</v>
      </c>
      <c r="B1246">
        <v>1244</v>
      </c>
      <c r="C1246">
        <v>30</v>
      </c>
      <c r="D1246">
        <v>5.5859849452972412</v>
      </c>
      <c r="E1246" t="s">
        <v>10</v>
      </c>
      <c r="F1246" t="s">
        <v>46</v>
      </c>
      <c r="G1246">
        <v>4.9000000000000004</v>
      </c>
    </row>
    <row r="1247" spans="1:7" x14ac:dyDescent="0.25">
      <c r="A1247" t="s">
        <v>4</v>
      </c>
      <c r="B1247">
        <v>1245</v>
      </c>
      <c r="C1247">
        <v>90</v>
      </c>
      <c r="D1247">
        <v>10.581151008605957</v>
      </c>
      <c r="E1247" t="s">
        <v>10</v>
      </c>
      <c r="F1247" t="s">
        <v>46</v>
      </c>
      <c r="G1247">
        <v>4.9000000000000004</v>
      </c>
    </row>
    <row r="1248" spans="1:7" x14ac:dyDescent="0.25">
      <c r="A1248" t="s">
        <v>4</v>
      </c>
      <c r="B1248">
        <v>1246</v>
      </c>
      <c r="C1248">
        <v>99</v>
      </c>
      <c r="D1248">
        <v>5.9245882034301758</v>
      </c>
      <c r="E1248" t="s">
        <v>10</v>
      </c>
      <c r="F1248" t="s">
        <v>46</v>
      </c>
      <c r="G1248">
        <v>4.9000000000000004</v>
      </c>
    </row>
    <row r="1249" spans="1:7" x14ac:dyDescent="0.25">
      <c r="A1249" t="s">
        <v>4</v>
      </c>
      <c r="B1249">
        <v>1247</v>
      </c>
      <c r="C1249">
        <v>84</v>
      </c>
      <c r="D1249">
        <v>6.6022791862487793</v>
      </c>
      <c r="E1249" t="s">
        <v>10</v>
      </c>
      <c r="F1249" t="s">
        <v>46</v>
      </c>
      <c r="G1249">
        <v>4.9000000000000004</v>
      </c>
    </row>
    <row r="1250" spans="1:7" x14ac:dyDescent="0.25">
      <c r="A1250" t="s">
        <v>4</v>
      </c>
      <c r="B1250">
        <v>1248</v>
      </c>
      <c r="C1250">
        <v>83</v>
      </c>
      <c r="D1250">
        <v>7.6021263599395752</v>
      </c>
      <c r="E1250" t="s">
        <v>10</v>
      </c>
      <c r="F1250" t="s">
        <v>46</v>
      </c>
      <c r="G1250">
        <v>4.9000000000000004</v>
      </c>
    </row>
    <row r="1251" spans="1:7" x14ac:dyDescent="0.25">
      <c r="A1251" t="s">
        <v>4</v>
      </c>
      <c r="B1251">
        <v>1249</v>
      </c>
      <c r="C1251">
        <v>75</v>
      </c>
      <c r="D1251">
        <v>7.4652023315429688</v>
      </c>
      <c r="E1251" t="s">
        <v>10</v>
      </c>
      <c r="F1251" t="s">
        <v>46</v>
      </c>
      <c r="G1251">
        <v>4.9000000000000004</v>
      </c>
    </row>
    <row r="1252" spans="1:7" x14ac:dyDescent="0.25">
      <c r="A1252" t="s">
        <v>4</v>
      </c>
      <c r="B1252">
        <v>1250</v>
      </c>
      <c r="C1252">
        <v>97</v>
      </c>
      <c r="D1252">
        <v>8.0137498378753662</v>
      </c>
      <c r="E1252" t="s">
        <v>10</v>
      </c>
      <c r="F1252" t="s">
        <v>46</v>
      </c>
      <c r="G1252">
        <v>4.9000000000000004</v>
      </c>
    </row>
    <row r="1253" spans="1:7" x14ac:dyDescent="0.25">
      <c r="A1253" t="s">
        <v>4</v>
      </c>
      <c r="B1253">
        <v>1251</v>
      </c>
      <c r="C1253">
        <v>21</v>
      </c>
      <c r="D1253">
        <v>7.1603076457977295</v>
      </c>
      <c r="E1253" t="s">
        <v>10</v>
      </c>
      <c r="F1253" t="s">
        <v>46</v>
      </c>
      <c r="G1253">
        <v>4.9000000000000004</v>
      </c>
    </row>
    <row r="1254" spans="1:7" x14ac:dyDescent="0.25">
      <c r="A1254" t="s">
        <v>4</v>
      </c>
      <c r="B1254">
        <v>1252</v>
      </c>
      <c r="C1254">
        <v>10</v>
      </c>
      <c r="D1254">
        <v>4.1828432083129883</v>
      </c>
      <c r="E1254" t="s">
        <v>10</v>
      </c>
      <c r="F1254" t="s">
        <v>46</v>
      </c>
      <c r="G1254">
        <v>4.9000000000000004</v>
      </c>
    </row>
    <row r="1255" spans="1:7" x14ac:dyDescent="0.25">
      <c r="A1255" t="s">
        <v>4</v>
      </c>
      <c r="B1255">
        <v>1253</v>
      </c>
      <c r="C1255">
        <v>83</v>
      </c>
      <c r="D1255">
        <v>17.604649782180786</v>
      </c>
      <c r="E1255" t="s">
        <v>10</v>
      </c>
      <c r="F1255" t="s">
        <v>46</v>
      </c>
      <c r="G1255">
        <v>4.9000000000000004</v>
      </c>
    </row>
    <row r="1256" spans="1:7" x14ac:dyDescent="0.25">
      <c r="A1256" t="s">
        <v>4</v>
      </c>
      <c r="B1256">
        <v>1254</v>
      </c>
      <c r="C1256">
        <v>100</v>
      </c>
      <c r="D1256">
        <v>5.3885018825531006</v>
      </c>
      <c r="E1256" t="s">
        <v>10</v>
      </c>
      <c r="F1256" t="s">
        <v>46</v>
      </c>
      <c r="G1256">
        <v>4.9000000000000004</v>
      </c>
    </row>
    <row r="1257" spans="1:7" x14ac:dyDescent="0.25">
      <c r="A1257" t="s">
        <v>4</v>
      </c>
      <c r="B1257">
        <v>1255</v>
      </c>
      <c r="C1257">
        <v>87</v>
      </c>
      <c r="D1257">
        <v>5.760948657989502</v>
      </c>
      <c r="E1257" t="s">
        <v>10</v>
      </c>
      <c r="F1257" t="s">
        <v>46</v>
      </c>
      <c r="G1257">
        <v>4.9000000000000004</v>
      </c>
    </row>
    <row r="1258" spans="1:7" x14ac:dyDescent="0.25">
      <c r="A1258" t="s">
        <v>4</v>
      </c>
      <c r="B1258">
        <v>1256</v>
      </c>
      <c r="C1258">
        <v>80</v>
      </c>
      <c r="D1258">
        <v>5.1486673355102539</v>
      </c>
      <c r="E1258" t="s">
        <v>10</v>
      </c>
      <c r="F1258" t="s">
        <v>46</v>
      </c>
      <c r="G1258">
        <v>4.9000000000000004</v>
      </c>
    </row>
    <row r="1259" spans="1:7" x14ac:dyDescent="0.25">
      <c r="A1259" t="s">
        <v>4</v>
      </c>
      <c r="B1259">
        <v>1257</v>
      </c>
      <c r="C1259">
        <v>84</v>
      </c>
      <c r="D1259">
        <v>5.1494152545928955</v>
      </c>
      <c r="E1259" t="s">
        <v>10</v>
      </c>
      <c r="F1259" t="s">
        <v>46</v>
      </c>
      <c r="G1259">
        <v>4.9000000000000004</v>
      </c>
    </row>
    <row r="1260" spans="1:7" x14ac:dyDescent="0.25">
      <c r="A1260" t="s">
        <v>4</v>
      </c>
      <c r="B1260">
        <v>1258</v>
      </c>
      <c r="C1260">
        <v>34</v>
      </c>
      <c r="D1260">
        <v>5.3853204250335693</v>
      </c>
      <c r="E1260" t="s">
        <v>10</v>
      </c>
      <c r="F1260" t="s">
        <v>46</v>
      </c>
      <c r="G1260">
        <v>4.9000000000000004</v>
      </c>
    </row>
    <row r="1261" spans="1:7" x14ac:dyDescent="0.25">
      <c r="A1261" t="s">
        <v>4</v>
      </c>
      <c r="B1261">
        <v>1259</v>
      </c>
      <c r="C1261">
        <v>90</v>
      </c>
      <c r="D1261">
        <v>3.4237244129180908</v>
      </c>
      <c r="E1261" t="s">
        <v>10</v>
      </c>
      <c r="F1261" t="s">
        <v>46</v>
      </c>
      <c r="G1261">
        <v>4.9000000000000004</v>
      </c>
    </row>
    <row r="1262" spans="1:7" x14ac:dyDescent="0.25">
      <c r="A1262" t="s">
        <v>4</v>
      </c>
      <c r="B1262">
        <v>1260</v>
      </c>
      <c r="C1262">
        <v>100</v>
      </c>
      <c r="D1262">
        <v>3.7427515983581543</v>
      </c>
      <c r="E1262" t="s">
        <v>10</v>
      </c>
      <c r="F1262" t="s">
        <v>46</v>
      </c>
      <c r="G1262">
        <v>4.9000000000000004</v>
      </c>
    </row>
    <row r="1263" spans="1:7" x14ac:dyDescent="0.25">
      <c r="A1263" t="s">
        <v>4</v>
      </c>
      <c r="B1263">
        <v>1261</v>
      </c>
      <c r="C1263">
        <v>100</v>
      </c>
      <c r="D1263">
        <v>20.419657468795776</v>
      </c>
      <c r="E1263" t="s">
        <v>10</v>
      </c>
      <c r="F1263" t="s">
        <v>46</v>
      </c>
      <c r="G1263">
        <v>4.9000000000000004</v>
      </c>
    </row>
    <row r="1264" spans="1:7" x14ac:dyDescent="0.25">
      <c r="A1264" t="s">
        <v>4</v>
      </c>
      <c r="B1264">
        <v>1262</v>
      </c>
      <c r="C1264">
        <v>84</v>
      </c>
      <c r="D1264">
        <v>5.618586540222168</v>
      </c>
      <c r="E1264" t="s">
        <v>10</v>
      </c>
      <c r="F1264" t="s">
        <v>46</v>
      </c>
      <c r="G1264">
        <v>4.9000000000000004</v>
      </c>
    </row>
    <row r="1265" spans="1:7" x14ac:dyDescent="0.25">
      <c r="A1265" t="s">
        <v>4</v>
      </c>
      <c r="B1265">
        <v>1263</v>
      </c>
      <c r="C1265">
        <v>90</v>
      </c>
      <c r="D1265">
        <v>3.5812969207763672</v>
      </c>
      <c r="E1265" t="s">
        <v>10</v>
      </c>
      <c r="F1265" t="s">
        <v>46</v>
      </c>
      <c r="G1265">
        <v>4.9000000000000004</v>
      </c>
    </row>
    <row r="1266" spans="1:7" x14ac:dyDescent="0.25">
      <c r="A1266" t="s">
        <v>4</v>
      </c>
      <c r="B1266">
        <v>1264</v>
      </c>
      <c r="C1266">
        <v>40</v>
      </c>
      <c r="D1266">
        <v>3.7782089710235596</v>
      </c>
      <c r="E1266" t="s">
        <v>10</v>
      </c>
      <c r="F1266" t="s">
        <v>46</v>
      </c>
      <c r="G1266">
        <v>4.9000000000000004</v>
      </c>
    </row>
    <row r="1267" spans="1:7" x14ac:dyDescent="0.25">
      <c r="A1267" t="s">
        <v>4</v>
      </c>
      <c r="B1267">
        <v>1265</v>
      </c>
      <c r="C1267">
        <v>83</v>
      </c>
      <c r="D1267">
        <v>3.3868379592895508</v>
      </c>
      <c r="E1267" t="s">
        <v>10</v>
      </c>
      <c r="F1267" t="s">
        <v>46</v>
      </c>
      <c r="G1267">
        <v>4.9000000000000004</v>
      </c>
    </row>
    <row r="1268" spans="1:7" x14ac:dyDescent="0.25">
      <c r="A1268" t="s">
        <v>4</v>
      </c>
      <c r="B1268">
        <v>1266</v>
      </c>
      <c r="C1268">
        <v>100</v>
      </c>
      <c r="D1268">
        <v>4.549358606338501</v>
      </c>
      <c r="E1268" t="s">
        <v>10</v>
      </c>
      <c r="F1268" t="s">
        <v>46</v>
      </c>
      <c r="G1268">
        <v>4.9000000000000004</v>
      </c>
    </row>
    <row r="1269" spans="1:7" x14ac:dyDescent="0.25">
      <c r="A1269" t="s">
        <v>4</v>
      </c>
      <c r="B1269">
        <v>1267</v>
      </c>
      <c r="C1269">
        <v>85</v>
      </c>
      <c r="D1269">
        <v>4.6657814979553223</v>
      </c>
      <c r="E1269" t="s">
        <v>10</v>
      </c>
      <c r="F1269" t="s">
        <v>46</v>
      </c>
      <c r="G1269">
        <v>4.9000000000000004</v>
      </c>
    </row>
    <row r="1270" spans="1:7" x14ac:dyDescent="0.25">
      <c r="A1270" t="s">
        <v>4</v>
      </c>
      <c r="B1270">
        <v>1268</v>
      </c>
      <c r="C1270">
        <v>65</v>
      </c>
      <c r="D1270">
        <v>3.8746922016143799</v>
      </c>
      <c r="E1270" t="s">
        <v>10</v>
      </c>
      <c r="F1270" t="s">
        <v>46</v>
      </c>
      <c r="G1270">
        <v>4.9000000000000004</v>
      </c>
    </row>
    <row r="1271" spans="1:7" x14ac:dyDescent="0.25">
      <c r="A1271" t="s">
        <v>4</v>
      </c>
      <c r="B1271">
        <v>1269</v>
      </c>
      <c r="C1271">
        <v>87</v>
      </c>
      <c r="D1271">
        <v>3.4460623264312744</v>
      </c>
      <c r="E1271" t="s">
        <v>10</v>
      </c>
      <c r="F1271" t="s">
        <v>46</v>
      </c>
      <c r="G1271">
        <v>4.9000000000000004</v>
      </c>
    </row>
    <row r="1272" spans="1:7" x14ac:dyDescent="0.25">
      <c r="A1272" t="s">
        <v>4</v>
      </c>
      <c r="B1272">
        <v>1270</v>
      </c>
      <c r="C1272">
        <v>40</v>
      </c>
      <c r="D1272">
        <v>4.1224403381347656</v>
      </c>
      <c r="E1272" t="s">
        <v>10</v>
      </c>
      <c r="F1272" t="s">
        <v>46</v>
      </c>
      <c r="G1272">
        <v>4.9000000000000004</v>
      </c>
    </row>
    <row r="1273" spans="1:7" x14ac:dyDescent="0.25">
      <c r="A1273" t="s">
        <v>4</v>
      </c>
      <c r="B1273">
        <v>1271</v>
      </c>
      <c r="C1273">
        <v>100</v>
      </c>
      <c r="D1273">
        <v>4.0332446098327637</v>
      </c>
      <c r="E1273" t="s">
        <v>10</v>
      </c>
      <c r="F1273" t="s">
        <v>46</v>
      </c>
      <c r="G1273">
        <v>4.9000000000000004</v>
      </c>
    </row>
    <row r="1274" spans="1:7" x14ac:dyDescent="0.25">
      <c r="A1274" t="s">
        <v>4</v>
      </c>
      <c r="B1274">
        <v>1272</v>
      </c>
      <c r="C1274">
        <v>100</v>
      </c>
      <c r="D1274">
        <v>4.3131000995635986</v>
      </c>
      <c r="E1274" t="s">
        <v>10</v>
      </c>
      <c r="F1274" t="s">
        <v>46</v>
      </c>
      <c r="G1274">
        <v>4.9000000000000004</v>
      </c>
    </row>
    <row r="1275" spans="1:7" x14ac:dyDescent="0.25">
      <c r="A1275" t="s">
        <v>4</v>
      </c>
      <c r="B1275">
        <v>1273</v>
      </c>
      <c r="C1275">
        <v>84</v>
      </c>
      <c r="D1275">
        <v>3.5018799304962158</v>
      </c>
      <c r="E1275" t="s">
        <v>10</v>
      </c>
      <c r="F1275" t="s">
        <v>46</v>
      </c>
      <c r="G1275">
        <v>4.9000000000000004</v>
      </c>
    </row>
    <row r="1276" spans="1:7" x14ac:dyDescent="0.25">
      <c r="A1276" t="s">
        <v>4</v>
      </c>
      <c r="B1276">
        <v>1274</v>
      </c>
      <c r="C1276">
        <v>20</v>
      </c>
      <c r="D1276">
        <v>3.7401633262634277</v>
      </c>
      <c r="E1276" t="s">
        <v>10</v>
      </c>
      <c r="F1276" t="s">
        <v>46</v>
      </c>
      <c r="G1276">
        <v>4.9000000000000004</v>
      </c>
    </row>
    <row r="1277" spans="1:7" x14ac:dyDescent="0.25">
      <c r="A1277" t="s">
        <v>4</v>
      </c>
      <c r="B1277">
        <v>1275</v>
      </c>
      <c r="C1277">
        <v>48</v>
      </c>
      <c r="D1277">
        <v>3.4950783252716064</v>
      </c>
      <c r="E1277" t="s">
        <v>10</v>
      </c>
      <c r="F1277" t="s">
        <v>46</v>
      </c>
      <c r="G1277">
        <v>4.9000000000000004</v>
      </c>
    </row>
    <row r="1278" spans="1:7" x14ac:dyDescent="0.25">
      <c r="A1278" t="s">
        <v>4</v>
      </c>
      <c r="B1278">
        <v>1276</v>
      </c>
      <c r="C1278">
        <v>12</v>
      </c>
      <c r="D1278">
        <v>3.5088446140289307</v>
      </c>
      <c r="E1278" t="s">
        <v>10</v>
      </c>
      <c r="F1278" t="s">
        <v>46</v>
      </c>
      <c r="G1278">
        <v>4.9000000000000004</v>
      </c>
    </row>
    <row r="1279" spans="1:7" x14ac:dyDescent="0.25">
      <c r="A1279" t="s">
        <v>4</v>
      </c>
      <c r="B1279">
        <v>1277</v>
      </c>
      <c r="C1279">
        <v>48</v>
      </c>
      <c r="D1279">
        <v>6.0979235172271729</v>
      </c>
      <c r="E1279" t="s">
        <v>10</v>
      </c>
      <c r="F1279" t="s">
        <v>46</v>
      </c>
      <c r="G1279">
        <v>4.9000000000000004</v>
      </c>
    </row>
    <row r="1280" spans="1:7" x14ac:dyDescent="0.25">
      <c r="A1280" t="s">
        <v>4</v>
      </c>
      <c r="B1280">
        <v>1278</v>
      </c>
      <c r="C1280">
        <v>5</v>
      </c>
      <c r="D1280">
        <v>2.7599060535430908</v>
      </c>
      <c r="E1280" t="s">
        <v>10</v>
      </c>
      <c r="F1280" t="s">
        <v>46</v>
      </c>
      <c r="G1280">
        <v>4.9000000000000004</v>
      </c>
    </row>
    <row r="1281" spans="1:7" x14ac:dyDescent="0.25">
      <c r="A1281" t="s">
        <v>4</v>
      </c>
      <c r="B1281">
        <v>1279</v>
      </c>
      <c r="C1281">
        <v>42</v>
      </c>
      <c r="D1281">
        <v>4.1703243255615234</v>
      </c>
      <c r="E1281" t="s">
        <v>10</v>
      </c>
      <c r="F1281" t="s">
        <v>46</v>
      </c>
      <c r="G1281">
        <v>4.9000000000000004</v>
      </c>
    </row>
    <row r="1282" spans="1:7" x14ac:dyDescent="0.25">
      <c r="A1282" t="s">
        <v>4</v>
      </c>
      <c r="B1282">
        <v>1280</v>
      </c>
      <c r="C1282">
        <v>100</v>
      </c>
      <c r="D1282">
        <v>4.0938143730163574</v>
      </c>
      <c r="E1282" t="s">
        <v>10</v>
      </c>
      <c r="F1282" t="s">
        <v>46</v>
      </c>
      <c r="G1282">
        <v>4.9000000000000004</v>
      </c>
    </row>
    <row r="1283" spans="1:7" x14ac:dyDescent="0.25">
      <c r="A1283" t="s">
        <v>4</v>
      </c>
      <c r="B1283">
        <v>1281</v>
      </c>
      <c r="C1283">
        <v>80</v>
      </c>
      <c r="D1283">
        <v>2.8080940246582031</v>
      </c>
      <c r="E1283" t="s">
        <v>10</v>
      </c>
      <c r="F1283" t="s">
        <v>46</v>
      </c>
      <c r="G1283">
        <v>4.9000000000000004</v>
      </c>
    </row>
    <row r="1284" spans="1:7" x14ac:dyDescent="0.25">
      <c r="A1284" t="s">
        <v>4</v>
      </c>
      <c r="B1284">
        <v>1282</v>
      </c>
      <c r="C1284">
        <v>100</v>
      </c>
      <c r="D1284">
        <v>18.17863941192627</v>
      </c>
      <c r="E1284" t="s">
        <v>10</v>
      </c>
      <c r="F1284" t="s">
        <v>55</v>
      </c>
      <c r="G1284">
        <v>4.9000000000000004</v>
      </c>
    </row>
    <row r="1285" spans="1:7" x14ac:dyDescent="0.25">
      <c r="A1285" t="s">
        <v>4</v>
      </c>
      <c r="B1285">
        <v>1283</v>
      </c>
      <c r="C1285">
        <v>64</v>
      </c>
      <c r="D1285">
        <v>7.6972007751464844</v>
      </c>
      <c r="E1285" t="s">
        <v>10</v>
      </c>
      <c r="F1285" t="s">
        <v>43</v>
      </c>
      <c r="G1285">
        <v>4.9000000000000004</v>
      </c>
    </row>
    <row r="1286" spans="1:7" x14ac:dyDescent="0.25">
      <c r="A1286" t="s">
        <v>4</v>
      </c>
      <c r="B1286">
        <v>1284</v>
      </c>
      <c r="C1286">
        <v>40</v>
      </c>
      <c r="D1286">
        <v>16.724409818649292</v>
      </c>
      <c r="E1286" t="s">
        <v>10</v>
      </c>
      <c r="F1286" t="s">
        <v>43</v>
      </c>
      <c r="G1286">
        <v>4.9000000000000004</v>
      </c>
    </row>
    <row r="1287" spans="1:7" x14ac:dyDescent="0.25">
      <c r="A1287" t="s">
        <v>4</v>
      </c>
      <c r="B1287">
        <v>1285</v>
      </c>
      <c r="C1287">
        <v>100</v>
      </c>
      <c r="D1287">
        <v>3.5289499759674072</v>
      </c>
      <c r="E1287" t="s">
        <v>10</v>
      </c>
      <c r="F1287" t="s">
        <v>43</v>
      </c>
      <c r="G1287">
        <v>4.9000000000000004</v>
      </c>
    </row>
    <row r="1288" spans="1:7" x14ac:dyDescent="0.25">
      <c r="A1288" t="s">
        <v>4</v>
      </c>
      <c r="B1288">
        <v>1286</v>
      </c>
      <c r="C1288">
        <v>87</v>
      </c>
      <c r="D1288">
        <v>5.2927820682525635</v>
      </c>
      <c r="E1288" t="s">
        <v>10</v>
      </c>
      <c r="F1288" t="s">
        <v>41</v>
      </c>
      <c r="G1288">
        <v>7.8</v>
      </c>
    </row>
    <row r="1289" spans="1:7" x14ac:dyDescent="0.25">
      <c r="A1289" t="s">
        <v>4</v>
      </c>
      <c r="B1289">
        <v>1287</v>
      </c>
      <c r="C1289">
        <v>100</v>
      </c>
      <c r="D1289">
        <v>12.456762790679932</v>
      </c>
      <c r="E1289" t="s">
        <v>10</v>
      </c>
      <c r="F1289" t="s">
        <v>41</v>
      </c>
      <c r="G1289">
        <v>7.8</v>
      </c>
    </row>
    <row r="1290" spans="1:7" x14ac:dyDescent="0.25">
      <c r="A1290" t="s">
        <v>4</v>
      </c>
      <c r="B1290">
        <v>1288</v>
      </c>
      <c r="C1290">
        <v>100</v>
      </c>
      <c r="D1290">
        <v>17.844587802886963</v>
      </c>
      <c r="E1290" t="s">
        <v>10</v>
      </c>
      <c r="F1290" t="s">
        <v>41</v>
      </c>
      <c r="G1290">
        <v>7.8</v>
      </c>
    </row>
    <row r="1291" spans="1:7" x14ac:dyDescent="0.25">
      <c r="A1291" t="s">
        <v>4</v>
      </c>
      <c r="B1291">
        <v>1289</v>
      </c>
      <c r="C1291">
        <v>100</v>
      </c>
      <c r="D1291">
        <v>146.64496874809265</v>
      </c>
      <c r="E1291" t="s">
        <v>10</v>
      </c>
      <c r="F1291" t="s">
        <v>41</v>
      </c>
      <c r="G1291">
        <v>7.8</v>
      </c>
    </row>
    <row r="1292" spans="1:7" x14ac:dyDescent="0.25">
      <c r="A1292" t="s">
        <v>4</v>
      </c>
      <c r="B1292">
        <v>1290</v>
      </c>
      <c r="C1292">
        <v>90</v>
      </c>
      <c r="D1292">
        <v>5.7457795143127441</v>
      </c>
      <c r="E1292" t="s">
        <v>10</v>
      </c>
      <c r="F1292" t="s">
        <v>41</v>
      </c>
      <c r="G1292">
        <v>7.8</v>
      </c>
    </row>
    <row r="1293" spans="1:7" x14ac:dyDescent="0.25">
      <c r="A1293" t="s">
        <v>4</v>
      </c>
      <c r="B1293">
        <v>1291</v>
      </c>
      <c r="C1293">
        <v>30</v>
      </c>
      <c r="D1293">
        <v>3.5138311386108398</v>
      </c>
      <c r="E1293" t="s">
        <v>10</v>
      </c>
      <c r="F1293" t="s">
        <v>41</v>
      </c>
      <c r="G1293">
        <v>4.9000000000000004</v>
      </c>
    </row>
    <row r="1294" spans="1:7" x14ac:dyDescent="0.25">
      <c r="A1294" t="s">
        <v>4</v>
      </c>
      <c r="B1294">
        <v>1292</v>
      </c>
      <c r="C1294">
        <v>30</v>
      </c>
      <c r="D1294">
        <v>7.1222770214080811</v>
      </c>
      <c r="E1294" t="s">
        <v>10</v>
      </c>
      <c r="F1294" t="s">
        <v>41</v>
      </c>
      <c r="G1294">
        <v>4.9000000000000004</v>
      </c>
    </row>
    <row r="1295" spans="1:7" x14ac:dyDescent="0.25">
      <c r="A1295" t="s">
        <v>4</v>
      </c>
      <c r="B1295">
        <v>1293</v>
      </c>
      <c r="C1295">
        <v>32</v>
      </c>
      <c r="D1295">
        <v>19.555606842041016</v>
      </c>
      <c r="E1295" t="s">
        <v>10</v>
      </c>
      <c r="F1295" t="s">
        <v>48</v>
      </c>
      <c r="G1295">
        <v>7.2</v>
      </c>
    </row>
    <row r="1296" spans="1:7" x14ac:dyDescent="0.25">
      <c r="A1296" t="s">
        <v>4</v>
      </c>
      <c r="B1296">
        <v>1294</v>
      </c>
      <c r="C1296">
        <v>82</v>
      </c>
      <c r="D1296">
        <v>8.6674823760986328</v>
      </c>
      <c r="E1296" t="s">
        <v>10</v>
      </c>
      <c r="F1296" t="s">
        <v>48</v>
      </c>
      <c r="G1296">
        <v>7.2</v>
      </c>
    </row>
    <row r="1297" spans="1:7" x14ac:dyDescent="0.25">
      <c r="A1297" t="s">
        <v>4</v>
      </c>
      <c r="B1297">
        <v>1295</v>
      </c>
      <c r="C1297">
        <v>99</v>
      </c>
      <c r="D1297">
        <v>4.6041464805603027</v>
      </c>
      <c r="E1297" t="s">
        <v>10</v>
      </c>
      <c r="F1297" t="s">
        <v>46</v>
      </c>
      <c r="G1297">
        <v>4.9000000000000004</v>
      </c>
    </row>
    <row r="1298" spans="1:7" x14ac:dyDescent="0.25">
      <c r="A1298" t="s">
        <v>4</v>
      </c>
      <c r="B1298">
        <v>1296</v>
      </c>
      <c r="C1298">
        <v>70</v>
      </c>
      <c r="D1298">
        <v>3.9138970375061035</v>
      </c>
      <c r="E1298" t="s">
        <v>10</v>
      </c>
      <c r="F1298" t="s">
        <v>13</v>
      </c>
      <c r="G1298">
        <v>2.1</v>
      </c>
    </row>
    <row r="1299" spans="1:7" x14ac:dyDescent="0.25">
      <c r="A1299" t="s">
        <v>4</v>
      </c>
      <c r="B1299">
        <v>1297</v>
      </c>
      <c r="C1299">
        <v>100</v>
      </c>
      <c r="D1299">
        <v>7.023348331451416</v>
      </c>
      <c r="E1299" t="s">
        <v>10</v>
      </c>
      <c r="F1299" t="s">
        <v>41</v>
      </c>
      <c r="G1299">
        <v>2.1</v>
      </c>
    </row>
    <row r="1300" spans="1:7" x14ac:dyDescent="0.25">
      <c r="A1300" t="s">
        <v>4</v>
      </c>
      <c r="B1300">
        <v>1298</v>
      </c>
      <c r="C1300">
        <v>60</v>
      </c>
      <c r="D1300">
        <v>3.2170851230621338</v>
      </c>
      <c r="E1300" t="s">
        <v>10</v>
      </c>
      <c r="F1300" t="s">
        <v>45</v>
      </c>
      <c r="G1300">
        <v>5</v>
      </c>
    </row>
    <row r="1301" spans="1:7" x14ac:dyDescent="0.25">
      <c r="A1301" t="s">
        <v>4</v>
      </c>
      <c r="B1301">
        <v>1299</v>
      </c>
      <c r="C1301">
        <v>20</v>
      </c>
      <c r="D1301">
        <v>3.4526400566101074</v>
      </c>
      <c r="E1301" t="s">
        <v>10</v>
      </c>
      <c r="F1301" t="s">
        <v>45</v>
      </c>
      <c r="G1301">
        <v>5</v>
      </c>
    </row>
    <row r="1302" spans="1:7" x14ac:dyDescent="0.25">
      <c r="A1302" t="s">
        <v>4</v>
      </c>
      <c r="B1302">
        <v>1300</v>
      </c>
      <c r="C1302">
        <v>70</v>
      </c>
      <c r="D1302">
        <v>6.2705533504486084</v>
      </c>
      <c r="E1302" t="s">
        <v>10</v>
      </c>
      <c r="F1302" t="s">
        <v>45</v>
      </c>
      <c r="G1302">
        <v>5</v>
      </c>
    </row>
    <row r="1303" spans="1:7" x14ac:dyDescent="0.25">
      <c r="A1303" t="s">
        <v>4</v>
      </c>
      <c r="B1303">
        <v>1301</v>
      </c>
      <c r="C1303">
        <v>83</v>
      </c>
      <c r="D1303">
        <v>3.8136923313140869</v>
      </c>
      <c r="E1303" t="s">
        <v>10</v>
      </c>
      <c r="F1303" t="s">
        <v>45</v>
      </c>
      <c r="G1303">
        <v>5</v>
      </c>
    </row>
    <row r="1304" spans="1:7" x14ac:dyDescent="0.25">
      <c r="A1304" t="s">
        <v>4</v>
      </c>
      <c r="B1304">
        <v>1302</v>
      </c>
      <c r="C1304">
        <v>80</v>
      </c>
      <c r="D1304">
        <v>3.630706787109375</v>
      </c>
      <c r="E1304" t="s">
        <v>10</v>
      </c>
      <c r="F1304" t="s">
        <v>45</v>
      </c>
      <c r="G1304">
        <v>5</v>
      </c>
    </row>
    <row r="1305" spans="1:7" x14ac:dyDescent="0.25">
      <c r="A1305" t="s">
        <v>4</v>
      </c>
      <c r="B1305">
        <v>1303</v>
      </c>
      <c r="C1305">
        <v>84</v>
      </c>
      <c r="D1305">
        <v>3.1544103622436523</v>
      </c>
      <c r="E1305" t="s">
        <v>10</v>
      </c>
      <c r="F1305" t="s">
        <v>56</v>
      </c>
      <c r="G1305">
        <v>7.2</v>
      </c>
    </row>
    <row r="1306" spans="1:7" x14ac:dyDescent="0.25">
      <c r="A1306" t="s">
        <v>4</v>
      </c>
      <c r="B1306">
        <v>1304</v>
      </c>
      <c r="C1306">
        <v>100</v>
      </c>
      <c r="D1306">
        <v>3.7091596126556396</v>
      </c>
      <c r="E1306" t="s">
        <v>10</v>
      </c>
      <c r="F1306" t="s">
        <v>56</v>
      </c>
      <c r="G1306">
        <v>7.2</v>
      </c>
    </row>
    <row r="1307" spans="1:7" x14ac:dyDescent="0.25">
      <c r="A1307" t="s">
        <v>4</v>
      </c>
      <c r="B1307">
        <v>1305</v>
      </c>
      <c r="C1307">
        <v>0</v>
      </c>
      <c r="D1307">
        <v>5.8391706943511963</v>
      </c>
      <c r="E1307" t="s">
        <v>10</v>
      </c>
      <c r="F1307" t="s">
        <v>56</v>
      </c>
      <c r="G1307">
        <v>7.2</v>
      </c>
    </row>
    <row r="1308" spans="1:7" x14ac:dyDescent="0.25">
      <c r="A1308" t="s">
        <v>4</v>
      </c>
      <c r="B1308">
        <v>1306</v>
      </c>
      <c r="C1308">
        <v>83</v>
      </c>
      <c r="D1308">
        <v>5.1582555770874023</v>
      </c>
      <c r="E1308" t="s">
        <v>10</v>
      </c>
      <c r="F1308" t="s">
        <v>56</v>
      </c>
      <c r="G1308">
        <v>7.2</v>
      </c>
    </row>
    <row r="1309" spans="1:7" x14ac:dyDescent="0.25">
      <c r="A1309" t="s">
        <v>4</v>
      </c>
      <c r="B1309">
        <v>1307</v>
      </c>
      <c r="C1309">
        <v>64</v>
      </c>
      <c r="D1309">
        <v>3.28987717628479</v>
      </c>
      <c r="E1309" t="s">
        <v>10</v>
      </c>
      <c r="F1309" t="s">
        <v>41</v>
      </c>
      <c r="G1309">
        <v>4</v>
      </c>
    </row>
    <row r="1310" spans="1:7" x14ac:dyDescent="0.25">
      <c r="A1310" t="s">
        <v>4</v>
      </c>
      <c r="B1310">
        <v>1308</v>
      </c>
      <c r="C1310">
        <v>84</v>
      </c>
      <c r="D1310">
        <v>5.1321854591369629</v>
      </c>
      <c r="E1310" t="s">
        <v>10</v>
      </c>
      <c r="F1310" t="s">
        <v>57</v>
      </c>
      <c r="G1310">
        <v>7.2</v>
      </c>
    </row>
    <row r="1311" spans="1:7" x14ac:dyDescent="0.25">
      <c r="A1311" t="s">
        <v>4</v>
      </c>
      <c r="B1311">
        <v>1309</v>
      </c>
      <c r="C1311">
        <v>89</v>
      </c>
      <c r="D1311">
        <v>5.1845226287841797</v>
      </c>
      <c r="E1311" t="s">
        <v>10</v>
      </c>
      <c r="F1311" t="s">
        <v>41</v>
      </c>
      <c r="G1311">
        <v>5</v>
      </c>
    </row>
    <row r="1312" spans="1:7" x14ac:dyDescent="0.25">
      <c r="A1312" t="s">
        <v>4</v>
      </c>
      <c r="B1312">
        <v>1310</v>
      </c>
      <c r="C1312">
        <v>90</v>
      </c>
      <c r="D1312">
        <v>7.1155657768249512</v>
      </c>
      <c r="E1312" t="s">
        <v>10</v>
      </c>
      <c r="F1312" t="s">
        <v>45</v>
      </c>
      <c r="G1312">
        <v>3.3</v>
      </c>
    </row>
    <row r="1313" spans="1:7" x14ac:dyDescent="0.25">
      <c r="A1313" t="s">
        <v>4</v>
      </c>
      <c r="B1313">
        <v>1311</v>
      </c>
      <c r="C1313">
        <v>32</v>
      </c>
      <c r="D1313">
        <v>21.961465835571289</v>
      </c>
      <c r="E1313" t="s">
        <v>10</v>
      </c>
      <c r="F1313" t="s">
        <v>45</v>
      </c>
      <c r="G1313">
        <v>3.3</v>
      </c>
    </row>
    <row r="1314" spans="1:7" x14ac:dyDescent="0.25">
      <c r="A1314" t="s">
        <v>4</v>
      </c>
      <c r="B1314">
        <v>1312</v>
      </c>
      <c r="C1314">
        <v>99</v>
      </c>
      <c r="D1314">
        <v>5.0335299968719482</v>
      </c>
      <c r="E1314" t="s">
        <v>10</v>
      </c>
      <c r="F1314" t="s">
        <v>41</v>
      </c>
      <c r="G1314">
        <v>5.4</v>
      </c>
    </row>
    <row r="1315" spans="1:7" x14ac:dyDescent="0.25">
      <c r="A1315" t="s">
        <v>4</v>
      </c>
      <c r="B1315">
        <v>1313</v>
      </c>
      <c r="C1315">
        <v>90</v>
      </c>
      <c r="D1315">
        <v>3.5721793174743652</v>
      </c>
      <c r="E1315" t="s">
        <v>10</v>
      </c>
      <c r="F1315" t="s">
        <v>41</v>
      </c>
      <c r="G1315">
        <v>5.4</v>
      </c>
    </row>
    <row r="1316" spans="1:7" x14ac:dyDescent="0.25">
      <c r="A1316" t="s">
        <v>4</v>
      </c>
      <c r="B1316">
        <v>1314</v>
      </c>
      <c r="C1316">
        <v>80</v>
      </c>
      <c r="D1316">
        <v>2.9818053245544434</v>
      </c>
      <c r="E1316" t="s">
        <v>10</v>
      </c>
      <c r="F1316" t="s">
        <v>41</v>
      </c>
      <c r="G1316">
        <v>5.4</v>
      </c>
    </row>
    <row r="1317" spans="1:7" x14ac:dyDescent="0.25">
      <c r="A1317" t="s">
        <v>4</v>
      </c>
      <c r="B1317">
        <v>1315</v>
      </c>
      <c r="C1317">
        <v>50</v>
      </c>
      <c r="D1317">
        <v>2.8494303226470947</v>
      </c>
      <c r="E1317" t="s">
        <v>10</v>
      </c>
      <c r="F1317" t="s">
        <v>41</v>
      </c>
      <c r="G1317">
        <v>5.4</v>
      </c>
    </row>
    <row r="1318" spans="1:7" x14ac:dyDescent="0.25">
      <c r="A1318" t="s">
        <v>4</v>
      </c>
      <c r="B1318">
        <v>1316</v>
      </c>
      <c r="C1318">
        <v>82</v>
      </c>
      <c r="D1318">
        <v>3.7346470355987549</v>
      </c>
      <c r="E1318" t="s">
        <v>10</v>
      </c>
      <c r="F1318" t="s">
        <v>41</v>
      </c>
      <c r="G1318">
        <v>5.4</v>
      </c>
    </row>
    <row r="1319" spans="1:7" x14ac:dyDescent="0.25">
      <c r="A1319" t="s">
        <v>4</v>
      </c>
      <c r="B1319">
        <v>1317</v>
      </c>
      <c r="C1319">
        <v>90</v>
      </c>
      <c r="D1319">
        <v>2.5802600383758545</v>
      </c>
      <c r="E1319" t="s">
        <v>10</v>
      </c>
      <c r="F1319" t="s">
        <v>41</v>
      </c>
      <c r="G1319">
        <v>5.4</v>
      </c>
    </row>
    <row r="1320" spans="1:7" x14ac:dyDescent="0.25">
      <c r="A1320" t="s">
        <v>4</v>
      </c>
      <c r="B1320">
        <v>1318</v>
      </c>
      <c r="C1320">
        <v>70</v>
      </c>
      <c r="D1320">
        <v>2.8218908309936523</v>
      </c>
      <c r="E1320" t="s">
        <v>10</v>
      </c>
      <c r="F1320" t="s">
        <v>41</v>
      </c>
      <c r="G1320">
        <v>5.4</v>
      </c>
    </row>
    <row r="1321" spans="1:7" x14ac:dyDescent="0.25">
      <c r="A1321" t="s">
        <v>4</v>
      </c>
      <c r="B1321">
        <v>1319</v>
      </c>
      <c r="C1321">
        <v>12</v>
      </c>
      <c r="D1321">
        <v>2.9150886535644531</v>
      </c>
      <c r="E1321" t="s">
        <v>10</v>
      </c>
      <c r="F1321" t="s">
        <v>41</v>
      </c>
      <c r="G1321">
        <v>5.4</v>
      </c>
    </row>
    <row r="1322" spans="1:7" x14ac:dyDescent="0.25">
      <c r="A1322" t="s">
        <v>4</v>
      </c>
      <c r="B1322">
        <v>1320</v>
      </c>
      <c r="C1322">
        <v>60</v>
      </c>
      <c r="D1322">
        <v>3.4194536209106445</v>
      </c>
      <c r="E1322" t="s">
        <v>10</v>
      </c>
      <c r="F1322" t="s">
        <v>41</v>
      </c>
      <c r="G1322">
        <v>5.4</v>
      </c>
    </row>
    <row r="1323" spans="1:7" x14ac:dyDescent="0.25">
      <c r="A1323" t="s">
        <v>4</v>
      </c>
      <c r="B1323">
        <v>1321</v>
      </c>
      <c r="C1323">
        <v>100</v>
      </c>
      <c r="D1323">
        <v>4.1528315544128418</v>
      </c>
      <c r="E1323" t="s">
        <v>10</v>
      </c>
      <c r="F1323" t="s">
        <v>51</v>
      </c>
      <c r="G1323">
        <v>6.2</v>
      </c>
    </row>
    <row r="1324" spans="1:7" x14ac:dyDescent="0.25">
      <c r="A1324" t="s">
        <v>4</v>
      </c>
      <c r="B1324">
        <v>1322</v>
      </c>
      <c r="C1324">
        <v>45</v>
      </c>
      <c r="D1324">
        <v>3.2209541797637939</v>
      </c>
      <c r="E1324" t="s">
        <v>10</v>
      </c>
      <c r="F1324" t="s">
        <v>41</v>
      </c>
      <c r="G1324">
        <v>4.7</v>
      </c>
    </row>
    <row r="1325" spans="1:7" x14ac:dyDescent="0.25">
      <c r="A1325" t="s">
        <v>4</v>
      </c>
      <c r="B1325">
        <v>1323</v>
      </c>
      <c r="C1325">
        <v>80</v>
      </c>
      <c r="D1325">
        <v>4.0894138813018799</v>
      </c>
      <c r="E1325" t="s">
        <v>10</v>
      </c>
      <c r="F1325" t="s">
        <v>41</v>
      </c>
      <c r="G1325">
        <v>4.7</v>
      </c>
    </row>
    <row r="1326" spans="1:7" x14ac:dyDescent="0.25">
      <c r="A1326" t="s">
        <v>4</v>
      </c>
      <c r="B1326">
        <v>1324</v>
      </c>
      <c r="C1326">
        <v>80</v>
      </c>
      <c r="D1326">
        <v>3.1253690719604492</v>
      </c>
      <c r="E1326" t="s">
        <v>10</v>
      </c>
      <c r="F1326" t="s">
        <v>41</v>
      </c>
      <c r="G1326">
        <v>4.7</v>
      </c>
    </row>
    <row r="1327" spans="1:7" x14ac:dyDescent="0.25">
      <c r="A1327" t="s">
        <v>4</v>
      </c>
      <c r="B1327">
        <v>1325</v>
      </c>
      <c r="C1327">
        <v>70</v>
      </c>
      <c r="D1327">
        <v>2.9909238815307617</v>
      </c>
      <c r="E1327" t="s">
        <v>10</v>
      </c>
      <c r="F1327" t="s">
        <v>41</v>
      </c>
      <c r="G1327">
        <v>4.7</v>
      </c>
    </row>
    <row r="1328" spans="1:7" x14ac:dyDescent="0.25">
      <c r="A1328" t="s">
        <v>4</v>
      </c>
      <c r="B1328">
        <v>1326</v>
      </c>
      <c r="C1328">
        <v>80</v>
      </c>
      <c r="D1328">
        <v>2.6100270748138428</v>
      </c>
      <c r="E1328" t="s">
        <v>10</v>
      </c>
      <c r="F1328" t="s">
        <v>51</v>
      </c>
      <c r="G1328">
        <v>7.2</v>
      </c>
    </row>
    <row r="1329" spans="1:7" x14ac:dyDescent="0.25">
      <c r="A1329" t="s">
        <v>4</v>
      </c>
      <c r="B1329">
        <v>1327</v>
      </c>
      <c r="C1329">
        <v>70</v>
      </c>
      <c r="D1329">
        <v>3.1820173263549805</v>
      </c>
      <c r="E1329" t="s">
        <v>10</v>
      </c>
      <c r="F1329" t="s">
        <v>51</v>
      </c>
      <c r="G1329">
        <v>7.2</v>
      </c>
    </row>
    <row r="1330" spans="1:7" x14ac:dyDescent="0.25">
      <c r="A1330" t="s">
        <v>4</v>
      </c>
      <c r="B1330">
        <v>1328</v>
      </c>
      <c r="C1330">
        <v>88</v>
      </c>
      <c r="D1330">
        <v>5.8040180206298828</v>
      </c>
      <c r="E1330" t="s">
        <v>10</v>
      </c>
      <c r="F1330" t="s">
        <v>55</v>
      </c>
      <c r="G1330">
        <v>4</v>
      </c>
    </row>
    <row r="1331" spans="1:7" x14ac:dyDescent="0.25">
      <c r="A1331" t="s">
        <v>4</v>
      </c>
      <c r="B1331">
        <v>1329</v>
      </c>
      <c r="C1331">
        <v>85</v>
      </c>
      <c r="D1331">
        <v>3.4918403625488281</v>
      </c>
      <c r="E1331" t="s">
        <v>10</v>
      </c>
      <c r="F1331" t="s">
        <v>55</v>
      </c>
      <c r="G1331">
        <v>4</v>
      </c>
    </row>
    <row r="1332" spans="1:7" x14ac:dyDescent="0.25">
      <c r="A1332" t="s">
        <v>4</v>
      </c>
      <c r="B1332">
        <v>1330</v>
      </c>
      <c r="C1332">
        <v>98</v>
      </c>
      <c r="D1332">
        <v>7.3799443244934082</v>
      </c>
      <c r="E1332" t="s">
        <v>10</v>
      </c>
      <c r="F1332" t="s">
        <v>55</v>
      </c>
      <c r="G1332">
        <v>4</v>
      </c>
    </row>
    <row r="1333" spans="1:7" x14ac:dyDescent="0.25">
      <c r="A1333" t="s">
        <v>4</v>
      </c>
      <c r="B1333">
        <v>1331</v>
      </c>
      <c r="C1333">
        <v>100</v>
      </c>
      <c r="D1333">
        <v>3.7638335227966309</v>
      </c>
      <c r="E1333" t="s">
        <v>10</v>
      </c>
      <c r="F1333" t="s">
        <v>43</v>
      </c>
      <c r="G1333">
        <v>2.1</v>
      </c>
    </row>
    <row r="1334" spans="1:7" x14ac:dyDescent="0.25">
      <c r="A1334" t="s">
        <v>4</v>
      </c>
      <c r="B1334">
        <v>1332</v>
      </c>
      <c r="C1334">
        <v>84</v>
      </c>
      <c r="D1334">
        <v>4.5067527294158936</v>
      </c>
      <c r="E1334" t="s">
        <v>10</v>
      </c>
      <c r="F1334" t="s">
        <v>43</v>
      </c>
      <c r="G1334">
        <v>2.1</v>
      </c>
    </row>
    <row r="1335" spans="1:7" x14ac:dyDescent="0.25">
      <c r="A1335" t="s">
        <v>4</v>
      </c>
      <c r="B1335">
        <v>1333</v>
      </c>
      <c r="C1335">
        <v>98</v>
      </c>
      <c r="D1335">
        <v>5.1639354228973389</v>
      </c>
      <c r="E1335" t="s">
        <v>10</v>
      </c>
      <c r="F1335" t="s">
        <v>44</v>
      </c>
      <c r="G1335">
        <v>5.4</v>
      </c>
    </row>
    <row r="1336" spans="1:7" x14ac:dyDescent="0.25">
      <c r="A1336" t="s">
        <v>4</v>
      </c>
      <c r="B1336">
        <v>1334</v>
      </c>
      <c r="C1336">
        <v>100</v>
      </c>
      <c r="D1336">
        <v>4.2581543922424316</v>
      </c>
      <c r="E1336" t="s">
        <v>10</v>
      </c>
      <c r="F1336" t="s">
        <v>43</v>
      </c>
      <c r="G1336">
        <v>1.9</v>
      </c>
    </row>
    <row r="1337" spans="1:7" x14ac:dyDescent="0.25">
      <c r="A1337" t="s">
        <v>4</v>
      </c>
      <c r="B1337">
        <v>1335</v>
      </c>
      <c r="C1337">
        <v>33</v>
      </c>
      <c r="D1337">
        <v>19.223471403121948</v>
      </c>
      <c r="E1337" t="s">
        <v>10</v>
      </c>
      <c r="F1337" t="s">
        <v>41</v>
      </c>
      <c r="G1337">
        <v>4.9000000000000004</v>
      </c>
    </row>
    <row r="1338" spans="1:7" x14ac:dyDescent="0.25">
      <c r="A1338" t="s">
        <v>4</v>
      </c>
      <c r="B1338">
        <v>1336</v>
      </c>
      <c r="C1338">
        <v>99</v>
      </c>
      <c r="D1338">
        <v>3.7812011241912842</v>
      </c>
      <c r="E1338" t="s">
        <v>10</v>
      </c>
      <c r="F1338" t="s">
        <v>41</v>
      </c>
      <c r="G1338">
        <v>4.9000000000000004</v>
      </c>
    </row>
    <row r="1339" spans="1:7" x14ac:dyDescent="0.25">
      <c r="A1339" t="s">
        <v>4</v>
      </c>
      <c r="B1339">
        <v>1337</v>
      </c>
      <c r="C1339">
        <v>88</v>
      </c>
      <c r="D1339">
        <v>2.7752740383148193</v>
      </c>
      <c r="E1339" t="s">
        <v>10</v>
      </c>
      <c r="F1339" t="s">
        <v>13</v>
      </c>
      <c r="G1339">
        <v>3.6</v>
      </c>
    </row>
    <row r="1340" spans="1:7" x14ac:dyDescent="0.25">
      <c r="A1340" t="s">
        <v>4</v>
      </c>
      <c r="B1340">
        <v>1338</v>
      </c>
      <c r="C1340">
        <v>30</v>
      </c>
      <c r="D1340">
        <v>2.5944585800170898</v>
      </c>
      <c r="E1340" t="s">
        <v>10</v>
      </c>
      <c r="F1340" t="s">
        <v>13</v>
      </c>
      <c r="G1340">
        <v>3.6</v>
      </c>
    </row>
    <row r="1341" spans="1:7" x14ac:dyDescent="0.25">
      <c r="A1341" t="s">
        <v>4</v>
      </c>
      <c r="B1341">
        <v>1339</v>
      </c>
      <c r="C1341">
        <v>96</v>
      </c>
      <c r="D1341">
        <v>4.3226826190948486</v>
      </c>
      <c r="E1341" t="s">
        <v>10</v>
      </c>
      <c r="F1341" t="s">
        <v>13</v>
      </c>
      <c r="G1341">
        <v>3.6</v>
      </c>
    </row>
    <row r="1342" spans="1:7" x14ac:dyDescent="0.25">
      <c r="A1342" t="s">
        <v>4</v>
      </c>
      <c r="B1342">
        <v>1340</v>
      </c>
      <c r="C1342">
        <v>80</v>
      </c>
      <c r="D1342">
        <v>4.63521409034729</v>
      </c>
      <c r="E1342" t="s">
        <v>10</v>
      </c>
      <c r="F1342" t="s">
        <v>55</v>
      </c>
      <c r="G1342">
        <v>4.7</v>
      </c>
    </row>
    <row r="1343" spans="1:7" x14ac:dyDescent="0.25">
      <c r="A1343" t="s">
        <v>4</v>
      </c>
      <c r="B1343">
        <v>1341</v>
      </c>
      <c r="C1343">
        <v>90</v>
      </c>
      <c r="D1343">
        <v>2.9482295513153076</v>
      </c>
      <c r="E1343" t="s">
        <v>10</v>
      </c>
      <c r="F1343" t="s">
        <v>45</v>
      </c>
      <c r="G1343">
        <v>1.9</v>
      </c>
    </row>
    <row r="1344" spans="1:7" x14ac:dyDescent="0.25">
      <c r="A1344" t="s">
        <v>4</v>
      </c>
      <c r="B1344">
        <v>1342</v>
      </c>
      <c r="C1344">
        <v>88</v>
      </c>
      <c r="D1344">
        <v>10.981733560562134</v>
      </c>
      <c r="E1344" t="s">
        <v>10</v>
      </c>
      <c r="F1344" t="s">
        <v>46</v>
      </c>
      <c r="G1344">
        <v>4.5999999999999996</v>
      </c>
    </row>
    <row r="1345" spans="1:7" x14ac:dyDescent="0.25">
      <c r="A1345" t="s">
        <v>4</v>
      </c>
      <c r="B1345">
        <v>1343</v>
      </c>
      <c r="C1345">
        <v>85</v>
      </c>
      <c r="D1345">
        <v>5.4247808456420898</v>
      </c>
      <c r="E1345" t="s">
        <v>10</v>
      </c>
      <c r="F1345" t="s">
        <v>13</v>
      </c>
      <c r="G1345">
        <v>3.3</v>
      </c>
    </row>
    <row r="1346" spans="1:7" x14ac:dyDescent="0.25">
      <c r="A1346" t="s">
        <v>4</v>
      </c>
      <c r="B1346">
        <v>1344</v>
      </c>
      <c r="C1346">
        <v>70</v>
      </c>
      <c r="D1346">
        <v>4.0741512775421143</v>
      </c>
      <c r="E1346" t="s">
        <v>10</v>
      </c>
      <c r="F1346" t="s">
        <v>41</v>
      </c>
      <c r="G1346">
        <v>4.9000000000000004</v>
      </c>
    </row>
    <row r="1347" spans="1:7" x14ac:dyDescent="0.25">
      <c r="A1347" t="s">
        <v>4</v>
      </c>
      <c r="B1347">
        <v>1345</v>
      </c>
      <c r="C1347">
        <v>85</v>
      </c>
      <c r="D1347">
        <v>5.265479564666748</v>
      </c>
      <c r="E1347" t="s">
        <v>10</v>
      </c>
      <c r="F1347" t="s">
        <v>46</v>
      </c>
      <c r="G1347">
        <v>6.1</v>
      </c>
    </row>
    <row r="1348" spans="1:7" x14ac:dyDescent="0.25">
      <c r="A1348" t="s">
        <v>4</v>
      </c>
      <c r="B1348">
        <v>1346</v>
      </c>
      <c r="C1348">
        <v>30</v>
      </c>
      <c r="D1348">
        <v>6.1181762218475342</v>
      </c>
      <c r="E1348" t="s">
        <v>10</v>
      </c>
      <c r="F1348" t="s">
        <v>41</v>
      </c>
      <c r="G1348">
        <v>4.7</v>
      </c>
    </row>
    <row r="1349" spans="1:7" x14ac:dyDescent="0.25">
      <c r="A1349" t="s">
        <v>4</v>
      </c>
      <c r="B1349">
        <v>1347</v>
      </c>
      <c r="C1349">
        <v>89</v>
      </c>
      <c r="D1349">
        <v>9.6218631267547607</v>
      </c>
      <c r="E1349" t="s">
        <v>10</v>
      </c>
      <c r="F1349" t="s">
        <v>41</v>
      </c>
      <c r="G1349">
        <v>4.7</v>
      </c>
    </row>
    <row r="1350" spans="1:7" x14ac:dyDescent="0.25">
      <c r="A1350" t="s">
        <v>4</v>
      </c>
      <c r="B1350">
        <v>1348</v>
      </c>
      <c r="C1350">
        <v>14</v>
      </c>
      <c r="D1350">
        <v>3.1762096881866455</v>
      </c>
      <c r="E1350" t="s">
        <v>10</v>
      </c>
      <c r="F1350" t="s">
        <v>41</v>
      </c>
      <c r="G1350">
        <v>4.7</v>
      </c>
    </row>
    <row r="1351" spans="1:7" x14ac:dyDescent="0.25">
      <c r="A1351" t="s">
        <v>4</v>
      </c>
      <c r="B1351">
        <v>1349</v>
      </c>
      <c r="C1351">
        <v>100</v>
      </c>
      <c r="D1351">
        <v>18.131015062332153</v>
      </c>
      <c r="E1351" t="s">
        <v>10</v>
      </c>
      <c r="F1351" t="s">
        <v>46</v>
      </c>
      <c r="G1351">
        <v>6.8</v>
      </c>
    </row>
    <row r="1352" spans="1:7" x14ac:dyDescent="0.25">
      <c r="A1352" t="s">
        <v>4</v>
      </c>
      <c r="B1352">
        <v>1350</v>
      </c>
      <c r="C1352">
        <v>100</v>
      </c>
      <c r="D1352">
        <v>6.7084946632385254</v>
      </c>
      <c r="E1352" t="s">
        <v>10</v>
      </c>
      <c r="F1352" t="s">
        <v>46</v>
      </c>
      <c r="G1352">
        <v>6.8</v>
      </c>
    </row>
    <row r="1353" spans="1:7" x14ac:dyDescent="0.25">
      <c r="A1353" t="s">
        <v>4</v>
      </c>
      <c r="B1353">
        <v>1351</v>
      </c>
      <c r="C1353">
        <v>24</v>
      </c>
      <c r="D1353">
        <v>4.5833182334899902</v>
      </c>
      <c r="E1353" t="s">
        <v>10</v>
      </c>
      <c r="F1353" t="s">
        <v>46</v>
      </c>
      <c r="G1353">
        <v>6.8</v>
      </c>
    </row>
    <row r="1354" spans="1:7" x14ac:dyDescent="0.25">
      <c r="A1354" t="s">
        <v>4</v>
      </c>
      <c r="B1354">
        <v>1352</v>
      </c>
      <c r="C1354">
        <v>88</v>
      </c>
      <c r="D1354">
        <v>7.269017219543457</v>
      </c>
      <c r="E1354" t="s">
        <v>10</v>
      </c>
      <c r="F1354" t="s">
        <v>41</v>
      </c>
      <c r="G1354">
        <v>6.8</v>
      </c>
    </row>
    <row r="1355" spans="1:7" x14ac:dyDescent="0.25">
      <c r="A1355" t="s">
        <v>4</v>
      </c>
      <c r="B1355">
        <v>1353</v>
      </c>
      <c r="C1355">
        <v>23</v>
      </c>
      <c r="D1355">
        <v>29.493763208389282</v>
      </c>
      <c r="E1355" t="s">
        <v>10</v>
      </c>
      <c r="F1355" t="s">
        <v>46</v>
      </c>
      <c r="G1355">
        <v>6.8</v>
      </c>
    </row>
    <row r="1356" spans="1:7" x14ac:dyDescent="0.25">
      <c r="A1356" t="s">
        <v>4</v>
      </c>
      <c r="B1356">
        <v>1354</v>
      </c>
      <c r="C1356">
        <v>18</v>
      </c>
      <c r="D1356">
        <v>6.8835968971252441</v>
      </c>
      <c r="E1356" t="s">
        <v>10</v>
      </c>
      <c r="F1356" t="s">
        <v>41</v>
      </c>
      <c r="G1356">
        <v>6.8</v>
      </c>
    </row>
    <row r="1357" spans="1:7" x14ac:dyDescent="0.25">
      <c r="A1357" t="s">
        <v>4</v>
      </c>
      <c r="B1357">
        <v>1355</v>
      </c>
      <c r="C1357">
        <v>94</v>
      </c>
      <c r="D1357">
        <v>5.848292350769043</v>
      </c>
      <c r="E1357" t="s">
        <v>10</v>
      </c>
      <c r="F1357" t="s">
        <v>46</v>
      </c>
      <c r="G1357">
        <v>6.8</v>
      </c>
    </row>
    <row r="1358" spans="1:7" x14ac:dyDescent="0.25">
      <c r="A1358" t="s">
        <v>4</v>
      </c>
      <c r="B1358">
        <v>1356</v>
      </c>
      <c r="C1358">
        <v>93</v>
      </c>
      <c r="D1358">
        <v>6.3680684566497803</v>
      </c>
      <c r="E1358" t="s">
        <v>10</v>
      </c>
      <c r="F1358" t="s">
        <v>46</v>
      </c>
      <c r="G1358">
        <v>6.8</v>
      </c>
    </row>
    <row r="1359" spans="1:7" x14ac:dyDescent="0.25">
      <c r="A1359" t="s">
        <v>4</v>
      </c>
      <c r="B1359">
        <v>1357</v>
      </c>
      <c r="C1359">
        <v>99</v>
      </c>
      <c r="D1359">
        <v>4.0040478706359863</v>
      </c>
      <c r="E1359" t="s">
        <v>10</v>
      </c>
      <c r="F1359" t="s">
        <v>41</v>
      </c>
      <c r="G1359">
        <v>6.8</v>
      </c>
    </row>
    <row r="1360" spans="1:7" x14ac:dyDescent="0.25">
      <c r="A1360" t="s">
        <v>4</v>
      </c>
      <c r="B1360">
        <v>1358</v>
      </c>
      <c r="C1360">
        <v>100</v>
      </c>
      <c r="D1360">
        <v>11.283658981323242</v>
      </c>
      <c r="E1360" t="s">
        <v>10</v>
      </c>
      <c r="F1360" t="s">
        <v>41</v>
      </c>
      <c r="G1360">
        <v>6.8</v>
      </c>
    </row>
    <row r="1361" spans="1:7" x14ac:dyDescent="0.25">
      <c r="A1361" t="s">
        <v>4</v>
      </c>
      <c r="B1361">
        <v>1359</v>
      </c>
      <c r="C1361">
        <v>88</v>
      </c>
      <c r="D1361">
        <v>13.555741548538208</v>
      </c>
      <c r="E1361" t="s">
        <v>10</v>
      </c>
      <c r="F1361" t="s">
        <v>46</v>
      </c>
      <c r="G1361">
        <v>6.8</v>
      </c>
    </row>
    <row r="1362" spans="1:7" x14ac:dyDescent="0.25">
      <c r="A1362" t="s">
        <v>4</v>
      </c>
      <c r="B1362">
        <v>1360</v>
      </c>
      <c r="C1362">
        <v>0</v>
      </c>
      <c r="D1362">
        <v>17.608428955078125</v>
      </c>
      <c r="E1362" t="s">
        <v>10</v>
      </c>
      <c r="F1362" t="s">
        <v>41</v>
      </c>
      <c r="G1362">
        <v>6.8</v>
      </c>
    </row>
    <row r="1363" spans="1:7" x14ac:dyDescent="0.25">
      <c r="A1363" t="s">
        <v>4</v>
      </c>
      <c r="B1363">
        <v>1361</v>
      </c>
      <c r="C1363">
        <v>92</v>
      </c>
      <c r="D1363">
        <v>3.2037851810455322</v>
      </c>
      <c r="E1363" t="s">
        <v>10</v>
      </c>
      <c r="F1363" t="s">
        <v>41</v>
      </c>
      <c r="G1363">
        <v>6.8</v>
      </c>
    </row>
    <row r="1364" spans="1:7" x14ac:dyDescent="0.25">
      <c r="A1364" t="s">
        <v>4</v>
      </c>
      <c r="B1364">
        <v>1362</v>
      </c>
      <c r="C1364">
        <v>83</v>
      </c>
      <c r="D1364">
        <v>4.5113976001739502</v>
      </c>
      <c r="E1364" t="s">
        <v>10</v>
      </c>
      <c r="F1364" t="s">
        <v>41</v>
      </c>
      <c r="G1364">
        <v>6.8</v>
      </c>
    </row>
    <row r="1365" spans="1:7" x14ac:dyDescent="0.25">
      <c r="A1365" t="s">
        <v>4</v>
      </c>
      <c r="B1365">
        <v>1363</v>
      </c>
      <c r="C1365">
        <v>0</v>
      </c>
      <c r="D1365">
        <v>15.486495971679688</v>
      </c>
      <c r="E1365" t="s">
        <v>10</v>
      </c>
      <c r="F1365" t="s">
        <v>46</v>
      </c>
      <c r="G1365">
        <v>6.8</v>
      </c>
    </row>
    <row r="1366" spans="1:7" x14ac:dyDescent="0.25">
      <c r="A1366" t="s">
        <v>4</v>
      </c>
      <c r="B1366">
        <v>1364</v>
      </c>
      <c r="C1366">
        <v>100</v>
      </c>
      <c r="D1366">
        <v>15.940229654312134</v>
      </c>
      <c r="E1366" t="s">
        <v>10</v>
      </c>
      <c r="F1366" t="s">
        <v>46</v>
      </c>
      <c r="G1366">
        <v>6.8</v>
      </c>
    </row>
    <row r="1367" spans="1:7" x14ac:dyDescent="0.25">
      <c r="A1367" t="s">
        <v>4</v>
      </c>
      <c r="B1367">
        <v>1365</v>
      </c>
      <c r="C1367">
        <v>30</v>
      </c>
      <c r="D1367">
        <v>3.0339226722717285</v>
      </c>
      <c r="E1367" t="s">
        <v>10</v>
      </c>
      <c r="F1367" t="s">
        <v>41</v>
      </c>
      <c r="G1367">
        <v>6.8</v>
      </c>
    </row>
    <row r="1368" spans="1:7" x14ac:dyDescent="0.25">
      <c r="A1368" t="s">
        <v>4</v>
      </c>
      <c r="B1368">
        <v>1366</v>
      </c>
      <c r="C1368">
        <v>17</v>
      </c>
      <c r="D1368">
        <v>4.2843747138977051</v>
      </c>
      <c r="E1368" t="s">
        <v>10</v>
      </c>
      <c r="F1368" t="s">
        <v>41</v>
      </c>
      <c r="G1368">
        <v>6.8</v>
      </c>
    </row>
    <row r="1369" spans="1:7" x14ac:dyDescent="0.25">
      <c r="A1369" t="s">
        <v>4</v>
      </c>
      <c r="B1369">
        <v>1367</v>
      </c>
      <c r="C1369">
        <v>100</v>
      </c>
      <c r="D1369">
        <v>12.927304983139038</v>
      </c>
      <c r="E1369" t="s">
        <v>10</v>
      </c>
      <c r="F1369" t="s">
        <v>46</v>
      </c>
      <c r="G1369">
        <v>6.8</v>
      </c>
    </row>
    <row r="1370" spans="1:7" x14ac:dyDescent="0.25">
      <c r="A1370" t="s">
        <v>4</v>
      </c>
      <c r="B1370">
        <v>1368</v>
      </c>
      <c r="C1370">
        <v>100</v>
      </c>
      <c r="D1370">
        <v>5.4608328342437744</v>
      </c>
      <c r="E1370" t="s">
        <v>10</v>
      </c>
      <c r="F1370" t="s">
        <v>41</v>
      </c>
      <c r="G1370">
        <v>6.8</v>
      </c>
    </row>
    <row r="1371" spans="1:7" x14ac:dyDescent="0.25">
      <c r="A1371" t="s">
        <v>4</v>
      </c>
      <c r="B1371">
        <v>1369</v>
      </c>
      <c r="C1371">
        <v>70</v>
      </c>
      <c r="D1371">
        <v>3.1609838008880615</v>
      </c>
      <c r="E1371" t="s">
        <v>10</v>
      </c>
      <c r="F1371" t="s">
        <v>41</v>
      </c>
      <c r="G1371">
        <v>4</v>
      </c>
    </row>
    <row r="1372" spans="1:7" x14ac:dyDescent="0.25">
      <c r="A1372" t="s">
        <v>4</v>
      </c>
      <c r="B1372">
        <v>1370</v>
      </c>
      <c r="C1372">
        <v>84</v>
      </c>
      <c r="D1372">
        <v>3.2311427593231201</v>
      </c>
      <c r="E1372" t="s">
        <v>10</v>
      </c>
      <c r="F1372" t="s">
        <v>51</v>
      </c>
      <c r="G1372">
        <v>6.9</v>
      </c>
    </row>
    <row r="1373" spans="1:7" x14ac:dyDescent="0.25">
      <c r="A1373" t="s">
        <v>4</v>
      </c>
      <c r="B1373">
        <v>1371</v>
      </c>
      <c r="C1373">
        <v>0</v>
      </c>
      <c r="D1373">
        <v>3.9555723667144775</v>
      </c>
      <c r="E1373" t="s">
        <v>10</v>
      </c>
      <c r="F1373" t="s">
        <v>51</v>
      </c>
      <c r="G1373">
        <v>6.9</v>
      </c>
    </row>
    <row r="1374" spans="1:7" x14ac:dyDescent="0.25">
      <c r="A1374" t="s">
        <v>4</v>
      </c>
      <c r="B1374">
        <v>1372</v>
      </c>
      <c r="C1374">
        <v>70</v>
      </c>
      <c r="D1374">
        <v>5.2180163860321045</v>
      </c>
      <c r="E1374" t="s">
        <v>10</v>
      </c>
      <c r="F1374" t="s">
        <v>51</v>
      </c>
      <c r="G1374">
        <v>6.9</v>
      </c>
    </row>
    <row r="1375" spans="1:7" x14ac:dyDescent="0.25">
      <c r="A1375" t="s">
        <v>4</v>
      </c>
      <c r="B1375">
        <v>1373</v>
      </c>
      <c r="C1375">
        <v>100</v>
      </c>
      <c r="D1375">
        <v>6.3604435920715332</v>
      </c>
      <c r="E1375" t="s">
        <v>10</v>
      </c>
      <c r="F1375" t="s">
        <v>41</v>
      </c>
      <c r="G1375">
        <v>4.5999999999999996</v>
      </c>
    </row>
    <row r="1376" spans="1:7" x14ac:dyDescent="0.25">
      <c r="A1376" t="s">
        <v>4</v>
      </c>
      <c r="B1376">
        <v>1374</v>
      </c>
      <c r="C1376">
        <v>84</v>
      </c>
      <c r="D1376">
        <v>8.8331344127655029</v>
      </c>
      <c r="E1376" t="s">
        <v>10</v>
      </c>
      <c r="F1376" t="s">
        <v>41</v>
      </c>
      <c r="G1376">
        <v>4.7</v>
      </c>
    </row>
    <row r="1377" spans="1:7" x14ac:dyDescent="0.25">
      <c r="A1377" t="s">
        <v>4</v>
      </c>
      <c r="B1377">
        <v>1375</v>
      </c>
      <c r="C1377">
        <v>100</v>
      </c>
      <c r="D1377">
        <v>2.8691096305847168</v>
      </c>
      <c r="E1377" t="s">
        <v>10</v>
      </c>
      <c r="F1377" t="s">
        <v>45</v>
      </c>
      <c r="G1377">
        <v>6.9</v>
      </c>
    </row>
    <row r="1378" spans="1:7" x14ac:dyDescent="0.25">
      <c r="A1378" t="s">
        <v>4</v>
      </c>
      <c r="B1378">
        <v>1376</v>
      </c>
      <c r="C1378">
        <v>85</v>
      </c>
      <c r="D1378">
        <v>5.6872060298919678</v>
      </c>
      <c r="E1378" t="s">
        <v>10</v>
      </c>
      <c r="F1378" t="s">
        <v>46</v>
      </c>
      <c r="G1378">
        <v>6.9</v>
      </c>
    </row>
    <row r="1379" spans="1:7" x14ac:dyDescent="0.25">
      <c r="A1379" t="s">
        <v>4</v>
      </c>
      <c r="B1379">
        <v>1377</v>
      </c>
      <c r="C1379">
        <v>100</v>
      </c>
      <c r="D1379">
        <v>17.923836469650269</v>
      </c>
      <c r="E1379" t="s">
        <v>10</v>
      </c>
      <c r="F1379" t="s">
        <v>41</v>
      </c>
      <c r="G1379">
        <v>4.7</v>
      </c>
    </row>
    <row r="1380" spans="1:7" x14ac:dyDescent="0.25">
      <c r="A1380" t="s">
        <v>4</v>
      </c>
      <c r="B1380">
        <v>1378</v>
      </c>
      <c r="C1380">
        <v>30</v>
      </c>
      <c r="D1380">
        <v>5.7980554103851318</v>
      </c>
      <c r="E1380" t="s">
        <v>10</v>
      </c>
      <c r="F1380" t="s">
        <v>41</v>
      </c>
      <c r="G1380">
        <v>4.4000000000000004</v>
      </c>
    </row>
    <row r="1381" spans="1:7" x14ac:dyDescent="0.25">
      <c r="A1381" t="s">
        <v>4</v>
      </c>
      <c r="B1381">
        <v>1379</v>
      </c>
      <c r="C1381">
        <v>48</v>
      </c>
      <c r="D1381">
        <v>5.7646574974060059</v>
      </c>
      <c r="E1381" t="s">
        <v>10</v>
      </c>
      <c r="F1381" t="s">
        <v>41</v>
      </c>
      <c r="G1381">
        <v>5.2</v>
      </c>
    </row>
    <row r="1382" spans="1:7" x14ac:dyDescent="0.25">
      <c r="A1382" t="s">
        <v>4</v>
      </c>
      <c r="B1382">
        <v>1380</v>
      </c>
      <c r="C1382">
        <v>24</v>
      </c>
      <c r="D1382">
        <v>2.8833684921264648</v>
      </c>
      <c r="E1382" t="s">
        <v>10</v>
      </c>
      <c r="F1382" t="s">
        <v>50</v>
      </c>
      <c r="G1382">
        <v>6.2</v>
      </c>
    </row>
    <row r="1383" spans="1:7" x14ac:dyDescent="0.25">
      <c r="A1383" t="s">
        <v>4</v>
      </c>
      <c r="B1383">
        <v>1381</v>
      </c>
      <c r="C1383">
        <v>0</v>
      </c>
      <c r="D1383">
        <v>3.3441495895385742</v>
      </c>
      <c r="E1383" t="s">
        <v>10</v>
      </c>
      <c r="F1383" t="s">
        <v>50</v>
      </c>
      <c r="G1383">
        <v>6.2</v>
      </c>
    </row>
    <row r="1384" spans="1:7" x14ac:dyDescent="0.25">
      <c r="A1384" t="s">
        <v>4</v>
      </c>
      <c r="B1384">
        <v>1382</v>
      </c>
      <c r="C1384">
        <v>80</v>
      </c>
      <c r="D1384">
        <v>3.8076128959655762</v>
      </c>
      <c r="E1384" t="s">
        <v>10</v>
      </c>
      <c r="F1384" t="s">
        <v>50</v>
      </c>
      <c r="G1384">
        <v>6.2</v>
      </c>
    </row>
    <row r="1385" spans="1:7" x14ac:dyDescent="0.25">
      <c r="A1385" t="s">
        <v>4</v>
      </c>
      <c r="B1385">
        <v>1383</v>
      </c>
      <c r="C1385">
        <v>85</v>
      </c>
      <c r="D1385">
        <v>5.6957156658172607</v>
      </c>
      <c r="E1385" t="s">
        <v>10</v>
      </c>
      <c r="F1385" t="s">
        <v>50</v>
      </c>
      <c r="G1385">
        <v>6.2</v>
      </c>
    </row>
    <row r="1386" spans="1:7" x14ac:dyDescent="0.25">
      <c r="A1386" t="s">
        <v>4</v>
      </c>
      <c r="B1386">
        <v>1384</v>
      </c>
      <c r="C1386">
        <v>15</v>
      </c>
      <c r="D1386">
        <v>17.386587381362915</v>
      </c>
      <c r="E1386" t="s">
        <v>10</v>
      </c>
      <c r="F1386" t="s">
        <v>50</v>
      </c>
      <c r="G1386">
        <v>6.2</v>
      </c>
    </row>
    <row r="1387" spans="1:7" x14ac:dyDescent="0.25">
      <c r="A1387" t="s">
        <v>4</v>
      </c>
      <c r="B1387">
        <v>1385</v>
      </c>
      <c r="C1387">
        <v>84</v>
      </c>
      <c r="D1387">
        <v>2.9505748748779297</v>
      </c>
      <c r="E1387" t="s">
        <v>10</v>
      </c>
      <c r="F1387" t="s">
        <v>50</v>
      </c>
      <c r="G1387">
        <v>6.2</v>
      </c>
    </row>
    <row r="1388" spans="1:7" x14ac:dyDescent="0.25">
      <c r="A1388" t="s">
        <v>4</v>
      </c>
      <c r="B1388">
        <v>1386</v>
      </c>
      <c r="C1388">
        <v>87</v>
      </c>
      <c r="D1388">
        <v>3.4449467658996582</v>
      </c>
      <c r="E1388" t="s">
        <v>10</v>
      </c>
      <c r="F1388" t="s">
        <v>50</v>
      </c>
      <c r="G1388">
        <v>6.2</v>
      </c>
    </row>
    <row r="1389" spans="1:7" x14ac:dyDescent="0.25">
      <c r="A1389" t="s">
        <v>4</v>
      </c>
      <c r="B1389">
        <v>1387</v>
      </c>
      <c r="C1389">
        <v>95</v>
      </c>
      <c r="D1389">
        <v>4.3233327865600586</v>
      </c>
      <c r="E1389" t="s">
        <v>10</v>
      </c>
      <c r="F1389" t="s">
        <v>41</v>
      </c>
      <c r="G1389">
        <v>5.7</v>
      </c>
    </row>
    <row r="1390" spans="1:7" x14ac:dyDescent="0.25">
      <c r="A1390" t="s">
        <v>4</v>
      </c>
      <c r="B1390">
        <v>1388</v>
      </c>
      <c r="C1390">
        <v>40</v>
      </c>
      <c r="D1390">
        <v>5.46803879737854</v>
      </c>
      <c r="E1390" t="s">
        <v>10</v>
      </c>
      <c r="F1390" t="s">
        <v>41</v>
      </c>
      <c r="G1390">
        <v>4.3</v>
      </c>
    </row>
    <row r="1391" spans="1:7" x14ac:dyDescent="0.25">
      <c r="A1391" t="s">
        <v>4</v>
      </c>
      <c r="B1391">
        <v>1389</v>
      </c>
      <c r="C1391">
        <v>87</v>
      </c>
      <c r="D1391">
        <v>6.9555997848510742</v>
      </c>
      <c r="E1391" t="s">
        <v>10</v>
      </c>
      <c r="F1391" t="s">
        <v>41</v>
      </c>
      <c r="G1391">
        <v>4.3</v>
      </c>
    </row>
    <row r="1392" spans="1:7" x14ac:dyDescent="0.25">
      <c r="A1392" t="s">
        <v>4</v>
      </c>
      <c r="B1392">
        <v>1390</v>
      </c>
      <c r="C1392">
        <v>43</v>
      </c>
      <c r="D1392">
        <v>10.583473443984985</v>
      </c>
      <c r="E1392" t="s">
        <v>10</v>
      </c>
      <c r="F1392" t="s">
        <v>41</v>
      </c>
      <c r="G1392">
        <v>4.3</v>
      </c>
    </row>
    <row r="1393" spans="1:7" x14ac:dyDescent="0.25">
      <c r="A1393" t="s">
        <v>4</v>
      </c>
      <c r="B1393">
        <v>1391</v>
      </c>
      <c r="C1393">
        <v>85</v>
      </c>
      <c r="D1393">
        <v>11.561666011810303</v>
      </c>
      <c r="E1393" t="s">
        <v>10</v>
      </c>
      <c r="F1393" t="s">
        <v>41</v>
      </c>
      <c r="G1393">
        <v>4</v>
      </c>
    </row>
    <row r="1394" spans="1:7" x14ac:dyDescent="0.25">
      <c r="A1394" t="s">
        <v>4</v>
      </c>
      <c r="B1394">
        <v>1392</v>
      </c>
      <c r="C1394">
        <v>99</v>
      </c>
      <c r="D1394">
        <v>6.304595947265625</v>
      </c>
      <c r="E1394" t="s">
        <v>10</v>
      </c>
      <c r="F1394" t="s">
        <v>53</v>
      </c>
      <c r="G1394">
        <v>6.2</v>
      </c>
    </row>
    <row r="1395" spans="1:7" x14ac:dyDescent="0.25">
      <c r="A1395" t="s">
        <v>4</v>
      </c>
      <c r="B1395">
        <v>1393</v>
      </c>
      <c r="C1395">
        <v>83</v>
      </c>
      <c r="D1395">
        <v>9.6723682880401611</v>
      </c>
      <c r="E1395" t="s">
        <v>10</v>
      </c>
      <c r="F1395" t="s">
        <v>48</v>
      </c>
      <c r="G1395">
        <v>6.6</v>
      </c>
    </row>
    <row r="1396" spans="1:7" x14ac:dyDescent="0.25">
      <c r="A1396" t="s">
        <v>4</v>
      </c>
      <c r="B1396">
        <v>1394</v>
      </c>
      <c r="C1396">
        <v>0</v>
      </c>
      <c r="D1396">
        <v>9.8533203601837158</v>
      </c>
      <c r="E1396" t="s">
        <v>10</v>
      </c>
      <c r="F1396" t="s">
        <v>48</v>
      </c>
      <c r="G1396">
        <v>6.6</v>
      </c>
    </row>
    <row r="1397" spans="1:7" x14ac:dyDescent="0.25">
      <c r="A1397" t="s">
        <v>4</v>
      </c>
      <c r="B1397">
        <v>1395</v>
      </c>
      <c r="C1397">
        <v>89</v>
      </c>
      <c r="D1397">
        <v>5.1168837547302246</v>
      </c>
      <c r="E1397" t="s">
        <v>10</v>
      </c>
      <c r="F1397" t="s">
        <v>56</v>
      </c>
      <c r="G1397">
        <v>7.2</v>
      </c>
    </row>
    <row r="1398" spans="1:7" x14ac:dyDescent="0.25">
      <c r="A1398" t="s">
        <v>4</v>
      </c>
      <c r="B1398">
        <v>1396</v>
      </c>
      <c r="C1398">
        <v>85</v>
      </c>
      <c r="D1398">
        <v>8.1184036731719971</v>
      </c>
      <c r="E1398" t="s">
        <v>10</v>
      </c>
      <c r="F1398" t="s">
        <v>41</v>
      </c>
      <c r="G1398">
        <v>7.1</v>
      </c>
    </row>
    <row r="1399" spans="1:7" x14ac:dyDescent="0.25">
      <c r="A1399" t="s">
        <v>4</v>
      </c>
      <c r="B1399">
        <v>1397</v>
      </c>
      <c r="C1399">
        <v>88</v>
      </c>
      <c r="D1399">
        <v>4.2350151538848877</v>
      </c>
      <c r="E1399" t="s">
        <v>10</v>
      </c>
      <c r="F1399" t="s">
        <v>43</v>
      </c>
      <c r="G1399">
        <v>4.9000000000000004</v>
      </c>
    </row>
    <row r="1400" spans="1:7" x14ac:dyDescent="0.25">
      <c r="A1400" t="s">
        <v>4</v>
      </c>
      <c r="B1400">
        <v>1398</v>
      </c>
      <c r="C1400">
        <v>100</v>
      </c>
      <c r="D1400">
        <v>8.3274135589599609</v>
      </c>
      <c r="E1400" t="s">
        <v>10</v>
      </c>
      <c r="F1400" t="s">
        <v>43</v>
      </c>
      <c r="G1400">
        <v>4.9000000000000004</v>
      </c>
    </row>
    <row r="1401" spans="1:7" x14ac:dyDescent="0.25">
      <c r="A1401" t="s">
        <v>4</v>
      </c>
      <c r="B1401">
        <v>1399</v>
      </c>
      <c r="C1401">
        <v>87</v>
      </c>
      <c r="D1401">
        <v>3.4852964878082275</v>
      </c>
      <c r="E1401" t="s">
        <v>10</v>
      </c>
      <c r="F1401" t="s">
        <v>46</v>
      </c>
      <c r="G1401">
        <v>4.7</v>
      </c>
    </row>
    <row r="1402" spans="1:7" x14ac:dyDescent="0.25">
      <c r="A1402" t="s">
        <v>4</v>
      </c>
      <c r="B1402">
        <v>1400</v>
      </c>
      <c r="C1402">
        <v>32</v>
      </c>
      <c r="D1402">
        <v>6.87223219871521</v>
      </c>
      <c r="E1402" t="s">
        <v>10</v>
      </c>
      <c r="F1402" t="s">
        <v>46</v>
      </c>
      <c r="G1402">
        <v>4.7</v>
      </c>
    </row>
    <row r="1403" spans="1:7" x14ac:dyDescent="0.25">
      <c r="A1403" t="s">
        <v>4</v>
      </c>
      <c r="B1403">
        <v>1401</v>
      </c>
      <c r="C1403">
        <v>30</v>
      </c>
      <c r="D1403">
        <v>5.8816597461700439</v>
      </c>
      <c r="E1403" t="s">
        <v>10</v>
      </c>
      <c r="F1403" t="s">
        <v>46</v>
      </c>
      <c r="G1403">
        <v>4.9000000000000004</v>
      </c>
    </row>
    <row r="1404" spans="1:7" x14ac:dyDescent="0.25">
      <c r="A1404" t="s">
        <v>4</v>
      </c>
      <c r="B1404">
        <v>1402</v>
      </c>
      <c r="C1404">
        <v>30</v>
      </c>
      <c r="D1404">
        <v>3.5322368144989014</v>
      </c>
      <c r="E1404" t="s">
        <v>10</v>
      </c>
      <c r="F1404" t="s">
        <v>46</v>
      </c>
      <c r="G1404">
        <v>4.7</v>
      </c>
    </row>
    <row r="1405" spans="1:7" x14ac:dyDescent="0.25">
      <c r="A1405" t="s">
        <v>4</v>
      </c>
      <c r="B1405">
        <v>1403</v>
      </c>
      <c r="C1405">
        <v>72</v>
      </c>
      <c r="D1405">
        <v>6.6647851467132568</v>
      </c>
      <c r="E1405" t="s">
        <v>10</v>
      </c>
      <c r="F1405" t="s">
        <v>41</v>
      </c>
      <c r="G1405">
        <v>4.9000000000000004</v>
      </c>
    </row>
    <row r="1406" spans="1:7" x14ac:dyDescent="0.25">
      <c r="A1406" t="s">
        <v>4</v>
      </c>
      <c r="B1406">
        <v>1404</v>
      </c>
      <c r="C1406">
        <v>90</v>
      </c>
      <c r="D1406">
        <v>13.237234592437744</v>
      </c>
      <c r="E1406" t="s">
        <v>10</v>
      </c>
      <c r="F1406" t="s">
        <v>41</v>
      </c>
      <c r="G1406">
        <v>4.9000000000000004</v>
      </c>
    </row>
    <row r="1407" spans="1:7" x14ac:dyDescent="0.25">
      <c r="A1407" t="s">
        <v>4</v>
      </c>
      <c r="B1407">
        <v>1405</v>
      </c>
      <c r="C1407">
        <v>48</v>
      </c>
      <c r="D1407">
        <v>7.1879158020019531</v>
      </c>
      <c r="E1407" t="s">
        <v>10</v>
      </c>
      <c r="F1407" t="s">
        <v>41</v>
      </c>
      <c r="G1407">
        <v>4.9000000000000004</v>
      </c>
    </row>
    <row r="1408" spans="1:7" x14ac:dyDescent="0.25">
      <c r="A1408" t="s">
        <v>4</v>
      </c>
      <c r="B1408">
        <v>1406</v>
      </c>
      <c r="C1408">
        <v>87</v>
      </c>
      <c r="D1408">
        <v>6.5967066287994385</v>
      </c>
      <c r="E1408" t="s">
        <v>10</v>
      </c>
      <c r="F1408" t="s">
        <v>41</v>
      </c>
      <c r="G1408">
        <v>4.9000000000000004</v>
      </c>
    </row>
    <row r="1409" spans="1:7" x14ac:dyDescent="0.25">
      <c r="A1409" t="s">
        <v>4</v>
      </c>
      <c r="B1409">
        <v>1407</v>
      </c>
      <c r="C1409">
        <v>30</v>
      </c>
      <c r="D1409">
        <v>5.2291860580444336</v>
      </c>
      <c r="E1409" t="s">
        <v>10</v>
      </c>
      <c r="F1409" t="s">
        <v>41</v>
      </c>
      <c r="G1409">
        <v>4.9000000000000004</v>
      </c>
    </row>
    <row r="1410" spans="1:7" x14ac:dyDescent="0.25">
      <c r="A1410" t="s">
        <v>4</v>
      </c>
      <c r="B1410">
        <v>1408</v>
      </c>
      <c r="C1410">
        <v>70</v>
      </c>
      <c r="D1410">
        <v>5.7004683017730713</v>
      </c>
      <c r="E1410" t="s">
        <v>10</v>
      </c>
      <c r="F1410" t="s">
        <v>41</v>
      </c>
      <c r="G1410">
        <v>4.9000000000000004</v>
      </c>
    </row>
    <row r="1411" spans="1:7" x14ac:dyDescent="0.25">
      <c r="A1411" t="s">
        <v>4</v>
      </c>
      <c r="B1411">
        <v>1409</v>
      </c>
      <c r="C1411">
        <v>89</v>
      </c>
      <c r="D1411">
        <v>3.2454378604888916</v>
      </c>
      <c r="E1411" t="s">
        <v>10</v>
      </c>
      <c r="F1411" t="s">
        <v>41</v>
      </c>
      <c r="G1411">
        <v>4.9000000000000004</v>
      </c>
    </row>
    <row r="1412" spans="1:7" x14ac:dyDescent="0.25">
      <c r="A1412" t="s">
        <v>4</v>
      </c>
      <c r="B1412">
        <v>1410</v>
      </c>
      <c r="C1412">
        <v>83</v>
      </c>
      <c r="D1412">
        <v>2.6481435298919678</v>
      </c>
      <c r="E1412" t="s">
        <v>10</v>
      </c>
      <c r="F1412" t="s">
        <v>41</v>
      </c>
      <c r="G1412">
        <v>4.9000000000000004</v>
      </c>
    </row>
    <row r="1413" spans="1:7" x14ac:dyDescent="0.25">
      <c r="A1413" t="s">
        <v>4</v>
      </c>
      <c r="B1413">
        <v>1411</v>
      </c>
      <c r="C1413">
        <v>76</v>
      </c>
      <c r="D1413">
        <v>2.8970100879669189</v>
      </c>
      <c r="E1413" t="s">
        <v>10</v>
      </c>
      <c r="F1413" t="s">
        <v>41</v>
      </c>
      <c r="G1413">
        <v>4.9000000000000004</v>
      </c>
    </row>
    <row r="1414" spans="1:7" x14ac:dyDescent="0.25">
      <c r="A1414" t="s">
        <v>4</v>
      </c>
      <c r="B1414">
        <v>1412</v>
      </c>
      <c r="C1414">
        <v>19</v>
      </c>
      <c r="D1414">
        <v>3.163299560546875</v>
      </c>
      <c r="E1414" t="s">
        <v>10</v>
      </c>
      <c r="F1414" t="s">
        <v>41</v>
      </c>
      <c r="G1414">
        <v>4.9000000000000004</v>
      </c>
    </row>
    <row r="1415" spans="1:7" x14ac:dyDescent="0.25">
      <c r="A1415" t="s">
        <v>4</v>
      </c>
      <c r="B1415">
        <v>1413</v>
      </c>
      <c r="C1415">
        <v>90</v>
      </c>
      <c r="D1415">
        <v>3.9137728214263916</v>
      </c>
      <c r="E1415" t="s">
        <v>10</v>
      </c>
      <c r="F1415" t="s">
        <v>41</v>
      </c>
      <c r="G1415">
        <v>4.9000000000000004</v>
      </c>
    </row>
    <row r="1416" spans="1:7" x14ac:dyDescent="0.25">
      <c r="A1416" t="s">
        <v>4</v>
      </c>
      <c r="B1416">
        <v>1414</v>
      </c>
      <c r="C1416">
        <v>90</v>
      </c>
      <c r="D1416">
        <v>2.6792135238647461</v>
      </c>
      <c r="E1416" t="s">
        <v>10</v>
      </c>
      <c r="F1416" t="s">
        <v>41</v>
      </c>
      <c r="G1416">
        <v>4.9000000000000004</v>
      </c>
    </row>
    <row r="1417" spans="1:7" x14ac:dyDescent="0.25">
      <c r="A1417" t="s">
        <v>4</v>
      </c>
      <c r="B1417">
        <v>1415</v>
      </c>
      <c r="C1417">
        <v>85</v>
      </c>
      <c r="D1417">
        <v>4.8728916645050049</v>
      </c>
      <c r="E1417" t="s">
        <v>10</v>
      </c>
      <c r="F1417" t="s">
        <v>41</v>
      </c>
      <c r="G1417">
        <v>4.9000000000000004</v>
      </c>
    </row>
    <row r="1418" spans="1:7" x14ac:dyDescent="0.25">
      <c r="A1418" t="s">
        <v>4</v>
      </c>
      <c r="B1418">
        <v>1416</v>
      </c>
      <c r="C1418">
        <v>58</v>
      </c>
      <c r="D1418">
        <v>9.7591025829315186</v>
      </c>
      <c r="E1418" t="s">
        <v>10</v>
      </c>
      <c r="F1418" t="s">
        <v>41</v>
      </c>
      <c r="G1418">
        <v>4.9000000000000004</v>
      </c>
    </row>
    <row r="1419" spans="1:7" x14ac:dyDescent="0.25">
      <c r="A1419" t="s">
        <v>4</v>
      </c>
      <c r="B1419">
        <v>1417</v>
      </c>
      <c r="C1419">
        <v>87</v>
      </c>
      <c r="D1419">
        <v>5.1018393039703369</v>
      </c>
      <c r="E1419" t="s">
        <v>10</v>
      </c>
      <c r="F1419" t="s">
        <v>41</v>
      </c>
      <c r="G1419">
        <v>4.9000000000000004</v>
      </c>
    </row>
    <row r="1420" spans="1:7" x14ac:dyDescent="0.25">
      <c r="A1420" t="s">
        <v>4</v>
      </c>
      <c r="B1420">
        <v>1418</v>
      </c>
      <c r="C1420">
        <v>40</v>
      </c>
      <c r="D1420">
        <v>3.2376377582550049</v>
      </c>
      <c r="E1420" t="s">
        <v>10</v>
      </c>
      <c r="F1420" t="s">
        <v>41</v>
      </c>
      <c r="G1420">
        <v>4.9000000000000004</v>
      </c>
    </row>
    <row r="1421" spans="1:7" x14ac:dyDescent="0.25">
      <c r="A1421" t="s">
        <v>4</v>
      </c>
      <c r="B1421">
        <v>1419</v>
      </c>
      <c r="C1421">
        <v>40</v>
      </c>
      <c r="D1421">
        <v>3.96891188621521</v>
      </c>
      <c r="E1421" t="s">
        <v>10</v>
      </c>
      <c r="F1421" t="s">
        <v>41</v>
      </c>
      <c r="G1421">
        <v>4.9000000000000004</v>
      </c>
    </row>
    <row r="1422" spans="1:7" x14ac:dyDescent="0.25">
      <c r="A1422" t="s">
        <v>4</v>
      </c>
      <c r="B1422">
        <v>1420</v>
      </c>
      <c r="C1422">
        <v>70</v>
      </c>
      <c r="D1422">
        <v>2.6627669334411621</v>
      </c>
      <c r="E1422" t="s">
        <v>10</v>
      </c>
      <c r="F1422" t="s">
        <v>41</v>
      </c>
      <c r="G1422">
        <v>4.9000000000000004</v>
      </c>
    </row>
    <row r="1423" spans="1:7" x14ac:dyDescent="0.25">
      <c r="A1423" t="s">
        <v>4</v>
      </c>
      <c r="B1423">
        <v>1421</v>
      </c>
      <c r="C1423">
        <v>70</v>
      </c>
      <c r="D1423">
        <v>3.6926014423370361</v>
      </c>
      <c r="E1423" t="s">
        <v>10</v>
      </c>
      <c r="F1423" t="s">
        <v>41</v>
      </c>
      <c r="G1423">
        <v>4.9000000000000004</v>
      </c>
    </row>
    <row r="1424" spans="1:7" x14ac:dyDescent="0.25">
      <c r="A1424" t="s">
        <v>4</v>
      </c>
      <c r="B1424">
        <v>1422</v>
      </c>
      <c r="C1424">
        <v>95</v>
      </c>
      <c r="D1424">
        <v>4.8528919219970703</v>
      </c>
      <c r="E1424" t="s">
        <v>10</v>
      </c>
      <c r="F1424" t="s">
        <v>58</v>
      </c>
      <c r="G1424">
        <v>6.9</v>
      </c>
    </row>
    <row r="1425" spans="1:7" x14ac:dyDescent="0.25">
      <c r="A1425" t="s">
        <v>4</v>
      </c>
      <c r="B1425">
        <v>1423</v>
      </c>
      <c r="C1425">
        <v>72</v>
      </c>
      <c r="D1425">
        <v>11.606249094009399</v>
      </c>
      <c r="E1425" t="s">
        <v>10</v>
      </c>
      <c r="F1425" t="s">
        <v>53</v>
      </c>
      <c r="G1425">
        <v>6.1</v>
      </c>
    </row>
    <row r="1426" spans="1:7" x14ac:dyDescent="0.25">
      <c r="A1426" t="s">
        <v>4</v>
      </c>
      <c r="B1426">
        <v>1424</v>
      </c>
      <c r="C1426">
        <v>100</v>
      </c>
      <c r="D1426">
        <v>57.667370557785034</v>
      </c>
      <c r="E1426" t="s">
        <v>10</v>
      </c>
      <c r="F1426" t="s">
        <v>53</v>
      </c>
      <c r="G1426">
        <v>6.1</v>
      </c>
    </row>
    <row r="1427" spans="1:7" x14ac:dyDescent="0.25">
      <c r="A1427" t="s">
        <v>4</v>
      </c>
      <c r="B1427">
        <v>1425</v>
      </c>
      <c r="C1427">
        <v>82</v>
      </c>
      <c r="D1427">
        <v>9.3697810173034668</v>
      </c>
      <c r="E1427" t="s">
        <v>10</v>
      </c>
      <c r="F1427" t="s">
        <v>43</v>
      </c>
      <c r="G1427">
        <v>5</v>
      </c>
    </row>
    <row r="1428" spans="1:7" x14ac:dyDescent="0.25">
      <c r="A1428" t="s">
        <v>4</v>
      </c>
      <c r="B1428">
        <v>1426</v>
      </c>
      <c r="C1428">
        <v>80</v>
      </c>
      <c r="D1428">
        <v>5.655468225479126</v>
      </c>
      <c r="E1428" t="s">
        <v>10</v>
      </c>
      <c r="F1428" t="s">
        <v>43</v>
      </c>
      <c r="G1428">
        <v>5</v>
      </c>
    </row>
    <row r="1429" spans="1:7" x14ac:dyDescent="0.25">
      <c r="A1429" t="s">
        <v>4</v>
      </c>
      <c r="B1429">
        <v>1427</v>
      </c>
      <c r="C1429">
        <v>100</v>
      </c>
      <c r="D1429">
        <v>4.1698853969573975</v>
      </c>
      <c r="E1429" t="s">
        <v>10</v>
      </c>
      <c r="F1429" t="s">
        <v>56</v>
      </c>
      <c r="G1429">
        <v>7.2</v>
      </c>
    </row>
    <row r="1430" spans="1:7" x14ac:dyDescent="0.25">
      <c r="A1430" t="s">
        <v>4</v>
      </c>
      <c r="B1430">
        <v>1428</v>
      </c>
      <c r="C1430">
        <v>43</v>
      </c>
      <c r="D1430">
        <v>4.0422382354736328</v>
      </c>
      <c r="E1430" t="s">
        <v>10</v>
      </c>
      <c r="F1430" t="s">
        <v>43</v>
      </c>
      <c r="G1430">
        <v>6</v>
      </c>
    </row>
    <row r="1431" spans="1:7" x14ac:dyDescent="0.25">
      <c r="A1431" t="s">
        <v>4</v>
      </c>
      <c r="B1431">
        <v>1429</v>
      </c>
      <c r="C1431">
        <v>48</v>
      </c>
      <c r="D1431">
        <v>3.7684979438781738</v>
      </c>
      <c r="E1431" t="s">
        <v>10</v>
      </c>
      <c r="F1431" t="s">
        <v>43</v>
      </c>
      <c r="G1431">
        <v>6</v>
      </c>
    </row>
    <row r="1432" spans="1:7" x14ac:dyDescent="0.25">
      <c r="A1432" t="s">
        <v>4</v>
      </c>
      <c r="B1432">
        <v>1430</v>
      </c>
      <c r="C1432">
        <v>100</v>
      </c>
      <c r="D1432">
        <v>4.1687800884246826</v>
      </c>
      <c r="E1432" t="s">
        <v>10</v>
      </c>
      <c r="F1432" t="s">
        <v>45</v>
      </c>
      <c r="G1432">
        <v>3.6</v>
      </c>
    </row>
    <row r="1433" spans="1:7" x14ac:dyDescent="0.25">
      <c r="A1433" t="s">
        <v>4</v>
      </c>
      <c r="B1433">
        <v>1431</v>
      </c>
      <c r="C1433">
        <v>30</v>
      </c>
      <c r="D1433">
        <v>3.1975581645965576</v>
      </c>
      <c r="E1433" t="s">
        <v>10</v>
      </c>
      <c r="F1433" t="s">
        <v>13</v>
      </c>
      <c r="G1433">
        <v>10</v>
      </c>
    </row>
    <row r="1434" spans="1:7" x14ac:dyDescent="0.25">
      <c r="A1434" t="s">
        <v>4</v>
      </c>
      <c r="B1434">
        <v>1432</v>
      </c>
      <c r="C1434">
        <v>97</v>
      </c>
      <c r="D1434">
        <v>9.4991557598114014</v>
      </c>
      <c r="E1434" t="s">
        <v>10</v>
      </c>
      <c r="F1434" t="s">
        <v>46</v>
      </c>
      <c r="G1434">
        <v>4.3</v>
      </c>
    </row>
    <row r="1435" spans="1:7" x14ac:dyDescent="0.25">
      <c r="A1435" t="s">
        <v>4</v>
      </c>
      <c r="B1435">
        <v>1433</v>
      </c>
      <c r="C1435">
        <v>64</v>
      </c>
      <c r="D1435">
        <v>5.0739214420318604</v>
      </c>
      <c r="E1435" t="s">
        <v>10</v>
      </c>
      <c r="F1435" t="s">
        <v>47</v>
      </c>
      <c r="G1435">
        <v>7.5</v>
      </c>
    </row>
    <row r="1436" spans="1:7" x14ac:dyDescent="0.25">
      <c r="A1436" t="s">
        <v>4</v>
      </c>
      <c r="B1436">
        <v>1434</v>
      </c>
      <c r="C1436">
        <v>100</v>
      </c>
      <c r="D1436">
        <v>6.0162155628204346</v>
      </c>
      <c r="E1436" t="s">
        <v>10</v>
      </c>
      <c r="F1436" t="s">
        <v>47</v>
      </c>
      <c r="G1436">
        <v>7.5</v>
      </c>
    </row>
    <row r="1437" spans="1:7" x14ac:dyDescent="0.25">
      <c r="A1437" t="s">
        <v>4</v>
      </c>
      <c r="B1437">
        <v>1435</v>
      </c>
      <c r="C1437">
        <v>73</v>
      </c>
      <c r="D1437">
        <v>3.5287704467773438</v>
      </c>
      <c r="E1437" t="s">
        <v>10</v>
      </c>
      <c r="F1437" t="s">
        <v>47</v>
      </c>
      <c r="G1437">
        <v>7.5</v>
      </c>
    </row>
    <row r="1438" spans="1:7" x14ac:dyDescent="0.25">
      <c r="A1438" t="s">
        <v>4</v>
      </c>
      <c r="B1438">
        <v>1436</v>
      </c>
      <c r="C1438">
        <v>80</v>
      </c>
      <c r="D1438">
        <v>6.1913838386535645</v>
      </c>
      <c r="E1438" t="s">
        <v>10</v>
      </c>
      <c r="F1438" t="s">
        <v>47</v>
      </c>
      <c r="G1438">
        <v>7.5</v>
      </c>
    </row>
    <row r="1439" spans="1:7" x14ac:dyDescent="0.25">
      <c r="A1439" t="s">
        <v>4</v>
      </c>
      <c r="B1439">
        <v>1437</v>
      </c>
      <c r="C1439">
        <v>64</v>
      </c>
      <c r="D1439">
        <v>4.9810724258422852</v>
      </c>
      <c r="E1439" t="s">
        <v>10</v>
      </c>
      <c r="F1439" t="s">
        <v>47</v>
      </c>
      <c r="G1439">
        <v>7.5</v>
      </c>
    </row>
    <row r="1440" spans="1:7" x14ac:dyDescent="0.25">
      <c r="A1440" t="s">
        <v>4</v>
      </c>
      <c r="B1440">
        <v>1438</v>
      </c>
      <c r="C1440">
        <v>80</v>
      </c>
      <c r="D1440">
        <v>7.5473721027374268</v>
      </c>
      <c r="E1440" t="s">
        <v>10</v>
      </c>
      <c r="F1440" t="s">
        <v>47</v>
      </c>
      <c r="G1440">
        <v>7.5</v>
      </c>
    </row>
    <row r="1441" spans="1:7" x14ac:dyDescent="0.25">
      <c r="A1441" t="s">
        <v>4</v>
      </c>
      <c r="B1441">
        <v>1439</v>
      </c>
      <c r="C1441">
        <v>23</v>
      </c>
      <c r="D1441">
        <v>17.303905248641968</v>
      </c>
      <c r="E1441" t="s">
        <v>10</v>
      </c>
      <c r="F1441" t="s">
        <v>47</v>
      </c>
      <c r="G1441">
        <v>7.5</v>
      </c>
    </row>
    <row r="1442" spans="1:7" x14ac:dyDescent="0.25">
      <c r="A1442" t="s">
        <v>4</v>
      </c>
      <c r="B1442">
        <v>1440</v>
      </c>
      <c r="C1442">
        <v>90</v>
      </c>
      <c r="D1442">
        <v>7.2492461204528809</v>
      </c>
      <c r="E1442" t="s">
        <v>10</v>
      </c>
      <c r="F1442" t="s">
        <v>47</v>
      </c>
      <c r="G1442">
        <v>7.5</v>
      </c>
    </row>
    <row r="1443" spans="1:7" x14ac:dyDescent="0.25">
      <c r="A1443" t="s">
        <v>4</v>
      </c>
      <c r="B1443">
        <v>1441</v>
      </c>
      <c r="C1443">
        <v>15</v>
      </c>
      <c r="D1443">
        <v>7.3436040878295898</v>
      </c>
      <c r="E1443" t="s">
        <v>10</v>
      </c>
      <c r="F1443" t="s">
        <v>47</v>
      </c>
      <c r="G1443">
        <v>7.5</v>
      </c>
    </row>
    <row r="1444" spans="1:7" x14ac:dyDescent="0.25">
      <c r="A1444" t="s">
        <v>4</v>
      </c>
      <c r="B1444">
        <v>1442</v>
      </c>
      <c r="C1444">
        <v>34</v>
      </c>
      <c r="D1444">
        <v>4.3559002876281738</v>
      </c>
      <c r="E1444" t="s">
        <v>10</v>
      </c>
      <c r="F1444" t="s">
        <v>47</v>
      </c>
      <c r="G1444">
        <v>7.5</v>
      </c>
    </row>
    <row r="1445" spans="1:7" x14ac:dyDescent="0.25">
      <c r="A1445" t="s">
        <v>4</v>
      </c>
      <c r="B1445">
        <v>1443</v>
      </c>
      <c r="C1445">
        <v>100</v>
      </c>
      <c r="D1445">
        <v>31.452083110809326</v>
      </c>
      <c r="E1445" t="s">
        <v>10</v>
      </c>
      <c r="F1445" t="s">
        <v>47</v>
      </c>
      <c r="G1445">
        <v>7.5</v>
      </c>
    </row>
    <row r="1446" spans="1:7" x14ac:dyDescent="0.25">
      <c r="A1446" t="s">
        <v>4</v>
      </c>
      <c r="B1446">
        <v>1444</v>
      </c>
      <c r="C1446">
        <v>93</v>
      </c>
      <c r="D1446">
        <v>7.7080695629119873</v>
      </c>
      <c r="E1446" t="s">
        <v>10</v>
      </c>
      <c r="F1446" t="s">
        <v>47</v>
      </c>
      <c r="G1446">
        <v>7.5</v>
      </c>
    </row>
    <row r="1447" spans="1:7" x14ac:dyDescent="0.25">
      <c r="A1447" t="s">
        <v>4</v>
      </c>
      <c r="B1447">
        <v>1445</v>
      </c>
      <c r="C1447">
        <v>70</v>
      </c>
      <c r="D1447">
        <v>3.2022998332977295</v>
      </c>
      <c r="E1447" t="s">
        <v>10</v>
      </c>
      <c r="F1447" t="s">
        <v>50</v>
      </c>
      <c r="G1447">
        <v>6.9</v>
      </c>
    </row>
    <row r="1448" spans="1:7" x14ac:dyDescent="0.25">
      <c r="A1448" t="s">
        <v>4</v>
      </c>
      <c r="B1448">
        <v>1446</v>
      </c>
      <c r="C1448">
        <v>10</v>
      </c>
      <c r="D1448">
        <v>4.4684426784515381</v>
      </c>
      <c r="E1448" t="s">
        <v>10</v>
      </c>
      <c r="F1448" t="s">
        <v>55</v>
      </c>
      <c r="G1448">
        <v>7.8</v>
      </c>
    </row>
    <row r="1449" spans="1:7" x14ac:dyDescent="0.25">
      <c r="A1449" t="s">
        <v>4</v>
      </c>
      <c r="B1449">
        <v>1447</v>
      </c>
      <c r="C1449">
        <v>85</v>
      </c>
      <c r="D1449">
        <v>5.0795371532440186</v>
      </c>
      <c r="E1449" t="s">
        <v>10</v>
      </c>
      <c r="F1449" t="s">
        <v>39</v>
      </c>
      <c r="G1449">
        <v>6.8</v>
      </c>
    </row>
    <row r="1450" spans="1:7" x14ac:dyDescent="0.25">
      <c r="A1450" t="s">
        <v>4</v>
      </c>
      <c r="B1450">
        <v>1448</v>
      </c>
      <c r="C1450">
        <v>75</v>
      </c>
      <c r="D1450">
        <v>3.617199182510376</v>
      </c>
      <c r="E1450" t="s">
        <v>10</v>
      </c>
      <c r="F1450" t="s">
        <v>41</v>
      </c>
      <c r="G1450">
        <v>4.9000000000000004</v>
      </c>
    </row>
    <row r="1451" spans="1:7" x14ac:dyDescent="0.25">
      <c r="A1451" t="s">
        <v>4</v>
      </c>
      <c r="B1451">
        <v>1449</v>
      </c>
      <c r="C1451">
        <v>80</v>
      </c>
      <c r="D1451">
        <v>3.3793272972106934</v>
      </c>
      <c r="E1451" t="s">
        <v>10</v>
      </c>
      <c r="F1451" t="s">
        <v>41</v>
      </c>
      <c r="G1451">
        <v>4.7</v>
      </c>
    </row>
    <row r="1452" spans="1:7" x14ac:dyDescent="0.25">
      <c r="A1452" t="s">
        <v>4</v>
      </c>
      <c r="B1452">
        <v>1450</v>
      </c>
      <c r="C1452">
        <v>100</v>
      </c>
      <c r="D1452">
        <v>11.426487684249878</v>
      </c>
      <c r="E1452" t="s">
        <v>10</v>
      </c>
      <c r="F1452" t="s">
        <v>41</v>
      </c>
      <c r="G1452">
        <v>4.7</v>
      </c>
    </row>
    <row r="1453" spans="1:7" x14ac:dyDescent="0.25">
      <c r="A1453" t="s">
        <v>4</v>
      </c>
      <c r="B1453">
        <v>1451</v>
      </c>
      <c r="C1453">
        <v>83</v>
      </c>
      <c r="D1453">
        <v>3.4441618919372559</v>
      </c>
      <c r="E1453" t="s">
        <v>10</v>
      </c>
      <c r="F1453" t="s">
        <v>41</v>
      </c>
      <c r="G1453">
        <v>4.7</v>
      </c>
    </row>
    <row r="1454" spans="1:7" x14ac:dyDescent="0.25">
      <c r="A1454" t="s">
        <v>4</v>
      </c>
      <c r="B1454">
        <v>1452</v>
      </c>
      <c r="C1454">
        <v>30</v>
      </c>
      <c r="D1454">
        <v>3.8090641498565674</v>
      </c>
      <c r="E1454" t="s">
        <v>10</v>
      </c>
      <c r="F1454" t="s">
        <v>41</v>
      </c>
      <c r="G1454">
        <v>4.7</v>
      </c>
    </row>
    <row r="1455" spans="1:7" x14ac:dyDescent="0.25">
      <c r="A1455" t="s">
        <v>4</v>
      </c>
      <c r="B1455">
        <v>1453</v>
      </c>
      <c r="C1455">
        <v>97</v>
      </c>
      <c r="D1455">
        <v>6.0597701072692871</v>
      </c>
      <c r="E1455" t="s">
        <v>10</v>
      </c>
      <c r="F1455" t="s">
        <v>41</v>
      </c>
      <c r="G1455">
        <v>4.7</v>
      </c>
    </row>
    <row r="1456" spans="1:7" x14ac:dyDescent="0.25">
      <c r="A1456" t="s">
        <v>4</v>
      </c>
      <c r="B1456">
        <v>1454</v>
      </c>
      <c r="C1456">
        <v>85</v>
      </c>
      <c r="D1456">
        <v>6.1332061290740967</v>
      </c>
      <c r="E1456" t="s">
        <v>10</v>
      </c>
      <c r="F1456" t="s">
        <v>41</v>
      </c>
      <c r="G1456">
        <v>4.7</v>
      </c>
    </row>
    <row r="1457" spans="1:7" x14ac:dyDescent="0.25">
      <c r="A1457" t="s">
        <v>4</v>
      </c>
      <c r="B1457">
        <v>1455</v>
      </c>
      <c r="C1457">
        <v>83</v>
      </c>
      <c r="D1457">
        <v>4.4975721836090088</v>
      </c>
      <c r="E1457" t="s">
        <v>10</v>
      </c>
      <c r="F1457" t="s">
        <v>41</v>
      </c>
      <c r="G1457">
        <v>4.7</v>
      </c>
    </row>
    <row r="1458" spans="1:7" x14ac:dyDescent="0.25">
      <c r="A1458" t="s">
        <v>4</v>
      </c>
      <c r="B1458">
        <v>1456</v>
      </c>
      <c r="C1458">
        <v>84</v>
      </c>
      <c r="D1458">
        <v>6.8273305892944336</v>
      </c>
      <c r="E1458" t="s">
        <v>10</v>
      </c>
      <c r="F1458" t="s">
        <v>41</v>
      </c>
      <c r="G1458">
        <v>4.7</v>
      </c>
    </row>
    <row r="1459" spans="1:7" x14ac:dyDescent="0.25">
      <c r="A1459" t="s">
        <v>4</v>
      </c>
      <c r="B1459">
        <v>1457</v>
      </c>
      <c r="C1459">
        <v>73</v>
      </c>
      <c r="D1459">
        <v>3.2480959892272949</v>
      </c>
      <c r="E1459" t="s">
        <v>10</v>
      </c>
      <c r="F1459" t="s">
        <v>41</v>
      </c>
      <c r="G1459">
        <v>4.7</v>
      </c>
    </row>
    <row r="1460" spans="1:7" x14ac:dyDescent="0.25">
      <c r="A1460" t="s">
        <v>4</v>
      </c>
      <c r="B1460">
        <v>1458</v>
      </c>
      <c r="C1460">
        <v>81</v>
      </c>
      <c r="D1460">
        <v>11.165242910385132</v>
      </c>
      <c r="E1460" t="s">
        <v>10</v>
      </c>
      <c r="F1460" t="s">
        <v>41</v>
      </c>
      <c r="G1460">
        <v>5.4</v>
      </c>
    </row>
    <row r="1461" spans="1:7" x14ac:dyDescent="0.25">
      <c r="A1461" t="s">
        <v>4</v>
      </c>
      <c r="B1461">
        <v>1459</v>
      </c>
      <c r="C1461">
        <v>87</v>
      </c>
      <c r="D1461">
        <v>6.1475956439971924</v>
      </c>
      <c r="E1461" t="s">
        <v>10</v>
      </c>
      <c r="F1461" t="s">
        <v>41</v>
      </c>
      <c r="G1461">
        <v>5</v>
      </c>
    </row>
    <row r="1462" spans="1:7" x14ac:dyDescent="0.25">
      <c r="A1462" t="s">
        <v>4</v>
      </c>
      <c r="B1462">
        <v>1460</v>
      </c>
      <c r="C1462">
        <v>90</v>
      </c>
      <c r="D1462">
        <v>6.0903453826904297</v>
      </c>
      <c r="E1462" t="s">
        <v>10</v>
      </c>
      <c r="F1462" t="s">
        <v>41</v>
      </c>
      <c r="G1462">
        <v>5</v>
      </c>
    </row>
    <row r="1463" spans="1:7" x14ac:dyDescent="0.25">
      <c r="A1463" t="s">
        <v>4</v>
      </c>
      <c r="B1463">
        <v>1461</v>
      </c>
      <c r="C1463">
        <v>83</v>
      </c>
      <c r="D1463">
        <v>9.8355114459991455</v>
      </c>
      <c r="E1463" t="s">
        <v>10</v>
      </c>
      <c r="F1463" t="s">
        <v>41</v>
      </c>
      <c r="G1463">
        <v>4.4000000000000004</v>
      </c>
    </row>
    <row r="1464" spans="1:7" x14ac:dyDescent="0.25">
      <c r="A1464" t="s">
        <v>4</v>
      </c>
      <c r="B1464">
        <v>1462</v>
      </c>
      <c r="C1464">
        <v>83</v>
      </c>
      <c r="D1464">
        <v>6.551762580871582</v>
      </c>
      <c r="E1464" t="s">
        <v>10</v>
      </c>
      <c r="F1464" t="s">
        <v>41</v>
      </c>
      <c r="G1464">
        <v>4.4000000000000004</v>
      </c>
    </row>
    <row r="1465" spans="1:7" x14ac:dyDescent="0.25">
      <c r="A1465" t="s">
        <v>4</v>
      </c>
      <c r="B1465">
        <v>1463</v>
      </c>
      <c r="C1465">
        <v>84</v>
      </c>
      <c r="D1465">
        <v>3.2210204601287842</v>
      </c>
      <c r="E1465" t="s">
        <v>10</v>
      </c>
      <c r="F1465" t="s">
        <v>41</v>
      </c>
      <c r="G1465">
        <v>7.2</v>
      </c>
    </row>
    <row r="1466" spans="1:7" x14ac:dyDescent="0.25">
      <c r="A1466" t="s">
        <v>4</v>
      </c>
      <c r="B1466">
        <v>1464</v>
      </c>
      <c r="C1466">
        <v>83</v>
      </c>
      <c r="D1466">
        <v>12.379813194274902</v>
      </c>
      <c r="E1466" t="s">
        <v>10</v>
      </c>
      <c r="F1466" t="s">
        <v>43</v>
      </c>
      <c r="G1466">
        <v>4.9000000000000004</v>
      </c>
    </row>
    <row r="1467" spans="1:7" x14ac:dyDescent="0.25">
      <c r="A1467" t="s">
        <v>4</v>
      </c>
      <c r="B1467">
        <v>1465</v>
      </c>
      <c r="C1467">
        <v>24</v>
      </c>
      <c r="D1467">
        <v>6.3797643184661865</v>
      </c>
      <c r="E1467" t="s">
        <v>10</v>
      </c>
      <c r="F1467" t="s">
        <v>43</v>
      </c>
      <c r="G1467">
        <v>4.9000000000000004</v>
      </c>
    </row>
    <row r="1468" spans="1:7" x14ac:dyDescent="0.25">
      <c r="A1468" t="s">
        <v>4</v>
      </c>
      <c r="B1468">
        <v>1466</v>
      </c>
      <c r="C1468">
        <v>87</v>
      </c>
      <c r="D1468">
        <v>7.4485232830047607</v>
      </c>
      <c r="E1468" t="s">
        <v>10</v>
      </c>
      <c r="F1468" t="s">
        <v>43</v>
      </c>
      <c r="G1468">
        <v>4.9000000000000004</v>
      </c>
    </row>
    <row r="1469" spans="1:7" x14ac:dyDescent="0.25">
      <c r="A1469" t="s">
        <v>4</v>
      </c>
      <c r="B1469">
        <v>1467</v>
      </c>
      <c r="C1469">
        <v>97</v>
      </c>
      <c r="D1469">
        <v>9.7117955684661865</v>
      </c>
      <c r="E1469" t="s">
        <v>10</v>
      </c>
      <c r="F1469" t="s">
        <v>43</v>
      </c>
      <c r="G1469">
        <v>4.9000000000000004</v>
      </c>
    </row>
    <row r="1470" spans="1:7" x14ac:dyDescent="0.25">
      <c r="A1470" t="s">
        <v>4</v>
      </c>
      <c r="B1470">
        <v>1468</v>
      </c>
      <c r="C1470">
        <v>40</v>
      </c>
      <c r="D1470">
        <v>5.0422954559326172</v>
      </c>
      <c r="E1470" t="s">
        <v>10</v>
      </c>
      <c r="F1470" t="s">
        <v>43</v>
      </c>
      <c r="G1470">
        <v>4.9000000000000004</v>
      </c>
    </row>
    <row r="1471" spans="1:7" x14ac:dyDescent="0.25">
      <c r="A1471" t="s">
        <v>4</v>
      </c>
      <c r="B1471">
        <v>1469</v>
      </c>
      <c r="C1471">
        <v>89</v>
      </c>
      <c r="D1471">
        <v>8.4080519676208496</v>
      </c>
      <c r="E1471" t="s">
        <v>10</v>
      </c>
      <c r="F1471" t="s">
        <v>43</v>
      </c>
      <c r="G1471">
        <v>4.9000000000000004</v>
      </c>
    </row>
    <row r="1472" spans="1:7" x14ac:dyDescent="0.25">
      <c r="A1472" t="s">
        <v>4</v>
      </c>
      <c r="B1472">
        <v>1470</v>
      </c>
      <c r="C1472">
        <v>83</v>
      </c>
      <c r="D1472">
        <v>8.1736962795257568</v>
      </c>
      <c r="E1472" t="s">
        <v>10</v>
      </c>
      <c r="F1472" t="s">
        <v>43</v>
      </c>
      <c r="G1472">
        <v>4.9000000000000004</v>
      </c>
    </row>
    <row r="1473" spans="1:7" x14ac:dyDescent="0.25">
      <c r="A1473" t="s">
        <v>4</v>
      </c>
      <c r="B1473">
        <v>1471</v>
      </c>
      <c r="C1473">
        <v>83</v>
      </c>
      <c r="D1473">
        <v>5.9831099510192871</v>
      </c>
      <c r="E1473" t="s">
        <v>10</v>
      </c>
      <c r="F1473" t="s">
        <v>43</v>
      </c>
      <c r="G1473">
        <v>4.9000000000000004</v>
      </c>
    </row>
    <row r="1474" spans="1:7" x14ac:dyDescent="0.25">
      <c r="A1474" t="s">
        <v>4</v>
      </c>
      <c r="B1474">
        <v>1472</v>
      </c>
      <c r="C1474">
        <v>99</v>
      </c>
      <c r="D1474">
        <v>12.360957145690918</v>
      </c>
      <c r="E1474" t="s">
        <v>10</v>
      </c>
      <c r="F1474" t="s">
        <v>43</v>
      </c>
      <c r="G1474">
        <v>4.7</v>
      </c>
    </row>
    <row r="1475" spans="1:7" x14ac:dyDescent="0.25">
      <c r="A1475" t="s">
        <v>4</v>
      </c>
      <c r="B1475">
        <v>1473</v>
      </c>
      <c r="C1475">
        <v>80</v>
      </c>
      <c r="D1475">
        <v>9.4657223224639893</v>
      </c>
      <c r="E1475" t="s">
        <v>10</v>
      </c>
      <c r="F1475" t="s">
        <v>43</v>
      </c>
      <c r="G1475">
        <v>4.9000000000000004</v>
      </c>
    </row>
    <row r="1476" spans="1:7" x14ac:dyDescent="0.25">
      <c r="A1476" t="s">
        <v>4</v>
      </c>
      <c r="B1476">
        <v>1474</v>
      </c>
      <c r="C1476">
        <v>90</v>
      </c>
      <c r="D1476">
        <v>10.869416236877441</v>
      </c>
      <c r="E1476" t="s">
        <v>10</v>
      </c>
      <c r="F1476" t="s">
        <v>43</v>
      </c>
      <c r="G1476">
        <v>4.9000000000000004</v>
      </c>
    </row>
    <row r="1477" spans="1:7" x14ac:dyDescent="0.25">
      <c r="A1477" t="s">
        <v>4</v>
      </c>
      <c r="B1477">
        <v>1475</v>
      </c>
      <c r="C1477">
        <v>88</v>
      </c>
      <c r="D1477">
        <v>5.686917781829834</v>
      </c>
      <c r="E1477" t="s">
        <v>10</v>
      </c>
      <c r="F1477" t="s">
        <v>43</v>
      </c>
      <c r="G1477">
        <v>4.9000000000000004</v>
      </c>
    </row>
    <row r="1478" spans="1:7" x14ac:dyDescent="0.25">
      <c r="A1478" t="s">
        <v>4</v>
      </c>
      <c r="B1478">
        <v>1476</v>
      </c>
      <c r="C1478">
        <v>99</v>
      </c>
      <c r="D1478">
        <v>4.9884634017944336</v>
      </c>
      <c r="E1478" t="s">
        <v>10</v>
      </c>
      <c r="F1478" t="s">
        <v>43</v>
      </c>
      <c r="G1478">
        <v>4.9000000000000004</v>
      </c>
    </row>
    <row r="1479" spans="1:7" x14ac:dyDescent="0.25">
      <c r="A1479" t="s">
        <v>4</v>
      </c>
      <c r="B1479">
        <v>1477</v>
      </c>
      <c r="C1479">
        <v>85</v>
      </c>
      <c r="D1479">
        <v>4.0957841873168945</v>
      </c>
      <c r="E1479" t="s">
        <v>10</v>
      </c>
      <c r="F1479" t="s">
        <v>43</v>
      </c>
      <c r="G1479">
        <v>4.9000000000000004</v>
      </c>
    </row>
    <row r="1480" spans="1:7" x14ac:dyDescent="0.25">
      <c r="A1480" t="s">
        <v>4</v>
      </c>
      <c r="B1480">
        <v>1478</v>
      </c>
      <c r="C1480">
        <v>20</v>
      </c>
      <c r="D1480">
        <v>4.5328924655914307</v>
      </c>
      <c r="E1480" t="s">
        <v>10</v>
      </c>
      <c r="F1480" t="s">
        <v>43</v>
      </c>
      <c r="G1480">
        <v>4.9000000000000004</v>
      </c>
    </row>
    <row r="1481" spans="1:7" x14ac:dyDescent="0.25">
      <c r="A1481" t="s">
        <v>4</v>
      </c>
      <c r="B1481">
        <v>1479</v>
      </c>
      <c r="C1481">
        <v>84</v>
      </c>
      <c r="D1481">
        <v>5.0316007137298584</v>
      </c>
      <c r="E1481" t="s">
        <v>10</v>
      </c>
      <c r="F1481" t="s">
        <v>43</v>
      </c>
      <c r="G1481">
        <v>4.9000000000000004</v>
      </c>
    </row>
    <row r="1482" spans="1:7" x14ac:dyDescent="0.25">
      <c r="A1482" t="s">
        <v>4</v>
      </c>
      <c r="B1482">
        <v>1480</v>
      </c>
      <c r="C1482">
        <v>83</v>
      </c>
      <c r="D1482">
        <v>7.687387228012085</v>
      </c>
      <c r="E1482" t="s">
        <v>10</v>
      </c>
      <c r="F1482" t="s">
        <v>43</v>
      </c>
      <c r="G1482">
        <v>4.9000000000000004</v>
      </c>
    </row>
    <row r="1483" spans="1:7" x14ac:dyDescent="0.25">
      <c r="A1483" t="s">
        <v>4</v>
      </c>
      <c r="B1483">
        <v>1481</v>
      </c>
      <c r="C1483">
        <v>80</v>
      </c>
      <c r="D1483">
        <v>5.6057226657867432</v>
      </c>
      <c r="E1483" t="s">
        <v>10</v>
      </c>
      <c r="F1483" t="s">
        <v>43</v>
      </c>
      <c r="G1483">
        <v>4.9000000000000004</v>
      </c>
    </row>
    <row r="1484" spans="1:7" x14ac:dyDescent="0.25">
      <c r="A1484" t="s">
        <v>4</v>
      </c>
      <c r="B1484">
        <v>1482</v>
      </c>
      <c r="C1484">
        <v>80</v>
      </c>
      <c r="D1484">
        <v>4.7947967052459717</v>
      </c>
      <c r="E1484" t="s">
        <v>10</v>
      </c>
      <c r="F1484" t="s">
        <v>43</v>
      </c>
      <c r="G1484">
        <v>4.9000000000000004</v>
      </c>
    </row>
    <row r="1485" spans="1:7" x14ac:dyDescent="0.25">
      <c r="A1485" t="s">
        <v>4</v>
      </c>
      <c r="B1485">
        <v>1483</v>
      </c>
      <c r="C1485">
        <v>47</v>
      </c>
      <c r="D1485">
        <v>6.9634044170379639</v>
      </c>
      <c r="E1485" t="s">
        <v>10</v>
      </c>
      <c r="F1485" t="s">
        <v>43</v>
      </c>
      <c r="G1485">
        <v>4.9000000000000004</v>
      </c>
    </row>
    <row r="1486" spans="1:7" x14ac:dyDescent="0.25">
      <c r="A1486" t="s">
        <v>4</v>
      </c>
      <c r="B1486">
        <v>1484</v>
      </c>
      <c r="C1486">
        <v>100</v>
      </c>
      <c r="D1486">
        <v>4.6562986373901367</v>
      </c>
      <c r="E1486" t="s">
        <v>10</v>
      </c>
      <c r="F1486" t="s">
        <v>13</v>
      </c>
      <c r="G1486">
        <v>3.6</v>
      </c>
    </row>
    <row r="1487" spans="1:7" x14ac:dyDescent="0.25">
      <c r="A1487" t="s">
        <v>4</v>
      </c>
      <c r="B1487">
        <v>1485</v>
      </c>
      <c r="C1487">
        <v>80</v>
      </c>
      <c r="D1487">
        <v>5.8351981639862061</v>
      </c>
      <c r="E1487" t="s">
        <v>10</v>
      </c>
      <c r="F1487" t="s">
        <v>59</v>
      </c>
      <c r="G1487">
        <v>3.3</v>
      </c>
    </row>
    <row r="1488" spans="1:7" x14ac:dyDescent="0.25">
      <c r="A1488" t="s">
        <v>4</v>
      </c>
      <c r="B1488">
        <v>1486</v>
      </c>
      <c r="C1488">
        <v>30</v>
      </c>
      <c r="D1488">
        <v>4.5744466781616211</v>
      </c>
      <c r="E1488" t="s">
        <v>10</v>
      </c>
      <c r="F1488" t="s">
        <v>60</v>
      </c>
      <c r="G1488">
        <v>7.9</v>
      </c>
    </row>
    <row r="1489" spans="1:7" x14ac:dyDescent="0.25">
      <c r="A1489" t="s">
        <v>4</v>
      </c>
      <c r="B1489">
        <v>1487</v>
      </c>
      <c r="C1489">
        <v>10</v>
      </c>
      <c r="D1489">
        <v>6.8747448921203613</v>
      </c>
      <c r="E1489" t="s">
        <v>10</v>
      </c>
      <c r="F1489" t="s">
        <v>60</v>
      </c>
      <c r="G1489">
        <v>7.9</v>
      </c>
    </row>
    <row r="1490" spans="1:7" x14ac:dyDescent="0.25">
      <c r="A1490" t="s">
        <v>4</v>
      </c>
      <c r="B1490">
        <v>1488</v>
      </c>
      <c r="C1490">
        <v>93</v>
      </c>
      <c r="D1490">
        <v>4.8010761737823486</v>
      </c>
      <c r="E1490" t="s">
        <v>10</v>
      </c>
      <c r="F1490" t="s">
        <v>43</v>
      </c>
      <c r="G1490">
        <v>1.9</v>
      </c>
    </row>
    <row r="1491" spans="1:7" x14ac:dyDescent="0.25">
      <c r="A1491" t="s">
        <v>4</v>
      </c>
      <c r="B1491">
        <v>1489</v>
      </c>
      <c r="C1491">
        <v>87</v>
      </c>
      <c r="D1491">
        <v>5.7212321758270264</v>
      </c>
      <c r="E1491" t="s">
        <v>10</v>
      </c>
      <c r="F1491" t="s">
        <v>43</v>
      </c>
      <c r="G1491">
        <v>1.9</v>
      </c>
    </row>
    <row r="1492" spans="1:7" x14ac:dyDescent="0.25">
      <c r="A1492" t="s">
        <v>4</v>
      </c>
      <c r="B1492">
        <v>1490</v>
      </c>
      <c r="C1492">
        <v>72</v>
      </c>
      <c r="D1492">
        <v>3.3333876132965088</v>
      </c>
      <c r="E1492" t="s">
        <v>10</v>
      </c>
      <c r="F1492" t="s">
        <v>43</v>
      </c>
      <c r="G1492">
        <v>1.9</v>
      </c>
    </row>
    <row r="1493" spans="1:7" x14ac:dyDescent="0.25">
      <c r="A1493" t="s">
        <v>4</v>
      </c>
      <c r="B1493">
        <v>1491</v>
      </c>
      <c r="C1493">
        <v>17</v>
      </c>
      <c r="D1493">
        <v>4.7340302467346191</v>
      </c>
      <c r="E1493" t="s">
        <v>10</v>
      </c>
      <c r="F1493" t="s">
        <v>43</v>
      </c>
      <c r="G1493">
        <v>1.9</v>
      </c>
    </row>
    <row r="1494" spans="1:7" x14ac:dyDescent="0.25">
      <c r="A1494" t="s">
        <v>4</v>
      </c>
      <c r="B1494">
        <v>1492</v>
      </c>
      <c r="C1494">
        <v>50</v>
      </c>
      <c r="D1494">
        <v>15.54903769493103</v>
      </c>
      <c r="E1494" t="s">
        <v>10</v>
      </c>
      <c r="F1494" t="s">
        <v>43</v>
      </c>
      <c r="G1494">
        <v>1.9</v>
      </c>
    </row>
    <row r="1495" spans="1:7" x14ac:dyDescent="0.25">
      <c r="A1495" t="s">
        <v>4</v>
      </c>
      <c r="B1495">
        <v>1493</v>
      </c>
      <c r="C1495">
        <v>97</v>
      </c>
      <c r="D1495">
        <v>10.809228420257568</v>
      </c>
      <c r="E1495" t="s">
        <v>10</v>
      </c>
      <c r="F1495" t="s">
        <v>43</v>
      </c>
      <c r="G1495">
        <v>1.9</v>
      </c>
    </row>
    <row r="1496" spans="1:7" x14ac:dyDescent="0.25">
      <c r="A1496" t="s">
        <v>4</v>
      </c>
      <c r="B1496">
        <v>1494</v>
      </c>
      <c r="C1496">
        <v>0</v>
      </c>
      <c r="D1496">
        <v>4.0216445922851563</v>
      </c>
      <c r="E1496" t="s">
        <v>10</v>
      </c>
      <c r="F1496" t="s">
        <v>43</v>
      </c>
      <c r="G1496">
        <v>1.9</v>
      </c>
    </row>
    <row r="1497" spans="1:7" x14ac:dyDescent="0.25">
      <c r="A1497" t="s">
        <v>4</v>
      </c>
      <c r="B1497">
        <v>1495</v>
      </c>
      <c r="C1497">
        <v>20</v>
      </c>
      <c r="D1497">
        <v>8.0382881164550781</v>
      </c>
      <c r="E1497" t="s">
        <v>10</v>
      </c>
      <c r="F1497" t="s">
        <v>43</v>
      </c>
      <c r="G1497">
        <v>1.9</v>
      </c>
    </row>
    <row r="1498" spans="1:7" x14ac:dyDescent="0.25">
      <c r="A1498" t="s">
        <v>4</v>
      </c>
      <c r="B1498">
        <v>1496</v>
      </c>
      <c r="C1498">
        <v>100</v>
      </c>
      <c r="D1498">
        <v>5.9915738105773926</v>
      </c>
      <c r="E1498" t="s">
        <v>10</v>
      </c>
      <c r="F1498" t="s">
        <v>48</v>
      </c>
      <c r="G1498">
        <v>6.9</v>
      </c>
    </row>
    <row r="1499" spans="1:7" x14ac:dyDescent="0.25">
      <c r="A1499" t="s">
        <v>4</v>
      </c>
      <c r="B1499">
        <v>1497</v>
      </c>
      <c r="C1499">
        <v>100</v>
      </c>
      <c r="D1499">
        <v>4.0767605304718018</v>
      </c>
      <c r="E1499" t="s">
        <v>10</v>
      </c>
      <c r="F1499" t="s">
        <v>43</v>
      </c>
      <c r="G1499">
        <v>2.1</v>
      </c>
    </row>
    <row r="1500" spans="1:7" x14ac:dyDescent="0.25">
      <c r="A1500" t="s">
        <v>4</v>
      </c>
      <c r="B1500">
        <v>1498</v>
      </c>
      <c r="C1500">
        <v>100</v>
      </c>
      <c r="D1500">
        <v>4.3562579154968262</v>
      </c>
      <c r="E1500" t="s">
        <v>10</v>
      </c>
      <c r="F1500" t="s">
        <v>43</v>
      </c>
      <c r="G1500">
        <v>2.1</v>
      </c>
    </row>
    <row r="1501" spans="1:7" x14ac:dyDescent="0.25">
      <c r="A1501" t="s">
        <v>4</v>
      </c>
      <c r="B1501">
        <v>1499</v>
      </c>
      <c r="C1501">
        <v>30</v>
      </c>
      <c r="D1501">
        <v>3.8884952068328857</v>
      </c>
      <c r="E1501" t="s">
        <v>10</v>
      </c>
      <c r="F1501" t="s">
        <v>43</v>
      </c>
      <c r="G1501">
        <v>2.1</v>
      </c>
    </row>
    <row r="1502" spans="1:7" x14ac:dyDescent="0.25">
      <c r="A1502" t="s">
        <v>4</v>
      </c>
      <c r="B1502">
        <v>1500</v>
      </c>
      <c r="C1502">
        <v>85</v>
      </c>
      <c r="D1502">
        <v>3.5576603412628174</v>
      </c>
      <c r="E1502" t="s">
        <v>10</v>
      </c>
      <c r="F1502" t="s">
        <v>43</v>
      </c>
      <c r="G1502">
        <v>2.1</v>
      </c>
    </row>
    <row r="1503" spans="1:7" x14ac:dyDescent="0.25">
      <c r="A1503" t="s">
        <v>4</v>
      </c>
      <c r="B1503">
        <v>1501</v>
      </c>
      <c r="C1503">
        <v>8</v>
      </c>
      <c r="D1503">
        <v>3.191868782043457</v>
      </c>
      <c r="E1503" t="s">
        <v>10</v>
      </c>
      <c r="F1503" t="s">
        <v>43</v>
      </c>
      <c r="G1503">
        <v>2.1</v>
      </c>
    </row>
    <row r="1504" spans="1:7" x14ac:dyDescent="0.25">
      <c r="A1504" t="s">
        <v>4</v>
      </c>
      <c r="B1504">
        <v>1502</v>
      </c>
      <c r="C1504">
        <v>73</v>
      </c>
      <c r="D1504">
        <v>3.8618967533111572</v>
      </c>
      <c r="E1504" t="s">
        <v>10</v>
      </c>
      <c r="F1504" t="s">
        <v>43</v>
      </c>
      <c r="G1504">
        <v>2.1</v>
      </c>
    </row>
    <row r="1505" spans="1:7" x14ac:dyDescent="0.25">
      <c r="A1505" t="s">
        <v>4</v>
      </c>
      <c r="B1505">
        <v>1503</v>
      </c>
      <c r="C1505">
        <v>89</v>
      </c>
      <c r="D1505">
        <v>3.2400727272033691</v>
      </c>
      <c r="E1505" t="s">
        <v>10</v>
      </c>
      <c r="F1505" t="s">
        <v>43</v>
      </c>
      <c r="G1505">
        <v>2.1</v>
      </c>
    </row>
    <row r="1506" spans="1:7" x14ac:dyDescent="0.25">
      <c r="A1506" t="s">
        <v>4</v>
      </c>
      <c r="B1506">
        <v>1504</v>
      </c>
      <c r="C1506">
        <v>50</v>
      </c>
      <c r="D1506">
        <v>2.872119665145874</v>
      </c>
      <c r="E1506" t="s">
        <v>10</v>
      </c>
      <c r="F1506" t="s">
        <v>43</v>
      </c>
      <c r="G1506">
        <v>2.1</v>
      </c>
    </row>
    <row r="1507" spans="1:7" x14ac:dyDescent="0.25">
      <c r="A1507" t="s">
        <v>4</v>
      </c>
      <c r="B1507">
        <v>1505</v>
      </c>
      <c r="C1507">
        <v>88</v>
      </c>
      <c r="D1507">
        <v>5.1892123222351074</v>
      </c>
      <c r="E1507" t="s">
        <v>10</v>
      </c>
      <c r="F1507" t="s">
        <v>43</v>
      </c>
      <c r="G1507">
        <v>2.1</v>
      </c>
    </row>
    <row r="1508" spans="1:7" x14ac:dyDescent="0.25">
      <c r="A1508" t="s">
        <v>4</v>
      </c>
      <c r="B1508">
        <v>1506</v>
      </c>
      <c r="C1508">
        <v>14</v>
      </c>
      <c r="D1508">
        <v>2.9815962314605713</v>
      </c>
      <c r="E1508" t="s">
        <v>10</v>
      </c>
      <c r="F1508" t="s">
        <v>43</v>
      </c>
      <c r="G1508">
        <v>2.1</v>
      </c>
    </row>
    <row r="1509" spans="1:7" x14ac:dyDescent="0.25">
      <c r="A1509" t="s">
        <v>4</v>
      </c>
      <c r="B1509">
        <v>1507</v>
      </c>
      <c r="C1509">
        <v>70</v>
      </c>
      <c r="D1509">
        <v>3.3561420440673828</v>
      </c>
      <c r="E1509" t="s">
        <v>10</v>
      </c>
      <c r="F1509" t="s">
        <v>43</v>
      </c>
      <c r="G1509">
        <v>2.1</v>
      </c>
    </row>
    <row r="1510" spans="1:7" x14ac:dyDescent="0.25">
      <c r="A1510" t="s">
        <v>4</v>
      </c>
      <c r="B1510">
        <v>1508</v>
      </c>
      <c r="C1510">
        <v>95</v>
      </c>
      <c r="D1510">
        <v>3.5487706661224365</v>
      </c>
      <c r="E1510" t="s">
        <v>10</v>
      </c>
      <c r="F1510" t="s">
        <v>43</v>
      </c>
      <c r="G1510">
        <v>2.1</v>
      </c>
    </row>
    <row r="1511" spans="1:7" x14ac:dyDescent="0.25">
      <c r="A1511" t="s">
        <v>4</v>
      </c>
      <c r="B1511">
        <v>1509</v>
      </c>
      <c r="C1511">
        <v>100</v>
      </c>
      <c r="D1511">
        <v>3.9364886283874512</v>
      </c>
      <c r="E1511" t="s">
        <v>10</v>
      </c>
      <c r="F1511" t="s">
        <v>61</v>
      </c>
      <c r="G1511">
        <v>2.1</v>
      </c>
    </row>
    <row r="1512" spans="1:7" x14ac:dyDescent="0.25">
      <c r="A1512" t="s">
        <v>4</v>
      </c>
      <c r="B1512">
        <v>1510</v>
      </c>
      <c r="C1512">
        <v>0</v>
      </c>
      <c r="D1512">
        <v>3.802227258682251</v>
      </c>
      <c r="E1512" t="s">
        <v>10</v>
      </c>
      <c r="F1512" t="s">
        <v>61</v>
      </c>
      <c r="G1512">
        <v>2.1</v>
      </c>
    </row>
    <row r="1513" spans="1:7" x14ac:dyDescent="0.25">
      <c r="A1513" t="s">
        <v>4</v>
      </c>
      <c r="B1513">
        <v>1511</v>
      </c>
      <c r="C1513">
        <v>100</v>
      </c>
      <c r="D1513">
        <v>3.6862797737121582</v>
      </c>
      <c r="E1513" t="s">
        <v>10</v>
      </c>
      <c r="F1513" t="s">
        <v>61</v>
      </c>
      <c r="G1513">
        <v>2.1</v>
      </c>
    </row>
    <row r="1514" spans="1:7" x14ac:dyDescent="0.25">
      <c r="A1514" t="s">
        <v>4</v>
      </c>
      <c r="B1514">
        <v>1512</v>
      </c>
      <c r="C1514">
        <v>81</v>
      </c>
      <c r="D1514">
        <v>4.6717846393585205</v>
      </c>
      <c r="E1514" t="s">
        <v>10</v>
      </c>
      <c r="F1514" t="s">
        <v>41</v>
      </c>
      <c r="G1514">
        <v>4.9000000000000004</v>
      </c>
    </row>
    <row r="1515" spans="1:7" x14ac:dyDescent="0.25">
      <c r="A1515" t="s">
        <v>4</v>
      </c>
      <c r="B1515">
        <v>1513</v>
      </c>
      <c r="C1515">
        <v>40</v>
      </c>
      <c r="D1515">
        <v>3.3415477275848389</v>
      </c>
      <c r="E1515" t="s">
        <v>10</v>
      </c>
      <c r="F1515" t="s">
        <v>39</v>
      </c>
      <c r="G1515">
        <v>7.5</v>
      </c>
    </row>
    <row r="1516" spans="1:7" x14ac:dyDescent="0.25">
      <c r="A1516" t="s">
        <v>4</v>
      </c>
      <c r="B1516">
        <v>1514</v>
      </c>
      <c r="C1516">
        <v>85</v>
      </c>
      <c r="D1516">
        <v>3.2100224494934082</v>
      </c>
      <c r="E1516" t="s">
        <v>10</v>
      </c>
      <c r="F1516" t="s">
        <v>39</v>
      </c>
      <c r="G1516">
        <v>7.5</v>
      </c>
    </row>
    <row r="1517" spans="1:7" x14ac:dyDescent="0.25">
      <c r="A1517" t="s">
        <v>4</v>
      </c>
      <c r="B1517">
        <v>1515</v>
      </c>
      <c r="C1517">
        <v>83</v>
      </c>
      <c r="D1517">
        <v>8.7187995910644531</v>
      </c>
      <c r="E1517" t="s">
        <v>10</v>
      </c>
      <c r="F1517" t="s">
        <v>41</v>
      </c>
      <c r="G1517">
        <v>5.4</v>
      </c>
    </row>
    <row r="1518" spans="1:7" x14ac:dyDescent="0.25">
      <c r="A1518" t="s">
        <v>4</v>
      </c>
      <c r="B1518">
        <v>1516</v>
      </c>
      <c r="C1518">
        <v>99</v>
      </c>
      <c r="D1518">
        <v>4.9972443580627441</v>
      </c>
      <c r="E1518" t="s">
        <v>10</v>
      </c>
      <c r="F1518" t="s">
        <v>39</v>
      </c>
      <c r="G1518">
        <v>6.8</v>
      </c>
    </row>
    <row r="1519" spans="1:7" x14ac:dyDescent="0.25">
      <c r="A1519" t="s">
        <v>4</v>
      </c>
      <c r="B1519">
        <v>1517</v>
      </c>
      <c r="C1519">
        <v>5</v>
      </c>
      <c r="D1519">
        <v>19.345436811447144</v>
      </c>
      <c r="E1519" t="s">
        <v>10</v>
      </c>
      <c r="F1519" t="s">
        <v>41</v>
      </c>
      <c r="G1519">
        <v>4.7</v>
      </c>
    </row>
    <row r="1520" spans="1:7" x14ac:dyDescent="0.25">
      <c r="A1520" t="s">
        <v>4</v>
      </c>
      <c r="B1520">
        <v>1518</v>
      </c>
      <c r="C1520">
        <v>72</v>
      </c>
      <c r="D1520">
        <v>3.4750146865844727</v>
      </c>
      <c r="E1520" t="s">
        <v>10</v>
      </c>
      <c r="F1520" t="s">
        <v>43</v>
      </c>
      <c r="G1520">
        <v>2.1</v>
      </c>
    </row>
    <row r="1521" spans="1:7" x14ac:dyDescent="0.25">
      <c r="A1521" t="s">
        <v>4</v>
      </c>
      <c r="B1521">
        <v>1519</v>
      </c>
      <c r="C1521">
        <v>100</v>
      </c>
      <c r="D1521">
        <v>3.9245953559875488</v>
      </c>
      <c r="E1521" t="s">
        <v>10</v>
      </c>
      <c r="F1521" t="s">
        <v>41</v>
      </c>
      <c r="G1521">
        <v>3.8</v>
      </c>
    </row>
    <row r="1522" spans="1:7" x14ac:dyDescent="0.25">
      <c r="A1522" t="s">
        <v>4</v>
      </c>
      <c r="B1522">
        <v>1520</v>
      </c>
      <c r="C1522">
        <v>80</v>
      </c>
      <c r="D1522">
        <v>5.0093610286712646</v>
      </c>
      <c r="E1522" t="s">
        <v>10</v>
      </c>
      <c r="F1522" t="s">
        <v>46</v>
      </c>
      <c r="G1522">
        <v>4.9000000000000004</v>
      </c>
    </row>
    <row r="1523" spans="1:7" x14ac:dyDescent="0.25">
      <c r="A1523" t="s">
        <v>4</v>
      </c>
      <c r="B1523">
        <v>1521</v>
      </c>
      <c r="C1523">
        <v>64</v>
      </c>
      <c r="D1523">
        <v>3.5794985294342041</v>
      </c>
      <c r="E1523" t="s">
        <v>10</v>
      </c>
      <c r="F1523" t="s">
        <v>56</v>
      </c>
      <c r="G1523">
        <v>7.2</v>
      </c>
    </row>
    <row r="1524" spans="1:7" x14ac:dyDescent="0.25">
      <c r="A1524" t="s">
        <v>4</v>
      </c>
      <c r="B1524">
        <v>1522</v>
      </c>
      <c r="C1524">
        <v>87</v>
      </c>
      <c r="D1524">
        <v>12.478444576263428</v>
      </c>
      <c r="E1524" t="s">
        <v>10</v>
      </c>
      <c r="F1524" t="s">
        <v>43</v>
      </c>
      <c r="G1524">
        <v>2.6</v>
      </c>
    </row>
    <row r="1525" spans="1:7" x14ac:dyDescent="0.25">
      <c r="A1525" t="s">
        <v>4</v>
      </c>
      <c r="B1525">
        <v>1523</v>
      </c>
      <c r="C1525">
        <v>85</v>
      </c>
      <c r="D1525">
        <v>4.2044823169708252</v>
      </c>
      <c r="E1525" t="s">
        <v>10</v>
      </c>
      <c r="F1525" t="s">
        <v>46</v>
      </c>
      <c r="G1525">
        <v>4.7</v>
      </c>
    </row>
    <row r="1526" spans="1:7" x14ac:dyDescent="0.25">
      <c r="A1526" t="s">
        <v>4</v>
      </c>
      <c r="B1526">
        <v>1524</v>
      </c>
      <c r="C1526">
        <v>100</v>
      </c>
      <c r="D1526">
        <v>4.4687530994415283</v>
      </c>
      <c r="E1526" t="s">
        <v>10</v>
      </c>
      <c r="F1526" t="s">
        <v>41</v>
      </c>
      <c r="G1526">
        <v>7.8</v>
      </c>
    </row>
    <row r="1527" spans="1:7" x14ac:dyDescent="0.25">
      <c r="A1527" t="s">
        <v>4</v>
      </c>
      <c r="B1527">
        <v>1525</v>
      </c>
      <c r="C1527">
        <v>100</v>
      </c>
      <c r="D1527">
        <v>3.3717870712280273</v>
      </c>
      <c r="E1527" t="s">
        <v>10</v>
      </c>
      <c r="F1527" t="s">
        <v>41</v>
      </c>
      <c r="G1527">
        <v>7.8</v>
      </c>
    </row>
    <row r="1528" spans="1:7" x14ac:dyDescent="0.25">
      <c r="A1528" t="s">
        <v>4</v>
      </c>
      <c r="B1528">
        <v>1526</v>
      </c>
      <c r="C1528">
        <v>30</v>
      </c>
      <c r="D1528">
        <v>10.307499408721924</v>
      </c>
      <c r="E1528" t="s">
        <v>10</v>
      </c>
      <c r="F1528" t="s">
        <v>41</v>
      </c>
      <c r="G1528">
        <v>4.7</v>
      </c>
    </row>
    <row r="1529" spans="1:7" x14ac:dyDescent="0.25">
      <c r="A1529" t="s">
        <v>4</v>
      </c>
      <c r="B1529">
        <v>1527</v>
      </c>
      <c r="C1529">
        <v>100</v>
      </c>
      <c r="D1529">
        <v>10.762973070144653</v>
      </c>
      <c r="E1529" t="s">
        <v>10</v>
      </c>
      <c r="F1529" t="s">
        <v>56</v>
      </c>
      <c r="G1529">
        <v>3.7</v>
      </c>
    </row>
    <row r="1530" spans="1:7" x14ac:dyDescent="0.25">
      <c r="A1530" t="s">
        <v>4</v>
      </c>
      <c r="B1530">
        <v>1528</v>
      </c>
      <c r="C1530">
        <v>80</v>
      </c>
      <c r="D1530">
        <v>4.150177001953125</v>
      </c>
      <c r="E1530" t="s">
        <v>10</v>
      </c>
      <c r="F1530" t="s">
        <v>56</v>
      </c>
      <c r="G1530">
        <v>3.7</v>
      </c>
    </row>
    <row r="1531" spans="1:7" x14ac:dyDescent="0.25">
      <c r="A1531" t="s">
        <v>4</v>
      </c>
      <c r="B1531">
        <v>1529</v>
      </c>
      <c r="C1531">
        <v>70</v>
      </c>
      <c r="D1531">
        <v>3.7846941947937012</v>
      </c>
      <c r="E1531" t="s">
        <v>10</v>
      </c>
      <c r="F1531" t="s">
        <v>45</v>
      </c>
      <c r="G1531">
        <v>1.9</v>
      </c>
    </row>
    <row r="1532" spans="1:7" x14ac:dyDescent="0.25">
      <c r="A1532" t="s">
        <v>4</v>
      </c>
      <c r="B1532">
        <v>1530</v>
      </c>
      <c r="C1532">
        <v>100</v>
      </c>
      <c r="D1532">
        <v>5.6764993667602539</v>
      </c>
      <c r="E1532" t="s">
        <v>10</v>
      </c>
      <c r="F1532" t="s">
        <v>45</v>
      </c>
      <c r="G1532">
        <v>4.7</v>
      </c>
    </row>
    <row r="1533" spans="1:7" x14ac:dyDescent="0.25">
      <c r="A1533" t="s">
        <v>4</v>
      </c>
      <c r="B1533">
        <v>1531</v>
      </c>
      <c r="C1533">
        <v>40</v>
      </c>
      <c r="D1533">
        <v>5.949425220489502</v>
      </c>
      <c r="E1533" t="s">
        <v>10</v>
      </c>
      <c r="F1533" t="s">
        <v>45</v>
      </c>
      <c r="G1533">
        <v>4.7</v>
      </c>
    </row>
    <row r="1534" spans="1:7" x14ac:dyDescent="0.25">
      <c r="A1534" t="s">
        <v>4</v>
      </c>
      <c r="B1534">
        <v>1532</v>
      </c>
      <c r="C1534">
        <v>87</v>
      </c>
      <c r="D1534">
        <v>5.2806391716003418</v>
      </c>
      <c r="E1534" t="s">
        <v>10</v>
      </c>
      <c r="F1534" t="s">
        <v>45</v>
      </c>
      <c r="G1534">
        <v>4.7</v>
      </c>
    </row>
    <row r="1535" spans="1:7" x14ac:dyDescent="0.25">
      <c r="A1535" t="s">
        <v>4</v>
      </c>
      <c r="B1535">
        <v>1533</v>
      </c>
      <c r="C1535">
        <v>100</v>
      </c>
      <c r="D1535">
        <v>3.4315803050994873</v>
      </c>
      <c r="E1535" t="s">
        <v>10</v>
      </c>
      <c r="F1535" t="s">
        <v>45</v>
      </c>
      <c r="G1535">
        <v>2.1</v>
      </c>
    </row>
    <row r="1536" spans="1:7" x14ac:dyDescent="0.25">
      <c r="A1536" t="s">
        <v>4</v>
      </c>
      <c r="B1536">
        <v>1534</v>
      </c>
      <c r="C1536">
        <v>84</v>
      </c>
      <c r="D1536">
        <v>2.8245322704315186</v>
      </c>
      <c r="E1536" t="s">
        <v>10</v>
      </c>
      <c r="F1536" t="s">
        <v>43</v>
      </c>
      <c r="G1536">
        <v>5</v>
      </c>
    </row>
    <row r="1537" spans="1:7" x14ac:dyDescent="0.25">
      <c r="A1537" t="s">
        <v>4</v>
      </c>
      <c r="B1537">
        <v>1535</v>
      </c>
      <c r="C1537">
        <v>89</v>
      </c>
      <c r="D1537">
        <v>13.135942220687866</v>
      </c>
      <c r="E1537" t="s">
        <v>10</v>
      </c>
      <c r="F1537" t="s">
        <v>62</v>
      </c>
      <c r="G1537">
        <v>6.9</v>
      </c>
    </row>
    <row r="1538" spans="1:7" x14ac:dyDescent="0.25">
      <c r="A1538" t="s">
        <v>4</v>
      </c>
      <c r="B1538">
        <v>1536</v>
      </c>
      <c r="C1538">
        <v>45</v>
      </c>
      <c r="D1538">
        <v>2.9700005054473877</v>
      </c>
      <c r="E1538" t="s">
        <v>10</v>
      </c>
      <c r="F1538" t="s">
        <v>62</v>
      </c>
      <c r="G1538">
        <v>6.9</v>
      </c>
    </row>
    <row r="1539" spans="1:7" x14ac:dyDescent="0.25">
      <c r="A1539" t="s">
        <v>4</v>
      </c>
      <c r="B1539">
        <v>1537</v>
      </c>
      <c r="C1539">
        <v>8</v>
      </c>
      <c r="D1539">
        <v>10.455227613449097</v>
      </c>
      <c r="E1539" t="s">
        <v>10</v>
      </c>
      <c r="F1539" t="s">
        <v>39</v>
      </c>
      <c r="G1539">
        <v>4.4000000000000004</v>
      </c>
    </row>
    <row r="1540" spans="1:7" x14ac:dyDescent="0.25">
      <c r="A1540" t="s">
        <v>4</v>
      </c>
      <c r="B1540">
        <v>1538</v>
      </c>
      <c r="C1540">
        <v>83</v>
      </c>
      <c r="D1540">
        <v>3.680377721786499</v>
      </c>
      <c r="E1540" t="s">
        <v>10</v>
      </c>
      <c r="F1540" t="s">
        <v>43</v>
      </c>
      <c r="G1540">
        <v>4.7</v>
      </c>
    </row>
    <row r="1541" spans="1:7" x14ac:dyDescent="0.25">
      <c r="A1541" t="s">
        <v>4</v>
      </c>
      <c r="B1541">
        <v>1539</v>
      </c>
      <c r="C1541">
        <v>100</v>
      </c>
      <c r="D1541">
        <v>4.1770682334899902</v>
      </c>
      <c r="E1541" t="s">
        <v>10</v>
      </c>
      <c r="F1541" t="s">
        <v>39</v>
      </c>
      <c r="G1541">
        <v>6.9</v>
      </c>
    </row>
    <row r="1542" spans="1:7" x14ac:dyDescent="0.25">
      <c r="A1542" t="s">
        <v>4</v>
      </c>
      <c r="B1542">
        <v>1540</v>
      </c>
      <c r="C1542">
        <v>88</v>
      </c>
      <c r="D1542">
        <v>2.9608757495880127</v>
      </c>
      <c r="E1542" t="s">
        <v>10</v>
      </c>
      <c r="F1542" t="s">
        <v>39</v>
      </c>
      <c r="G1542">
        <v>6.9</v>
      </c>
    </row>
    <row r="1543" spans="1:7" x14ac:dyDescent="0.25">
      <c r="A1543" t="s">
        <v>4</v>
      </c>
      <c r="B1543">
        <v>1541</v>
      </c>
      <c r="C1543">
        <v>100</v>
      </c>
      <c r="D1543">
        <v>6.5960314273834229</v>
      </c>
      <c r="E1543" t="s">
        <v>10</v>
      </c>
      <c r="F1543" t="s">
        <v>39</v>
      </c>
      <c r="G1543">
        <v>6.9</v>
      </c>
    </row>
    <row r="1544" spans="1:7" x14ac:dyDescent="0.25">
      <c r="A1544" t="s">
        <v>4</v>
      </c>
      <c r="B1544">
        <v>1542</v>
      </c>
      <c r="C1544">
        <v>83</v>
      </c>
      <c r="D1544">
        <v>6.8591768741607666</v>
      </c>
      <c r="E1544" t="s">
        <v>10</v>
      </c>
      <c r="F1544" t="s">
        <v>56</v>
      </c>
      <c r="G1544">
        <v>7.2</v>
      </c>
    </row>
    <row r="1545" spans="1:7" x14ac:dyDescent="0.25">
      <c r="A1545" t="s">
        <v>4</v>
      </c>
      <c r="B1545">
        <v>1543</v>
      </c>
      <c r="C1545">
        <v>21</v>
      </c>
      <c r="D1545">
        <v>13.476962804794312</v>
      </c>
      <c r="E1545" t="s">
        <v>10</v>
      </c>
      <c r="F1545" t="s">
        <v>56</v>
      </c>
      <c r="G1545">
        <v>7.2</v>
      </c>
    </row>
    <row r="1546" spans="1:7" x14ac:dyDescent="0.25">
      <c r="A1546" t="s">
        <v>4</v>
      </c>
      <c r="B1546">
        <v>1544</v>
      </c>
      <c r="C1546">
        <v>74</v>
      </c>
      <c r="D1546">
        <v>3.4135568141937256</v>
      </c>
      <c r="E1546" t="s">
        <v>10</v>
      </c>
      <c r="F1546" t="s">
        <v>56</v>
      </c>
      <c r="G1546">
        <v>7.2</v>
      </c>
    </row>
    <row r="1547" spans="1:7" x14ac:dyDescent="0.25">
      <c r="A1547" t="s">
        <v>4</v>
      </c>
      <c r="B1547">
        <v>1545</v>
      </c>
      <c r="C1547">
        <v>90</v>
      </c>
      <c r="D1547">
        <v>3.0224094390869141</v>
      </c>
      <c r="E1547" t="s">
        <v>10</v>
      </c>
      <c r="F1547" t="s">
        <v>56</v>
      </c>
      <c r="G1547">
        <v>6.2</v>
      </c>
    </row>
    <row r="1548" spans="1:7" x14ac:dyDescent="0.25">
      <c r="A1548" t="s">
        <v>4</v>
      </c>
      <c r="B1548">
        <v>1546</v>
      </c>
      <c r="C1548">
        <v>85</v>
      </c>
      <c r="D1548">
        <v>3.2943534851074219</v>
      </c>
      <c r="E1548" t="s">
        <v>10</v>
      </c>
      <c r="F1548" t="s">
        <v>56</v>
      </c>
      <c r="G1548">
        <v>6.2</v>
      </c>
    </row>
    <row r="1549" spans="1:7" x14ac:dyDescent="0.25">
      <c r="A1549" t="s">
        <v>4</v>
      </c>
      <c r="B1549">
        <v>1547</v>
      </c>
      <c r="C1549">
        <v>32</v>
      </c>
      <c r="D1549">
        <v>5.6530671119689941</v>
      </c>
      <c r="E1549" t="s">
        <v>10</v>
      </c>
      <c r="F1549" t="s">
        <v>56</v>
      </c>
      <c r="G1549">
        <v>6.9</v>
      </c>
    </row>
    <row r="1550" spans="1:7" x14ac:dyDescent="0.25">
      <c r="A1550" t="s">
        <v>4</v>
      </c>
      <c r="B1550">
        <v>1548</v>
      </c>
      <c r="C1550">
        <v>23</v>
      </c>
      <c r="D1550">
        <v>3.4629237651824951</v>
      </c>
      <c r="E1550" t="s">
        <v>10</v>
      </c>
      <c r="F1550" t="s">
        <v>50</v>
      </c>
      <c r="G1550">
        <v>6.2</v>
      </c>
    </row>
    <row r="1551" spans="1:7" x14ac:dyDescent="0.25">
      <c r="A1551" t="s">
        <v>4</v>
      </c>
      <c r="B1551">
        <v>1549</v>
      </c>
      <c r="C1551">
        <v>80</v>
      </c>
      <c r="D1551">
        <v>7.5927205085754395</v>
      </c>
      <c r="E1551" t="s">
        <v>10</v>
      </c>
      <c r="F1551" t="s">
        <v>41</v>
      </c>
      <c r="G1551">
        <v>4.5999999999999996</v>
      </c>
    </row>
    <row r="1552" spans="1:7" x14ac:dyDescent="0.25">
      <c r="A1552" t="s">
        <v>4</v>
      </c>
      <c r="B1552">
        <v>1550</v>
      </c>
      <c r="C1552">
        <v>97</v>
      </c>
      <c r="D1552">
        <v>3.7896463871002197</v>
      </c>
      <c r="E1552" t="s">
        <v>10</v>
      </c>
      <c r="F1552" t="s">
        <v>44</v>
      </c>
      <c r="G1552">
        <v>6.2</v>
      </c>
    </row>
    <row r="1553" spans="1:7" x14ac:dyDescent="0.25">
      <c r="A1553" t="s">
        <v>4</v>
      </c>
      <c r="B1553">
        <v>1551</v>
      </c>
      <c r="C1553">
        <v>83</v>
      </c>
      <c r="D1553">
        <v>5.4157273769378662</v>
      </c>
      <c r="E1553" t="s">
        <v>10</v>
      </c>
      <c r="F1553" t="s">
        <v>55</v>
      </c>
      <c r="G1553">
        <v>6.8</v>
      </c>
    </row>
    <row r="1554" spans="1:7" x14ac:dyDescent="0.25">
      <c r="A1554" t="s">
        <v>4</v>
      </c>
      <c r="B1554">
        <v>1552</v>
      </c>
      <c r="C1554">
        <v>82</v>
      </c>
      <c r="D1554">
        <v>12.540799856185913</v>
      </c>
      <c r="E1554" t="s">
        <v>10</v>
      </c>
      <c r="F1554" t="s">
        <v>55</v>
      </c>
      <c r="G1554">
        <v>6.8</v>
      </c>
    </row>
    <row r="1555" spans="1:7" x14ac:dyDescent="0.25">
      <c r="A1555" t="s">
        <v>4</v>
      </c>
      <c r="B1555">
        <v>1553</v>
      </c>
      <c r="C1555">
        <v>0</v>
      </c>
      <c r="D1555">
        <v>3.0085678100585938</v>
      </c>
      <c r="E1555" t="s">
        <v>10</v>
      </c>
      <c r="F1555" t="s">
        <v>55</v>
      </c>
      <c r="G1555">
        <v>6.8</v>
      </c>
    </row>
    <row r="1556" spans="1:7" x14ac:dyDescent="0.25">
      <c r="A1556" t="s">
        <v>4</v>
      </c>
      <c r="B1556">
        <v>1554</v>
      </c>
      <c r="C1556">
        <v>100</v>
      </c>
      <c r="D1556">
        <v>17.017255306243896</v>
      </c>
      <c r="E1556" t="s">
        <v>10</v>
      </c>
      <c r="F1556" t="s">
        <v>55</v>
      </c>
      <c r="G1556">
        <v>6.8</v>
      </c>
    </row>
    <row r="1557" spans="1:7" x14ac:dyDescent="0.25">
      <c r="A1557" t="s">
        <v>4</v>
      </c>
      <c r="B1557">
        <v>1555</v>
      </c>
      <c r="C1557">
        <v>85</v>
      </c>
      <c r="D1557">
        <v>2.6766951084136963</v>
      </c>
      <c r="E1557" t="s">
        <v>10</v>
      </c>
      <c r="F1557" t="s">
        <v>55</v>
      </c>
      <c r="G1557">
        <v>6.8</v>
      </c>
    </row>
    <row r="1558" spans="1:7" x14ac:dyDescent="0.25">
      <c r="A1558" t="s">
        <v>4</v>
      </c>
      <c r="B1558">
        <v>1556</v>
      </c>
      <c r="C1558">
        <v>12</v>
      </c>
      <c r="D1558">
        <v>17.554764747619629</v>
      </c>
      <c r="E1558" t="s">
        <v>10</v>
      </c>
      <c r="F1558" t="s">
        <v>53</v>
      </c>
      <c r="G1558">
        <v>6.8</v>
      </c>
    </row>
    <row r="1559" spans="1:7" x14ac:dyDescent="0.25">
      <c r="A1559" t="s">
        <v>4</v>
      </c>
      <c r="B1559">
        <v>1557</v>
      </c>
      <c r="C1559">
        <v>100</v>
      </c>
      <c r="D1559">
        <v>7.8626754283905029</v>
      </c>
      <c r="E1559" t="s">
        <v>10</v>
      </c>
      <c r="F1559" t="s">
        <v>41</v>
      </c>
      <c r="G1559">
        <v>4.7</v>
      </c>
    </row>
    <row r="1560" spans="1:7" x14ac:dyDescent="0.25">
      <c r="A1560" t="s">
        <v>4</v>
      </c>
      <c r="B1560">
        <v>1558</v>
      </c>
      <c r="C1560">
        <v>95</v>
      </c>
      <c r="D1560">
        <v>5.2968442440032959</v>
      </c>
      <c r="E1560" t="s">
        <v>10</v>
      </c>
      <c r="F1560" t="s">
        <v>41</v>
      </c>
      <c r="G1560">
        <v>4</v>
      </c>
    </row>
    <row r="1561" spans="1:7" x14ac:dyDescent="0.25">
      <c r="A1561" t="s">
        <v>4</v>
      </c>
      <c r="B1561">
        <v>1559</v>
      </c>
      <c r="C1561">
        <v>87</v>
      </c>
      <c r="D1561">
        <v>6.4762067794799805</v>
      </c>
      <c r="E1561" t="s">
        <v>10</v>
      </c>
      <c r="F1561" t="s">
        <v>49</v>
      </c>
      <c r="G1561">
        <v>6.2</v>
      </c>
    </row>
    <row r="1562" spans="1:7" x14ac:dyDescent="0.25">
      <c r="A1562" t="s">
        <v>4</v>
      </c>
      <c r="B1562">
        <v>1560</v>
      </c>
      <c r="C1562">
        <v>100</v>
      </c>
      <c r="D1562">
        <v>7.2504951953887939</v>
      </c>
      <c r="E1562" t="s">
        <v>10</v>
      </c>
      <c r="F1562" t="s">
        <v>49</v>
      </c>
      <c r="G1562">
        <v>6.2</v>
      </c>
    </row>
    <row r="1563" spans="1:7" x14ac:dyDescent="0.25">
      <c r="A1563" t="s">
        <v>4</v>
      </c>
      <c r="B1563">
        <v>1561</v>
      </c>
      <c r="C1563">
        <v>5</v>
      </c>
      <c r="D1563">
        <v>3.69724440574646</v>
      </c>
      <c r="E1563" t="s">
        <v>10</v>
      </c>
      <c r="F1563" t="s">
        <v>49</v>
      </c>
      <c r="G1563">
        <v>6.2</v>
      </c>
    </row>
    <row r="1564" spans="1:7" x14ac:dyDescent="0.25">
      <c r="A1564" t="s">
        <v>4</v>
      </c>
      <c r="B1564">
        <v>1562</v>
      </c>
      <c r="C1564">
        <v>12</v>
      </c>
      <c r="D1564">
        <v>4.3813779354095459</v>
      </c>
      <c r="E1564" t="s">
        <v>10</v>
      </c>
      <c r="F1564" t="s">
        <v>46</v>
      </c>
      <c r="G1564">
        <v>4</v>
      </c>
    </row>
    <row r="1565" spans="1:7" x14ac:dyDescent="0.25">
      <c r="A1565" t="s">
        <v>4</v>
      </c>
      <c r="B1565">
        <v>1563</v>
      </c>
      <c r="C1565">
        <v>88</v>
      </c>
      <c r="D1565">
        <v>3.914921760559082</v>
      </c>
      <c r="E1565" t="s">
        <v>10</v>
      </c>
      <c r="F1565" t="s">
        <v>50</v>
      </c>
      <c r="G1565">
        <v>6.2</v>
      </c>
    </row>
    <row r="1566" spans="1:7" x14ac:dyDescent="0.25">
      <c r="A1566" t="s">
        <v>4</v>
      </c>
      <c r="B1566">
        <v>1564</v>
      </c>
      <c r="C1566">
        <v>0</v>
      </c>
      <c r="D1566">
        <v>3.0614519119262695</v>
      </c>
      <c r="E1566" t="s">
        <v>10</v>
      </c>
      <c r="F1566" t="s">
        <v>56</v>
      </c>
      <c r="G1566">
        <v>7.2</v>
      </c>
    </row>
    <row r="1567" spans="1:7" x14ac:dyDescent="0.25">
      <c r="A1567" t="s">
        <v>4</v>
      </c>
      <c r="B1567">
        <v>1565</v>
      </c>
      <c r="C1567">
        <v>90</v>
      </c>
      <c r="D1567">
        <v>2.8001184463500977</v>
      </c>
      <c r="E1567" t="s">
        <v>10</v>
      </c>
      <c r="F1567" t="s">
        <v>39</v>
      </c>
      <c r="G1567">
        <v>6.5</v>
      </c>
    </row>
    <row r="1568" spans="1:7" x14ac:dyDescent="0.25">
      <c r="A1568" t="s">
        <v>4</v>
      </c>
      <c r="B1568">
        <v>1566</v>
      </c>
      <c r="C1568">
        <v>89</v>
      </c>
      <c r="D1568">
        <v>5.3469500541687012</v>
      </c>
      <c r="E1568" t="s">
        <v>10</v>
      </c>
      <c r="F1568" t="s">
        <v>41</v>
      </c>
      <c r="G1568">
        <v>3.5</v>
      </c>
    </row>
    <row r="1569" spans="1:7" x14ac:dyDescent="0.25">
      <c r="A1569" t="s">
        <v>4</v>
      </c>
      <c r="B1569">
        <v>1567</v>
      </c>
      <c r="C1569">
        <v>90</v>
      </c>
      <c r="D1569">
        <v>5.1728804111480713</v>
      </c>
      <c r="E1569" t="s">
        <v>10</v>
      </c>
      <c r="F1569" t="s">
        <v>41</v>
      </c>
      <c r="G1569">
        <v>3.5</v>
      </c>
    </row>
    <row r="1570" spans="1:7" x14ac:dyDescent="0.25">
      <c r="A1570" t="s">
        <v>4</v>
      </c>
      <c r="B1570">
        <v>1568</v>
      </c>
      <c r="C1570">
        <v>84</v>
      </c>
      <c r="D1570">
        <v>8.7523567676544189</v>
      </c>
      <c r="E1570" t="s">
        <v>10</v>
      </c>
      <c r="F1570" t="s">
        <v>46</v>
      </c>
      <c r="G1570">
        <v>4</v>
      </c>
    </row>
    <row r="1571" spans="1:7" x14ac:dyDescent="0.25">
      <c r="A1571" t="s">
        <v>4</v>
      </c>
      <c r="B1571">
        <v>1569</v>
      </c>
      <c r="C1571">
        <v>99</v>
      </c>
      <c r="D1571">
        <v>4.7146589756011963</v>
      </c>
      <c r="E1571" t="s">
        <v>10</v>
      </c>
      <c r="F1571" t="s">
        <v>41</v>
      </c>
      <c r="G1571">
        <v>7.1</v>
      </c>
    </row>
    <row r="1572" spans="1:7" x14ac:dyDescent="0.25">
      <c r="A1572" t="s">
        <v>4</v>
      </c>
      <c r="B1572">
        <v>1570</v>
      </c>
      <c r="C1572">
        <v>20</v>
      </c>
      <c r="D1572">
        <v>3.1828341484069824</v>
      </c>
      <c r="E1572" t="s">
        <v>10</v>
      </c>
      <c r="F1572" t="s">
        <v>45</v>
      </c>
      <c r="G1572">
        <v>3.6</v>
      </c>
    </row>
    <row r="1573" spans="1:7" x14ac:dyDescent="0.25">
      <c r="A1573" t="s">
        <v>4</v>
      </c>
      <c r="B1573">
        <v>1571</v>
      </c>
      <c r="C1573">
        <v>87</v>
      </c>
      <c r="D1573">
        <v>4.1496016979217529</v>
      </c>
      <c r="E1573" t="s">
        <v>10</v>
      </c>
      <c r="F1573" t="s">
        <v>56</v>
      </c>
      <c r="G1573">
        <v>6.9</v>
      </c>
    </row>
    <row r="1574" spans="1:7" x14ac:dyDescent="0.25">
      <c r="A1574" t="s">
        <v>4</v>
      </c>
      <c r="B1574">
        <v>1572</v>
      </c>
      <c r="C1574">
        <v>85</v>
      </c>
      <c r="D1574">
        <v>3.6510946750640869</v>
      </c>
      <c r="E1574" t="s">
        <v>10</v>
      </c>
      <c r="F1574" t="s">
        <v>56</v>
      </c>
      <c r="G1574">
        <v>6.9</v>
      </c>
    </row>
    <row r="1575" spans="1:7" x14ac:dyDescent="0.25">
      <c r="A1575" t="s">
        <v>4</v>
      </c>
      <c r="B1575">
        <v>1573</v>
      </c>
      <c r="C1575">
        <v>100</v>
      </c>
      <c r="D1575">
        <v>3.8489348888397217</v>
      </c>
      <c r="E1575" t="s">
        <v>10</v>
      </c>
      <c r="F1575" t="s">
        <v>56</v>
      </c>
      <c r="G1575">
        <v>6.9</v>
      </c>
    </row>
    <row r="1576" spans="1:7" x14ac:dyDescent="0.25">
      <c r="A1576" t="s">
        <v>4</v>
      </c>
      <c r="B1576">
        <v>1574</v>
      </c>
      <c r="C1576">
        <v>85</v>
      </c>
      <c r="D1576">
        <v>4.1201624870300293</v>
      </c>
      <c r="E1576" t="s">
        <v>10</v>
      </c>
      <c r="F1576" t="s">
        <v>56</v>
      </c>
      <c r="G1576">
        <v>6.9</v>
      </c>
    </row>
    <row r="1577" spans="1:7" x14ac:dyDescent="0.25">
      <c r="A1577" t="s">
        <v>4</v>
      </c>
      <c r="B1577">
        <v>1575</v>
      </c>
      <c r="C1577">
        <v>4</v>
      </c>
      <c r="D1577">
        <v>3.652839183807373</v>
      </c>
      <c r="E1577" t="s">
        <v>10</v>
      </c>
      <c r="F1577" t="s">
        <v>56</v>
      </c>
      <c r="G1577">
        <v>6.9</v>
      </c>
    </row>
    <row r="1578" spans="1:7" x14ac:dyDescent="0.25">
      <c r="A1578" t="s">
        <v>4</v>
      </c>
      <c r="B1578">
        <v>1576</v>
      </c>
      <c r="C1578">
        <v>87</v>
      </c>
      <c r="D1578">
        <v>5.3216643333435059</v>
      </c>
      <c r="E1578" t="s">
        <v>10</v>
      </c>
      <c r="F1578" t="s">
        <v>43</v>
      </c>
      <c r="G1578">
        <v>1.9</v>
      </c>
    </row>
    <row r="1579" spans="1:7" x14ac:dyDescent="0.25">
      <c r="A1579" t="s">
        <v>4</v>
      </c>
      <c r="B1579">
        <v>1577</v>
      </c>
      <c r="C1579">
        <v>80</v>
      </c>
      <c r="D1579">
        <v>3.8161704540252686</v>
      </c>
      <c r="E1579" t="s">
        <v>10</v>
      </c>
      <c r="F1579" t="s">
        <v>41</v>
      </c>
      <c r="G1579">
        <v>6.2</v>
      </c>
    </row>
    <row r="1580" spans="1:7" x14ac:dyDescent="0.25">
      <c r="A1580" t="s">
        <v>4</v>
      </c>
      <c r="B1580">
        <v>1578</v>
      </c>
      <c r="C1580">
        <v>12</v>
      </c>
      <c r="D1580">
        <v>3.9477593898773193</v>
      </c>
      <c r="E1580" t="s">
        <v>10</v>
      </c>
      <c r="F1580" t="s">
        <v>13</v>
      </c>
      <c r="G1580">
        <v>6.5</v>
      </c>
    </row>
    <row r="1581" spans="1:7" x14ac:dyDescent="0.25">
      <c r="A1581" t="s">
        <v>4</v>
      </c>
      <c r="B1581">
        <v>1579</v>
      </c>
      <c r="C1581">
        <v>84</v>
      </c>
      <c r="D1581">
        <v>9.3154690265655518</v>
      </c>
      <c r="E1581" t="s">
        <v>10</v>
      </c>
      <c r="F1581" t="s">
        <v>46</v>
      </c>
      <c r="G1581">
        <v>6.6</v>
      </c>
    </row>
    <row r="1582" spans="1:7" x14ac:dyDescent="0.25">
      <c r="A1582" t="s">
        <v>4</v>
      </c>
      <c r="B1582">
        <v>1580</v>
      </c>
      <c r="C1582">
        <v>42</v>
      </c>
      <c r="D1582">
        <v>4.913135290145874</v>
      </c>
      <c r="E1582" t="s">
        <v>10</v>
      </c>
      <c r="F1582" t="s">
        <v>41</v>
      </c>
      <c r="G1582">
        <v>4.9000000000000004</v>
      </c>
    </row>
    <row r="1583" spans="1:7" x14ac:dyDescent="0.25">
      <c r="A1583" t="s">
        <v>4</v>
      </c>
      <c r="B1583">
        <v>1581</v>
      </c>
      <c r="C1583">
        <v>89</v>
      </c>
      <c r="D1583">
        <v>5.3805034160614014</v>
      </c>
      <c r="E1583" t="s">
        <v>10</v>
      </c>
      <c r="F1583" t="s">
        <v>41</v>
      </c>
      <c r="G1583">
        <v>4.3</v>
      </c>
    </row>
    <row r="1584" spans="1:7" x14ac:dyDescent="0.25">
      <c r="A1584" t="s">
        <v>4</v>
      </c>
      <c r="B1584">
        <v>1582</v>
      </c>
      <c r="C1584">
        <v>97</v>
      </c>
      <c r="D1584">
        <v>4.7857298851013184</v>
      </c>
      <c r="E1584" t="s">
        <v>10</v>
      </c>
      <c r="F1584" t="s">
        <v>41</v>
      </c>
      <c r="G1584">
        <v>4.3</v>
      </c>
    </row>
    <row r="1585" spans="1:7" x14ac:dyDescent="0.25">
      <c r="A1585" t="s">
        <v>4</v>
      </c>
      <c r="B1585">
        <v>1583</v>
      </c>
      <c r="C1585">
        <v>0</v>
      </c>
      <c r="D1585">
        <v>4.0626635551452637</v>
      </c>
      <c r="E1585" t="s">
        <v>10</v>
      </c>
      <c r="F1585" t="s">
        <v>41</v>
      </c>
      <c r="G1585">
        <v>4.3</v>
      </c>
    </row>
    <row r="1586" spans="1:7" x14ac:dyDescent="0.25">
      <c r="A1586" t="s">
        <v>4</v>
      </c>
      <c r="B1586">
        <v>1584</v>
      </c>
      <c r="C1586">
        <v>15</v>
      </c>
      <c r="D1586">
        <v>9.6638877391815186</v>
      </c>
      <c r="E1586" t="s">
        <v>10</v>
      </c>
      <c r="F1586" t="s">
        <v>41</v>
      </c>
      <c r="G1586">
        <v>4.3</v>
      </c>
    </row>
    <row r="1587" spans="1:7" x14ac:dyDescent="0.25">
      <c r="A1587" t="s">
        <v>4</v>
      </c>
      <c r="B1587">
        <v>1585</v>
      </c>
      <c r="C1587">
        <v>90</v>
      </c>
      <c r="D1587">
        <v>5.8213381767272949</v>
      </c>
      <c r="E1587" t="s">
        <v>10</v>
      </c>
      <c r="F1587" t="s">
        <v>41</v>
      </c>
      <c r="G1587">
        <v>4.3</v>
      </c>
    </row>
    <row r="1588" spans="1:7" x14ac:dyDescent="0.25">
      <c r="A1588" t="s">
        <v>4</v>
      </c>
      <c r="B1588">
        <v>1586</v>
      </c>
      <c r="C1588">
        <v>80</v>
      </c>
      <c r="D1588">
        <v>5.145662784576416</v>
      </c>
      <c r="E1588" t="s">
        <v>10</v>
      </c>
      <c r="F1588" t="s">
        <v>41</v>
      </c>
      <c r="G1588">
        <v>4.3</v>
      </c>
    </row>
    <row r="1589" spans="1:7" x14ac:dyDescent="0.25">
      <c r="A1589" t="s">
        <v>4</v>
      </c>
      <c r="B1589">
        <v>1587</v>
      </c>
      <c r="C1589">
        <v>100</v>
      </c>
      <c r="D1589">
        <v>3.8639824390411377</v>
      </c>
      <c r="E1589" t="s">
        <v>10</v>
      </c>
      <c r="F1589" t="s">
        <v>41</v>
      </c>
      <c r="G1589">
        <v>4.3</v>
      </c>
    </row>
    <row r="1590" spans="1:7" x14ac:dyDescent="0.25">
      <c r="A1590" t="s">
        <v>4</v>
      </c>
      <c r="B1590">
        <v>1588</v>
      </c>
      <c r="C1590">
        <v>83</v>
      </c>
      <c r="D1590">
        <v>10.098160266876221</v>
      </c>
      <c r="E1590" t="s">
        <v>10</v>
      </c>
      <c r="F1590" t="s">
        <v>41</v>
      </c>
      <c r="G1590">
        <v>4.3</v>
      </c>
    </row>
    <row r="1591" spans="1:7" x14ac:dyDescent="0.25">
      <c r="A1591" t="s">
        <v>4</v>
      </c>
      <c r="B1591">
        <v>1589</v>
      </c>
      <c r="C1591">
        <v>80</v>
      </c>
      <c r="D1591">
        <v>5.6736176013946533</v>
      </c>
      <c r="E1591" t="s">
        <v>10</v>
      </c>
      <c r="F1591" t="s">
        <v>41</v>
      </c>
      <c r="G1591">
        <v>4.3</v>
      </c>
    </row>
    <row r="1592" spans="1:7" x14ac:dyDescent="0.25">
      <c r="A1592" t="s">
        <v>4</v>
      </c>
      <c r="B1592">
        <v>1590</v>
      </c>
      <c r="C1592">
        <v>70</v>
      </c>
      <c r="D1592">
        <v>2.8746001720428467</v>
      </c>
      <c r="E1592" t="s">
        <v>10</v>
      </c>
      <c r="F1592" t="s">
        <v>41</v>
      </c>
      <c r="G1592">
        <v>4.3</v>
      </c>
    </row>
    <row r="1593" spans="1:7" x14ac:dyDescent="0.25">
      <c r="A1593" t="s">
        <v>4</v>
      </c>
      <c r="B1593">
        <v>1591</v>
      </c>
      <c r="C1593">
        <v>70</v>
      </c>
      <c r="D1593">
        <v>3.7726938724517822</v>
      </c>
      <c r="E1593" t="s">
        <v>10</v>
      </c>
      <c r="F1593" t="s">
        <v>41</v>
      </c>
      <c r="G1593">
        <v>4.3</v>
      </c>
    </row>
    <row r="1594" spans="1:7" x14ac:dyDescent="0.25">
      <c r="A1594" t="s">
        <v>4</v>
      </c>
      <c r="B1594">
        <v>1592</v>
      </c>
      <c r="C1594">
        <v>67</v>
      </c>
      <c r="D1594">
        <v>8.7484531402587891</v>
      </c>
      <c r="E1594" t="s">
        <v>10</v>
      </c>
      <c r="F1594" t="s">
        <v>41</v>
      </c>
      <c r="G1594">
        <v>4.3</v>
      </c>
    </row>
    <row r="1595" spans="1:7" x14ac:dyDescent="0.25">
      <c r="A1595" t="s">
        <v>4</v>
      </c>
      <c r="B1595">
        <v>1593</v>
      </c>
      <c r="C1595">
        <v>90</v>
      </c>
      <c r="D1595">
        <v>2.6788687705993652</v>
      </c>
      <c r="E1595" t="s">
        <v>10</v>
      </c>
      <c r="F1595" t="s">
        <v>41</v>
      </c>
      <c r="G1595">
        <v>4.3</v>
      </c>
    </row>
    <row r="1596" spans="1:7" x14ac:dyDescent="0.25">
      <c r="A1596" t="s">
        <v>4</v>
      </c>
      <c r="B1596">
        <v>1594</v>
      </c>
      <c r="C1596">
        <v>83</v>
      </c>
      <c r="D1596">
        <v>4.5666680335998535</v>
      </c>
      <c r="E1596" t="s">
        <v>10</v>
      </c>
      <c r="F1596" t="s">
        <v>41</v>
      </c>
      <c r="G1596">
        <v>4.3</v>
      </c>
    </row>
    <row r="1597" spans="1:7" x14ac:dyDescent="0.25">
      <c r="A1597" t="s">
        <v>4</v>
      </c>
      <c r="B1597">
        <v>1595</v>
      </c>
      <c r="C1597">
        <v>20</v>
      </c>
      <c r="D1597">
        <v>4.6456718444824219</v>
      </c>
      <c r="E1597" t="s">
        <v>10</v>
      </c>
      <c r="F1597" t="s">
        <v>41</v>
      </c>
      <c r="G1597">
        <v>4.3</v>
      </c>
    </row>
    <row r="1598" spans="1:7" x14ac:dyDescent="0.25">
      <c r="A1598" t="s">
        <v>4</v>
      </c>
      <c r="B1598">
        <v>1596</v>
      </c>
      <c r="C1598">
        <v>90</v>
      </c>
      <c r="D1598">
        <v>3.9310741424560547</v>
      </c>
      <c r="E1598" t="s">
        <v>10</v>
      </c>
      <c r="F1598" t="s">
        <v>41</v>
      </c>
      <c r="G1598">
        <v>4.3</v>
      </c>
    </row>
    <row r="1599" spans="1:7" x14ac:dyDescent="0.25">
      <c r="A1599" t="s">
        <v>4</v>
      </c>
      <c r="B1599">
        <v>1597</v>
      </c>
      <c r="C1599">
        <v>70</v>
      </c>
      <c r="D1599">
        <v>3.8291687965393066</v>
      </c>
      <c r="E1599" t="s">
        <v>10</v>
      </c>
      <c r="F1599" t="s">
        <v>41</v>
      </c>
      <c r="G1599">
        <v>4.3</v>
      </c>
    </row>
    <row r="1600" spans="1:7" x14ac:dyDescent="0.25">
      <c r="A1600" t="s">
        <v>4</v>
      </c>
      <c r="B1600">
        <v>1598</v>
      </c>
      <c r="C1600">
        <v>85</v>
      </c>
      <c r="D1600">
        <v>4.819305419921875</v>
      </c>
      <c r="E1600" t="s">
        <v>10</v>
      </c>
      <c r="F1600" t="s">
        <v>41</v>
      </c>
      <c r="G1600">
        <v>4.3</v>
      </c>
    </row>
    <row r="1601" spans="1:7" x14ac:dyDescent="0.25">
      <c r="A1601" t="s">
        <v>4</v>
      </c>
      <c r="B1601">
        <v>1599</v>
      </c>
      <c r="C1601">
        <v>90</v>
      </c>
      <c r="D1601">
        <v>3.5017917156219482</v>
      </c>
      <c r="E1601" t="s">
        <v>10</v>
      </c>
      <c r="F1601" t="s">
        <v>41</v>
      </c>
      <c r="G1601">
        <v>4.3</v>
      </c>
    </row>
    <row r="1602" spans="1:7" x14ac:dyDescent="0.25">
      <c r="A1602" t="s">
        <v>4</v>
      </c>
      <c r="B1602">
        <v>1600</v>
      </c>
      <c r="C1602">
        <v>85</v>
      </c>
      <c r="D1602">
        <v>2.832334041595459</v>
      </c>
      <c r="E1602" t="s">
        <v>10</v>
      </c>
      <c r="F1602" t="s">
        <v>41</v>
      </c>
      <c r="G1602">
        <v>4.3</v>
      </c>
    </row>
    <row r="1603" spans="1:7" x14ac:dyDescent="0.25">
      <c r="A1603" t="s">
        <v>4</v>
      </c>
      <c r="B1603">
        <v>1601</v>
      </c>
      <c r="C1603">
        <v>80</v>
      </c>
      <c r="D1603">
        <v>5.5590956211090088</v>
      </c>
      <c r="E1603" t="s">
        <v>10</v>
      </c>
      <c r="F1603" t="s">
        <v>41</v>
      </c>
      <c r="G1603">
        <v>4.3</v>
      </c>
    </row>
    <row r="1604" spans="1:7" x14ac:dyDescent="0.25">
      <c r="A1604" t="s">
        <v>4</v>
      </c>
      <c r="B1604">
        <v>1602</v>
      </c>
      <c r="C1604">
        <v>87</v>
      </c>
      <c r="D1604">
        <v>3.0227587223052979</v>
      </c>
      <c r="E1604" t="s">
        <v>10</v>
      </c>
      <c r="F1604" t="s">
        <v>45</v>
      </c>
      <c r="G1604">
        <v>6.2</v>
      </c>
    </row>
    <row r="1605" spans="1:7" x14ac:dyDescent="0.25">
      <c r="A1605" t="s">
        <v>4</v>
      </c>
      <c r="B1605">
        <v>1603</v>
      </c>
      <c r="C1605">
        <v>100</v>
      </c>
      <c r="D1605">
        <v>3.9816675186157227</v>
      </c>
      <c r="E1605" t="s">
        <v>10</v>
      </c>
      <c r="F1605" t="s">
        <v>41</v>
      </c>
      <c r="G1605">
        <v>5.2</v>
      </c>
    </row>
    <row r="1606" spans="1:7" x14ac:dyDescent="0.25">
      <c r="A1606" t="s">
        <v>4</v>
      </c>
      <c r="B1606">
        <v>1604</v>
      </c>
      <c r="C1606">
        <v>76</v>
      </c>
      <c r="D1606">
        <v>4.0330708026885986</v>
      </c>
      <c r="E1606" t="s">
        <v>10</v>
      </c>
      <c r="F1606" t="s">
        <v>41</v>
      </c>
      <c r="G1606">
        <v>5.2</v>
      </c>
    </row>
    <row r="1607" spans="1:7" x14ac:dyDescent="0.25">
      <c r="A1607" t="s">
        <v>4</v>
      </c>
      <c r="B1607">
        <v>1605</v>
      </c>
      <c r="C1607">
        <v>78</v>
      </c>
      <c r="D1607">
        <v>5.6640152931213379</v>
      </c>
      <c r="E1607" t="s">
        <v>10</v>
      </c>
      <c r="F1607" t="s">
        <v>41</v>
      </c>
      <c r="G1607">
        <v>5.2</v>
      </c>
    </row>
    <row r="1608" spans="1:7" x14ac:dyDescent="0.25">
      <c r="A1608" t="s">
        <v>4</v>
      </c>
      <c r="B1608">
        <v>1606</v>
      </c>
      <c r="C1608">
        <v>48</v>
      </c>
      <c r="D1608">
        <v>6.1691663265228271</v>
      </c>
      <c r="E1608" t="s">
        <v>10</v>
      </c>
      <c r="F1608" t="s">
        <v>41</v>
      </c>
      <c r="G1608">
        <v>5.2</v>
      </c>
    </row>
    <row r="1609" spans="1:7" x14ac:dyDescent="0.25">
      <c r="A1609" t="s">
        <v>4</v>
      </c>
      <c r="B1609">
        <v>1607</v>
      </c>
      <c r="C1609">
        <v>80</v>
      </c>
      <c r="D1609">
        <v>3.4558782577514648</v>
      </c>
      <c r="E1609" t="s">
        <v>10</v>
      </c>
      <c r="F1609" t="s">
        <v>41</v>
      </c>
      <c r="G1609">
        <v>5.2</v>
      </c>
    </row>
    <row r="1610" spans="1:7" x14ac:dyDescent="0.25">
      <c r="A1610" t="s">
        <v>4</v>
      </c>
      <c r="B1610">
        <v>1608</v>
      </c>
      <c r="C1610">
        <v>57</v>
      </c>
      <c r="D1610">
        <v>4.3571231365203857</v>
      </c>
      <c r="E1610" t="s">
        <v>10</v>
      </c>
      <c r="F1610" t="s">
        <v>41</v>
      </c>
      <c r="G1610">
        <v>5.2</v>
      </c>
    </row>
    <row r="1611" spans="1:7" x14ac:dyDescent="0.25">
      <c r="A1611" t="s">
        <v>4</v>
      </c>
      <c r="B1611">
        <v>1609</v>
      </c>
      <c r="C1611">
        <v>83</v>
      </c>
      <c r="D1611">
        <v>3.7817127704620361</v>
      </c>
      <c r="E1611" t="s">
        <v>10</v>
      </c>
      <c r="F1611" t="s">
        <v>41</v>
      </c>
      <c r="G1611">
        <v>5.2</v>
      </c>
    </row>
    <row r="1612" spans="1:7" x14ac:dyDescent="0.25">
      <c r="A1612" t="s">
        <v>4</v>
      </c>
      <c r="B1612">
        <v>1610</v>
      </c>
      <c r="C1612">
        <v>90</v>
      </c>
      <c r="D1612">
        <v>3.5686500072479248</v>
      </c>
      <c r="E1612" t="s">
        <v>10</v>
      </c>
      <c r="F1612" t="s">
        <v>41</v>
      </c>
      <c r="G1612">
        <v>5.2</v>
      </c>
    </row>
    <row r="1613" spans="1:7" x14ac:dyDescent="0.25">
      <c r="A1613" t="s">
        <v>4</v>
      </c>
      <c r="B1613">
        <v>1611</v>
      </c>
      <c r="C1613">
        <v>20</v>
      </c>
      <c r="D1613">
        <v>12.331222057342529</v>
      </c>
      <c r="E1613" t="s">
        <v>10</v>
      </c>
      <c r="F1613" t="s">
        <v>41</v>
      </c>
      <c r="G1613">
        <v>5.2</v>
      </c>
    </row>
    <row r="1614" spans="1:7" x14ac:dyDescent="0.25">
      <c r="A1614" t="s">
        <v>4</v>
      </c>
      <c r="B1614">
        <v>1612</v>
      </c>
      <c r="C1614">
        <v>25</v>
      </c>
      <c r="D1614">
        <v>2.861652135848999</v>
      </c>
      <c r="E1614" t="s">
        <v>10</v>
      </c>
      <c r="F1614" t="s">
        <v>46</v>
      </c>
      <c r="G1614">
        <v>5</v>
      </c>
    </row>
    <row r="1615" spans="1:7" x14ac:dyDescent="0.25">
      <c r="A1615" t="s">
        <v>4</v>
      </c>
      <c r="B1615">
        <v>1613</v>
      </c>
      <c r="C1615">
        <v>100</v>
      </c>
      <c r="D1615">
        <v>4.4252867698669434</v>
      </c>
      <c r="E1615" t="s">
        <v>10</v>
      </c>
      <c r="F1615" t="s">
        <v>43</v>
      </c>
      <c r="G1615">
        <v>1.9</v>
      </c>
    </row>
    <row r="1616" spans="1:7" x14ac:dyDescent="0.25">
      <c r="A1616" t="s">
        <v>4</v>
      </c>
      <c r="B1616">
        <v>1614</v>
      </c>
      <c r="C1616">
        <v>100</v>
      </c>
      <c r="D1616">
        <v>3.9268579483032227</v>
      </c>
      <c r="E1616" t="s">
        <v>10</v>
      </c>
      <c r="F1616" t="s">
        <v>43</v>
      </c>
      <c r="G1616">
        <v>1.9</v>
      </c>
    </row>
    <row r="1617" spans="1:7" x14ac:dyDescent="0.25">
      <c r="A1617" t="s">
        <v>4</v>
      </c>
      <c r="B1617">
        <v>1615</v>
      </c>
      <c r="C1617">
        <v>88</v>
      </c>
      <c r="D1617">
        <v>12.248985052108765</v>
      </c>
      <c r="E1617" t="s">
        <v>10</v>
      </c>
      <c r="F1617" t="s">
        <v>43</v>
      </c>
      <c r="G1617">
        <v>1.9</v>
      </c>
    </row>
    <row r="1618" spans="1:7" x14ac:dyDescent="0.25">
      <c r="A1618" t="s">
        <v>4</v>
      </c>
      <c r="B1618">
        <v>1616</v>
      </c>
      <c r="C1618">
        <v>100</v>
      </c>
      <c r="D1618">
        <v>4.7664566040039063</v>
      </c>
      <c r="E1618" t="s">
        <v>10</v>
      </c>
      <c r="F1618" t="s">
        <v>43</v>
      </c>
      <c r="G1618">
        <v>1.9</v>
      </c>
    </row>
    <row r="1619" spans="1:7" x14ac:dyDescent="0.25">
      <c r="A1619" t="s">
        <v>4</v>
      </c>
      <c r="B1619">
        <v>1617</v>
      </c>
      <c r="C1619">
        <v>80</v>
      </c>
      <c r="D1619">
        <v>3.1453168392181396</v>
      </c>
      <c r="E1619" t="s">
        <v>10</v>
      </c>
      <c r="F1619" t="s">
        <v>43</v>
      </c>
      <c r="G1619">
        <v>1.9</v>
      </c>
    </row>
    <row r="1620" spans="1:7" x14ac:dyDescent="0.25">
      <c r="A1620" t="s">
        <v>4</v>
      </c>
      <c r="B1620">
        <v>1618</v>
      </c>
      <c r="C1620">
        <v>84</v>
      </c>
      <c r="D1620">
        <v>4.7276480197906494</v>
      </c>
      <c r="E1620" t="s">
        <v>10</v>
      </c>
      <c r="F1620" t="s">
        <v>43</v>
      </c>
      <c r="G1620">
        <v>1.9</v>
      </c>
    </row>
    <row r="1621" spans="1:7" x14ac:dyDescent="0.25">
      <c r="A1621" t="s">
        <v>4</v>
      </c>
      <c r="B1621">
        <v>1619</v>
      </c>
      <c r="C1621">
        <v>83</v>
      </c>
      <c r="D1621">
        <v>4.2643611431121826</v>
      </c>
      <c r="E1621" t="s">
        <v>10</v>
      </c>
      <c r="F1621" t="s">
        <v>43</v>
      </c>
      <c r="G1621">
        <v>1.9</v>
      </c>
    </row>
    <row r="1622" spans="1:7" x14ac:dyDescent="0.25">
      <c r="A1622" t="s">
        <v>4</v>
      </c>
      <c r="B1622">
        <v>1620</v>
      </c>
      <c r="C1622">
        <v>20</v>
      </c>
      <c r="D1622">
        <v>4.5746169090270996</v>
      </c>
      <c r="E1622" t="s">
        <v>10</v>
      </c>
      <c r="F1622" t="s">
        <v>43</v>
      </c>
      <c r="G1622">
        <v>1.9</v>
      </c>
    </row>
    <row r="1623" spans="1:7" x14ac:dyDescent="0.25">
      <c r="A1623" t="s">
        <v>4</v>
      </c>
      <c r="B1623">
        <v>1621</v>
      </c>
      <c r="C1623">
        <v>89</v>
      </c>
      <c r="D1623">
        <v>4.10398268699646</v>
      </c>
      <c r="E1623" t="s">
        <v>10</v>
      </c>
      <c r="F1623" t="s">
        <v>43</v>
      </c>
      <c r="G1623">
        <v>1.9</v>
      </c>
    </row>
    <row r="1624" spans="1:7" x14ac:dyDescent="0.25">
      <c r="A1624" t="s">
        <v>4</v>
      </c>
      <c r="B1624">
        <v>1622</v>
      </c>
      <c r="C1624">
        <v>0</v>
      </c>
      <c r="D1624">
        <v>10.129491567611694</v>
      </c>
      <c r="E1624" t="s">
        <v>10</v>
      </c>
      <c r="F1624" t="s">
        <v>43</v>
      </c>
      <c r="G1624">
        <v>1.9</v>
      </c>
    </row>
    <row r="1625" spans="1:7" x14ac:dyDescent="0.25">
      <c r="A1625" t="s">
        <v>4</v>
      </c>
      <c r="B1625">
        <v>1623</v>
      </c>
      <c r="C1625">
        <v>100</v>
      </c>
      <c r="D1625">
        <v>5.9671046733856201</v>
      </c>
      <c r="E1625" t="s">
        <v>10</v>
      </c>
      <c r="F1625" t="s">
        <v>43</v>
      </c>
      <c r="G1625">
        <v>1.9</v>
      </c>
    </row>
    <row r="1626" spans="1:7" x14ac:dyDescent="0.25">
      <c r="A1626" t="s">
        <v>4</v>
      </c>
      <c r="B1626">
        <v>1624</v>
      </c>
      <c r="C1626">
        <v>97</v>
      </c>
      <c r="D1626">
        <v>3.2558495998382568</v>
      </c>
      <c r="E1626" t="s">
        <v>10</v>
      </c>
      <c r="F1626" t="s">
        <v>43</v>
      </c>
      <c r="G1626">
        <v>1.9</v>
      </c>
    </row>
    <row r="1627" spans="1:7" x14ac:dyDescent="0.25">
      <c r="A1627" t="s">
        <v>4</v>
      </c>
      <c r="B1627">
        <v>1625</v>
      </c>
      <c r="C1627">
        <v>25</v>
      </c>
      <c r="D1627">
        <v>3.5238385200500488</v>
      </c>
      <c r="E1627" t="s">
        <v>10</v>
      </c>
      <c r="F1627" t="s">
        <v>43</v>
      </c>
      <c r="G1627">
        <v>1.9</v>
      </c>
    </row>
    <row r="1628" spans="1:7" x14ac:dyDescent="0.25">
      <c r="A1628" t="s">
        <v>4</v>
      </c>
      <c r="B1628">
        <v>1626</v>
      </c>
      <c r="C1628">
        <v>73</v>
      </c>
      <c r="D1628">
        <v>3.1130576133728027</v>
      </c>
      <c r="E1628" t="s">
        <v>10</v>
      </c>
      <c r="F1628" t="s">
        <v>43</v>
      </c>
      <c r="G1628">
        <v>2.1</v>
      </c>
    </row>
    <row r="1629" spans="1:7" x14ac:dyDescent="0.25">
      <c r="A1629" t="s">
        <v>4</v>
      </c>
      <c r="B1629">
        <v>1627</v>
      </c>
      <c r="C1629">
        <v>84</v>
      </c>
      <c r="D1629">
        <v>3.3191354274749756</v>
      </c>
      <c r="E1629" t="s">
        <v>10</v>
      </c>
      <c r="F1629" t="s">
        <v>43</v>
      </c>
      <c r="G1629">
        <v>2.1</v>
      </c>
    </row>
    <row r="1630" spans="1:7" x14ac:dyDescent="0.25">
      <c r="A1630" t="s">
        <v>4</v>
      </c>
      <c r="B1630">
        <v>1628</v>
      </c>
      <c r="C1630">
        <v>64</v>
      </c>
      <c r="D1630">
        <v>2.9949333667755127</v>
      </c>
      <c r="E1630" t="s">
        <v>10</v>
      </c>
      <c r="F1630" t="s">
        <v>43</v>
      </c>
      <c r="G1630">
        <v>2.1</v>
      </c>
    </row>
    <row r="1631" spans="1:7" x14ac:dyDescent="0.25">
      <c r="A1631" t="s">
        <v>4</v>
      </c>
      <c r="B1631">
        <v>1629</v>
      </c>
      <c r="C1631">
        <v>100</v>
      </c>
      <c r="D1631">
        <v>5.6141388416290283</v>
      </c>
      <c r="E1631" t="s">
        <v>10</v>
      </c>
      <c r="F1631" t="s">
        <v>41</v>
      </c>
      <c r="G1631">
        <v>4</v>
      </c>
    </row>
    <row r="1632" spans="1:7" x14ac:dyDescent="0.25">
      <c r="A1632" t="s">
        <v>4</v>
      </c>
      <c r="B1632">
        <v>1630</v>
      </c>
      <c r="C1632">
        <v>48</v>
      </c>
      <c r="D1632">
        <v>14.078678846359253</v>
      </c>
      <c r="E1632" t="s">
        <v>10</v>
      </c>
      <c r="F1632" t="s">
        <v>41</v>
      </c>
      <c r="G1632">
        <v>4</v>
      </c>
    </row>
    <row r="1633" spans="1:7" x14ac:dyDescent="0.25">
      <c r="A1633" t="s">
        <v>4</v>
      </c>
      <c r="B1633">
        <v>1631</v>
      </c>
      <c r="C1633">
        <v>83</v>
      </c>
      <c r="D1633">
        <v>5.185460090637207</v>
      </c>
      <c r="E1633" t="s">
        <v>10</v>
      </c>
      <c r="F1633" t="s">
        <v>41</v>
      </c>
      <c r="G1633">
        <v>4</v>
      </c>
    </row>
    <row r="1634" spans="1:7" x14ac:dyDescent="0.25">
      <c r="A1634" t="s">
        <v>4</v>
      </c>
      <c r="B1634">
        <v>1632</v>
      </c>
      <c r="C1634">
        <v>80</v>
      </c>
      <c r="D1634">
        <v>15.621037006378174</v>
      </c>
      <c r="E1634" t="s">
        <v>10</v>
      </c>
      <c r="F1634" t="s">
        <v>41</v>
      </c>
      <c r="G1634">
        <v>4</v>
      </c>
    </row>
    <row r="1635" spans="1:7" x14ac:dyDescent="0.25">
      <c r="A1635" t="s">
        <v>4</v>
      </c>
      <c r="B1635">
        <v>1633</v>
      </c>
      <c r="C1635">
        <v>100</v>
      </c>
      <c r="D1635">
        <v>7.0512773990631104</v>
      </c>
      <c r="E1635" t="s">
        <v>10</v>
      </c>
      <c r="F1635" t="s">
        <v>43</v>
      </c>
      <c r="G1635">
        <v>2.1</v>
      </c>
    </row>
    <row r="1636" spans="1:7" x14ac:dyDescent="0.25">
      <c r="A1636" t="s">
        <v>4</v>
      </c>
      <c r="B1636">
        <v>1634</v>
      </c>
      <c r="C1636">
        <v>83</v>
      </c>
      <c r="D1636">
        <v>8.2176332473754883</v>
      </c>
      <c r="E1636" t="s">
        <v>10</v>
      </c>
      <c r="F1636" t="s">
        <v>43</v>
      </c>
      <c r="G1636">
        <v>2.1</v>
      </c>
    </row>
    <row r="1637" spans="1:7" x14ac:dyDescent="0.25">
      <c r="A1637" t="s">
        <v>4</v>
      </c>
      <c r="B1637">
        <v>1635</v>
      </c>
      <c r="C1637">
        <v>70</v>
      </c>
      <c r="D1637">
        <v>3.1740052700042725</v>
      </c>
      <c r="E1637" t="s">
        <v>10</v>
      </c>
      <c r="F1637" t="s">
        <v>43</v>
      </c>
      <c r="G1637">
        <v>2.1</v>
      </c>
    </row>
    <row r="1638" spans="1:7" x14ac:dyDescent="0.25">
      <c r="A1638" t="s">
        <v>4</v>
      </c>
      <c r="B1638">
        <v>1636</v>
      </c>
      <c r="C1638">
        <v>78</v>
      </c>
      <c r="D1638">
        <v>4.5910091400146484</v>
      </c>
      <c r="E1638" t="s">
        <v>10</v>
      </c>
      <c r="F1638" t="s">
        <v>39</v>
      </c>
      <c r="G1638">
        <v>5</v>
      </c>
    </row>
    <row r="1639" spans="1:7" x14ac:dyDescent="0.25">
      <c r="A1639" t="s">
        <v>4</v>
      </c>
      <c r="B1639">
        <v>1637</v>
      </c>
      <c r="C1639">
        <v>20</v>
      </c>
      <c r="D1639">
        <v>4.4925644397735596</v>
      </c>
      <c r="E1639" t="s">
        <v>10</v>
      </c>
      <c r="F1639" t="s">
        <v>39</v>
      </c>
      <c r="G1639">
        <v>5</v>
      </c>
    </row>
    <row r="1640" spans="1:7" x14ac:dyDescent="0.25">
      <c r="A1640" t="s">
        <v>4</v>
      </c>
      <c r="B1640">
        <v>1638</v>
      </c>
      <c r="C1640">
        <v>79</v>
      </c>
      <c r="D1640">
        <v>4.176516056060791</v>
      </c>
      <c r="E1640" t="s">
        <v>10</v>
      </c>
      <c r="F1640" t="s">
        <v>39</v>
      </c>
      <c r="G1640">
        <v>5</v>
      </c>
    </row>
    <row r="1641" spans="1:7" x14ac:dyDescent="0.25">
      <c r="A1641" t="s">
        <v>4</v>
      </c>
      <c r="B1641">
        <v>1639</v>
      </c>
      <c r="C1641">
        <v>57</v>
      </c>
      <c r="D1641">
        <v>4.1143229007720947</v>
      </c>
      <c r="E1641" t="s">
        <v>10</v>
      </c>
      <c r="F1641" t="s">
        <v>39</v>
      </c>
      <c r="G1641">
        <v>5</v>
      </c>
    </row>
    <row r="1642" spans="1:7" x14ac:dyDescent="0.25">
      <c r="A1642" t="s">
        <v>4</v>
      </c>
      <c r="B1642">
        <v>1640</v>
      </c>
      <c r="C1642">
        <v>5</v>
      </c>
      <c r="D1642">
        <v>7.5919160842895508</v>
      </c>
      <c r="E1642" t="s">
        <v>10</v>
      </c>
      <c r="F1642" t="s">
        <v>46</v>
      </c>
      <c r="G1642">
        <v>5.2</v>
      </c>
    </row>
    <row r="1643" spans="1:7" x14ac:dyDescent="0.25">
      <c r="A1643" t="s">
        <v>4</v>
      </c>
      <c r="B1643">
        <v>1641</v>
      </c>
      <c r="C1643">
        <v>97</v>
      </c>
      <c r="D1643">
        <v>6.9495494365692139</v>
      </c>
      <c r="E1643" t="s">
        <v>10</v>
      </c>
      <c r="F1643" t="s">
        <v>46</v>
      </c>
      <c r="G1643">
        <v>5.2</v>
      </c>
    </row>
    <row r="1644" spans="1:7" x14ac:dyDescent="0.25">
      <c r="A1644" t="s">
        <v>4</v>
      </c>
      <c r="B1644">
        <v>1642</v>
      </c>
      <c r="C1644">
        <v>45</v>
      </c>
      <c r="D1644">
        <v>14.665697574615479</v>
      </c>
      <c r="E1644" t="s">
        <v>10</v>
      </c>
      <c r="F1644" t="s">
        <v>41</v>
      </c>
      <c r="G1644">
        <v>4.3</v>
      </c>
    </row>
    <row r="1645" spans="1:7" x14ac:dyDescent="0.25">
      <c r="A1645" t="s">
        <v>4</v>
      </c>
      <c r="B1645">
        <v>1643</v>
      </c>
      <c r="C1645">
        <v>79</v>
      </c>
      <c r="D1645">
        <v>4.2827894687652588</v>
      </c>
      <c r="E1645" t="s">
        <v>10</v>
      </c>
      <c r="F1645" t="s">
        <v>53</v>
      </c>
      <c r="G1645">
        <v>6.8</v>
      </c>
    </row>
    <row r="1646" spans="1:7" x14ac:dyDescent="0.25">
      <c r="A1646" t="s">
        <v>4</v>
      </c>
      <c r="B1646">
        <v>1644</v>
      </c>
      <c r="C1646">
        <v>80</v>
      </c>
      <c r="D1646">
        <v>12.018982410430908</v>
      </c>
      <c r="E1646" t="s">
        <v>10</v>
      </c>
      <c r="F1646" t="s">
        <v>41</v>
      </c>
      <c r="G1646">
        <v>7.1</v>
      </c>
    </row>
    <row r="1647" spans="1:7" x14ac:dyDescent="0.25">
      <c r="A1647" t="s">
        <v>4</v>
      </c>
      <c r="B1647">
        <v>1645</v>
      </c>
      <c r="C1647">
        <v>87</v>
      </c>
      <c r="D1647">
        <v>6.8252120018005371</v>
      </c>
      <c r="E1647" t="s">
        <v>10</v>
      </c>
      <c r="F1647" t="s">
        <v>41</v>
      </c>
      <c r="G1647">
        <v>4</v>
      </c>
    </row>
    <row r="1648" spans="1:7" x14ac:dyDescent="0.25">
      <c r="A1648" t="s">
        <v>4</v>
      </c>
      <c r="B1648">
        <v>1646</v>
      </c>
      <c r="C1648">
        <v>74</v>
      </c>
      <c r="D1648">
        <v>11.398788213729858</v>
      </c>
      <c r="E1648" t="s">
        <v>10</v>
      </c>
      <c r="F1648" t="s">
        <v>46</v>
      </c>
      <c r="G1648">
        <v>1.9</v>
      </c>
    </row>
    <row r="1649" spans="1:7" x14ac:dyDescent="0.25">
      <c r="A1649" t="s">
        <v>4</v>
      </c>
      <c r="B1649">
        <v>1647</v>
      </c>
      <c r="C1649">
        <v>90</v>
      </c>
      <c r="D1649">
        <v>4.5408217906951904</v>
      </c>
      <c r="E1649" t="s">
        <v>10</v>
      </c>
      <c r="F1649" t="s">
        <v>46</v>
      </c>
      <c r="G1649">
        <v>1.9</v>
      </c>
    </row>
    <row r="1650" spans="1:7" x14ac:dyDescent="0.25">
      <c r="A1650" t="s">
        <v>4</v>
      </c>
      <c r="B1650">
        <v>1648</v>
      </c>
      <c r="C1650">
        <v>24</v>
      </c>
      <c r="D1650">
        <v>4.9244363307952881</v>
      </c>
      <c r="E1650" t="s">
        <v>10</v>
      </c>
      <c r="F1650" t="s">
        <v>46</v>
      </c>
      <c r="G1650">
        <v>1.9</v>
      </c>
    </row>
    <row r="1651" spans="1:7" x14ac:dyDescent="0.25">
      <c r="A1651" t="s">
        <v>4</v>
      </c>
      <c r="B1651">
        <v>1649</v>
      </c>
      <c r="C1651">
        <v>69</v>
      </c>
      <c r="D1651">
        <v>8.1755697727203369</v>
      </c>
      <c r="E1651" t="s">
        <v>10</v>
      </c>
      <c r="F1651" t="s">
        <v>46</v>
      </c>
      <c r="G1651">
        <v>1.9</v>
      </c>
    </row>
    <row r="1652" spans="1:7" x14ac:dyDescent="0.25">
      <c r="A1652" t="s">
        <v>4</v>
      </c>
      <c r="B1652">
        <v>1650</v>
      </c>
      <c r="C1652">
        <v>79</v>
      </c>
      <c r="D1652">
        <v>3.0328826904296875</v>
      </c>
      <c r="E1652" t="s">
        <v>10</v>
      </c>
      <c r="F1652" t="s">
        <v>46</v>
      </c>
      <c r="G1652">
        <v>1.9</v>
      </c>
    </row>
    <row r="1653" spans="1:7" x14ac:dyDescent="0.25">
      <c r="A1653" t="s">
        <v>4</v>
      </c>
      <c r="B1653">
        <v>1651</v>
      </c>
      <c r="C1653">
        <v>83</v>
      </c>
      <c r="D1653">
        <v>4.6415975093841553</v>
      </c>
      <c r="E1653" t="s">
        <v>10</v>
      </c>
      <c r="F1653" t="s">
        <v>46</v>
      </c>
      <c r="G1653">
        <v>1.9</v>
      </c>
    </row>
    <row r="1654" spans="1:7" x14ac:dyDescent="0.25">
      <c r="A1654" t="s">
        <v>4</v>
      </c>
      <c r="B1654">
        <v>1652</v>
      </c>
      <c r="C1654">
        <v>97</v>
      </c>
      <c r="D1654">
        <v>5.2591032981872559</v>
      </c>
      <c r="E1654" t="s">
        <v>10</v>
      </c>
      <c r="F1654" t="s">
        <v>41</v>
      </c>
      <c r="G1654">
        <v>4.3</v>
      </c>
    </row>
    <row r="1655" spans="1:7" x14ac:dyDescent="0.25">
      <c r="A1655" t="s">
        <v>4</v>
      </c>
      <c r="B1655">
        <v>1653</v>
      </c>
      <c r="C1655">
        <v>98</v>
      </c>
      <c r="D1655">
        <v>16.809389352798462</v>
      </c>
      <c r="E1655" t="s">
        <v>10</v>
      </c>
      <c r="F1655" t="s">
        <v>41</v>
      </c>
      <c r="G1655">
        <v>4</v>
      </c>
    </row>
    <row r="1656" spans="1:7" x14ac:dyDescent="0.25">
      <c r="A1656" t="s">
        <v>4</v>
      </c>
      <c r="B1656">
        <v>1654</v>
      </c>
      <c r="C1656">
        <v>0</v>
      </c>
      <c r="D1656">
        <v>15.612179040908813</v>
      </c>
      <c r="E1656" t="s">
        <v>10</v>
      </c>
      <c r="F1656" t="s">
        <v>41</v>
      </c>
      <c r="G1656">
        <v>4</v>
      </c>
    </row>
    <row r="1657" spans="1:7" x14ac:dyDescent="0.25">
      <c r="A1657" t="s">
        <v>4</v>
      </c>
      <c r="B1657">
        <v>1655</v>
      </c>
      <c r="C1657">
        <v>83</v>
      </c>
      <c r="D1657">
        <v>6.2962603569030762</v>
      </c>
      <c r="E1657" t="s">
        <v>10</v>
      </c>
      <c r="F1657" t="s">
        <v>41</v>
      </c>
      <c r="G1657">
        <v>4.5999999999999996</v>
      </c>
    </row>
    <row r="1658" spans="1:7" x14ac:dyDescent="0.25">
      <c r="A1658" t="s">
        <v>4</v>
      </c>
      <c r="B1658">
        <v>1656</v>
      </c>
      <c r="C1658">
        <v>74</v>
      </c>
      <c r="D1658">
        <v>4.0166938304901123</v>
      </c>
      <c r="E1658" t="s">
        <v>10</v>
      </c>
      <c r="F1658" t="s">
        <v>13</v>
      </c>
      <c r="G1658">
        <v>6.2</v>
      </c>
    </row>
    <row r="1659" spans="1:7" x14ac:dyDescent="0.25">
      <c r="A1659" t="s">
        <v>4</v>
      </c>
      <c r="B1659">
        <v>1657</v>
      </c>
      <c r="C1659">
        <v>85</v>
      </c>
      <c r="D1659">
        <v>3.5554654598236084</v>
      </c>
      <c r="E1659" t="s">
        <v>10</v>
      </c>
      <c r="F1659" t="s">
        <v>41</v>
      </c>
      <c r="G1659">
        <v>4.9000000000000004</v>
      </c>
    </row>
    <row r="1660" spans="1:7" x14ac:dyDescent="0.25">
      <c r="A1660" t="s">
        <v>4</v>
      </c>
      <c r="B1660">
        <v>1658</v>
      </c>
      <c r="C1660">
        <v>12</v>
      </c>
      <c r="D1660">
        <v>5.6072399616241455</v>
      </c>
      <c r="E1660" t="s">
        <v>10</v>
      </c>
      <c r="F1660" t="s">
        <v>41</v>
      </c>
      <c r="G1660">
        <v>4.9000000000000004</v>
      </c>
    </row>
    <row r="1661" spans="1:7" x14ac:dyDescent="0.25">
      <c r="A1661" t="s">
        <v>4</v>
      </c>
      <c r="B1661">
        <v>1659</v>
      </c>
      <c r="C1661">
        <v>50</v>
      </c>
      <c r="D1661">
        <v>4.0589284896850586</v>
      </c>
      <c r="E1661" t="s">
        <v>10</v>
      </c>
      <c r="F1661" t="s">
        <v>41</v>
      </c>
      <c r="G1661">
        <v>4.9000000000000004</v>
      </c>
    </row>
    <row r="1662" spans="1:7" x14ac:dyDescent="0.25">
      <c r="A1662" t="s">
        <v>4</v>
      </c>
      <c r="B1662">
        <v>1660</v>
      </c>
      <c r="C1662">
        <v>30</v>
      </c>
      <c r="D1662">
        <v>9.9754526615142822</v>
      </c>
      <c r="E1662" t="s">
        <v>10</v>
      </c>
      <c r="F1662" t="s">
        <v>41</v>
      </c>
      <c r="G1662">
        <v>7.8</v>
      </c>
    </row>
    <row r="1663" spans="1:7" x14ac:dyDescent="0.25">
      <c r="A1663" t="s">
        <v>4</v>
      </c>
      <c r="B1663">
        <v>1661</v>
      </c>
      <c r="C1663">
        <v>47</v>
      </c>
      <c r="D1663">
        <v>12.354365348815918</v>
      </c>
      <c r="E1663" t="s">
        <v>10</v>
      </c>
      <c r="F1663" t="s">
        <v>41</v>
      </c>
      <c r="G1663">
        <v>4.9000000000000004</v>
      </c>
    </row>
    <row r="1664" spans="1:7" x14ac:dyDescent="0.25">
      <c r="A1664" t="s">
        <v>4</v>
      </c>
      <c r="B1664">
        <v>1662</v>
      </c>
      <c r="C1664">
        <v>89</v>
      </c>
      <c r="D1664">
        <v>4.8768136501312256</v>
      </c>
      <c r="E1664" t="s">
        <v>10</v>
      </c>
      <c r="F1664" t="s">
        <v>41</v>
      </c>
      <c r="G1664">
        <v>4.9000000000000004</v>
      </c>
    </row>
    <row r="1665" spans="1:7" x14ac:dyDescent="0.25">
      <c r="A1665" t="s">
        <v>4</v>
      </c>
      <c r="B1665">
        <v>1663</v>
      </c>
      <c r="C1665">
        <v>90</v>
      </c>
      <c r="D1665">
        <v>3.9323256015777588</v>
      </c>
      <c r="E1665" t="s">
        <v>10</v>
      </c>
      <c r="F1665" t="s">
        <v>41</v>
      </c>
      <c r="G1665">
        <v>4.9000000000000004</v>
      </c>
    </row>
    <row r="1666" spans="1:7" x14ac:dyDescent="0.25">
      <c r="A1666" t="s">
        <v>4</v>
      </c>
      <c r="B1666">
        <v>1664</v>
      </c>
      <c r="C1666">
        <v>55</v>
      </c>
      <c r="D1666">
        <v>9.4797027111053467</v>
      </c>
      <c r="E1666" t="s">
        <v>10</v>
      </c>
      <c r="F1666" t="s">
        <v>41</v>
      </c>
      <c r="G1666">
        <v>4.9000000000000004</v>
      </c>
    </row>
    <row r="1667" spans="1:7" x14ac:dyDescent="0.25">
      <c r="A1667" t="s">
        <v>4</v>
      </c>
      <c r="B1667">
        <v>1665</v>
      </c>
      <c r="C1667">
        <v>85</v>
      </c>
      <c r="D1667">
        <v>3.2492101192474365</v>
      </c>
      <c r="E1667" t="s">
        <v>10</v>
      </c>
      <c r="F1667" t="s">
        <v>45</v>
      </c>
      <c r="G1667">
        <v>3.3</v>
      </c>
    </row>
    <row r="1668" spans="1:7" x14ac:dyDescent="0.25">
      <c r="A1668" t="s">
        <v>4</v>
      </c>
      <c r="B1668">
        <v>1666</v>
      </c>
      <c r="C1668">
        <v>83</v>
      </c>
      <c r="D1668">
        <v>6.8805382251739502</v>
      </c>
      <c r="E1668" t="s">
        <v>10</v>
      </c>
      <c r="F1668" t="s">
        <v>45</v>
      </c>
      <c r="G1668">
        <v>3.3</v>
      </c>
    </row>
    <row r="1669" spans="1:7" x14ac:dyDescent="0.25">
      <c r="A1669" t="s">
        <v>4</v>
      </c>
      <c r="B1669">
        <v>1667</v>
      </c>
      <c r="C1669">
        <v>83</v>
      </c>
      <c r="D1669">
        <v>3.2461938858032227</v>
      </c>
      <c r="E1669" t="s">
        <v>10</v>
      </c>
      <c r="F1669" t="s">
        <v>13</v>
      </c>
      <c r="G1669">
        <v>3.6</v>
      </c>
    </row>
    <row r="1670" spans="1:7" x14ac:dyDescent="0.25">
      <c r="A1670" t="s">
        <v>4</v>
      </c>
      <c r="B1670">
        <v>1668</v>
      </c>
      <c r="C1670">
        <v>100</v>
      </c>
      <c r="D1670">
        <v>3.229907751083374</v>
      </c>
      <c r="E1670" t="s">
        <v>10</v>
      </c>
      <c r="F1670" t="s">
        <v>13</v>
      </c>
      <c r="G1670">
        <v>3.6</v>
      </c>
    </row>
    <row r="1671" spans="1:7" x14ac:dyDescent="0.25">
      <c r="A1671" t="s">
        <v>4</v>
      </c>
      <c r="B1671">
        <v>1669</v>
      </c>
      <c r="C1671">
        <v>84</v>
      </c>
      <c r="D1671">
        <v>5.372617244720459</v>
      </c>
      <c r="E1671" t="s">
        <v>10</v>
      </c>
      <c r="F1671" t="s">
        <v>53</v>
      </c>
      <c r="G1671">
        <v>7.5</v>
      </c>
    </row>
    <row r="1672" spans="1:7" x14ac:dyDescent="0.25">
      <c r="A1672" t="s">
        <v>4</v>
      </c>
      <c r="B1672">
        <v>1670</v>
      </c>
      <c r="C1672">
        <v>90</v>
      </c>
      <c r="D1672">
        <v>2.7390620708465576</v>
      </c>
      <c r="E1672" t="s">
        <v>10</v>
      </c>
      <c r="F1672" t="s">
        <v>45</v>
      </c>
      <c r="G1672">
        <v>1.9</v>
      </c>
    </row>
    <row r="1673" spans="1:7" x14ac:dyDescent="0.25">
      <c r="A1673" t="s">
        <v>4</v>
      </c>
      <c r="B1673">
        <v>1671</v>
      </c>
      <c r="C1673">
        <v>85</v>
      </c>
      <c r="D1673">
        <v>299.26206541061401</v>
      </c>
      <c r="E1673" t="s">
        <v>10</v>
      </c>
      <c r="F1673" t="s">
        <v>41</v>
      </c>
      <c r="G1673">
        <v>5</v>
      </c>
    </row>
    <row r="1674" spans="1:7" x14ac:dyDescent="0.25">
      <c r="A1674" t="s">
        <v>4</v>
      </c>
      <c r="B1674">
        <v>1672</v>
      </c>
      <c r="C1674">
        <v>84</v>
      </c>
      <c r="D1674">
        <v>4.4108667373657227</v>
      </c>
      <c r="E1674" t="s">
        <v>10</v>
      </c>
      <c r="F1674" t="s">
        <v>41</v>
      </c>
      <c r="G1674">
        <v>4.9000000000000004</v>
      </c>
    </row>
    <row r="1675" spans="1:7" x14ac:dyDescent="0.25">
      <c r="A1675" t="s">
        <v>4</v>
      </c>
      <c r="B1675">
        <v>1673</v>
      </c>
      <c r="C1675">
        <v>83</v>
      </c>
      <c r="D1675">
        <v>7.4658312797546387</v>
      </c>
      <c r="E1675" t="s">
        <v>10</v>
      </c>
      <c r="F1675" t="s">
        <v>59</v>
      </c>
      <c r="G1675">
        <v>2.1</v>
      </c>
    </row>
    <row r="1676" spans="1:7" x14ac:dyDescent="0.25">
      <c r="A1676" t="s">
        <v>4</v>
      </c>
      <c r="B1676">
        <v>1674</v>
      </c>
      <c r="C1676">
        <v>30</v>
      </c>
      <c r="D1676">
        <v>2.9827542304992676</v>
      </c>
      <c r="E1676" t="s">
        <v>10</v>
      </c>
      <c r="F1676" t="s">
        <v>56</v>
      </c>
      <c r="G1676">
        <v>7.2</v>
      </c>
    </row>
    <row r="1677" spans="1:7" x14ac:dyDescent="0.25">
      <c r="A1677" t="s">
        <v>4</v>
      </c>
      <c r="B1677">
        <v>1675</v>
      </c>
      <c r="C1677">
        <v>34</v>
      </c>
      <c r="D1677">
        <v>6.3061575889587402</v>
      </c>
      <c r="E1677" t="s">
        <v>10</v>
      </c>
      <c r="F1677" t="s">
        <v>56</v>
      </c>
      <c r="G1677">
        <v>7.2</v>
      </c>
    </row>
    <row r="1678" spans="1:7" x14ac:dyDescent="0.25">
      <c r="A1678" t="s">
        <v>4</v>
      </c>
      <c r="B1678">
        <v>1676</v>
      </c>
      <c r="C1678">
        <v>81</v>
      </c>
      <c r="D1678">
        <v>5.4769401550292969</v>
      </c>
      <c r="E1678" t="s">
        <v>10</v>
      </c>
      <c r="F1678" t="s">
        <v>46</v>
      </c>
      <c r="G1678">
        <v>5</v>
      </c>
    </row>
    <row r="1679" spans="1:7" x14ac:dyDescent="0.25">
      <c r="A1679" t="s">
        <v>4</v>
      </c>
      <c r="B1679">
        <v>1677</v>
      </c>
      <c r="C1679">
        <v>24</v>
      </c>
      <c r="D1679">
        <v>3.1443874835968018</v>
      </c>
      <c r="E1679" t="s">
        <v>10</v>
      </c>
      <c r="F1679" t="s">
        <v>49</v>
      </c>
      <c r="G1679">
        <v>6.1</v>
      </c>
    </row>
    <row r="1680" spans="1:7" x14ac:dyDescent="0.25">
      <c r="A1680" t="s">
        <v>4</v>
      </c>
      <c r="B1680">
        <v>1678</v>
      </c>
      <c r="C1680">
        <v>78</v>
      </c>
      <c r="D1680">
        <v>4.8068358898162842</v>
      </c>
      <c r="E1680" t="s">
        <v>10</v>
      </c>
      <c r="F1680" t="s">
        <v>43</v>
      </c>
      <c r="G1680">
        <v>5</v>
      </c>
    </row>
    <row r="1681" spans="1:7" x14ac:dyDescent="0.25">
      <c r="A1681" t="s">
        <v>4</v>
      </c>
      <c r="B1681">
        <v>1679</v>
      </c>
      <c r="C1681">
        <v>100</v>
      </c>
      <c r="D1681">
        <v>19.41030478477478</v>
      </c>
      <c r="E1681" t="s">
        <v>10</v>
      </c>
      <c r="F1681" t="s">
        <v>41</v>
      </c>
      <c r="G1681">
        <v>4.9000000000000004</v>
      </c>
    </row>
    <row r="1682" spans="1:7" x14ac:dyDescent="0.25">
      <c r="A1682" t="s">
        <v>4</v>
      </c>
      <c r="B1682">
        <v>1680</v>
      </c>
      <c r="C1682">
        <v>43</v>
      </c>
      <c r="D1682">
        <v>6.1834075450897217</v>
      </c>
      <c r="E1682" t="s">
        <v>10</v>
      </c>
      <c r="F1682" t="s">
        <v>41</v>
      </c>
      <c r="G1682">
        <v>4.5999999999999996</v>
      </c>
    </row>
    <row r="1683" spans="1:7" x14ac:dyDescent="0.25">
      <c r="A1683" t="s">
        <v>4</v>
      </c>
      <c r="B1683">
        <v>1681</v>
      </c>
      <c r="C1683">
        <v>87</v>
      </c>
      <c r="D1683">
        <v>2.9302735328674316</v>
      </c>
      <c r="E1683" t="s">
        <v>10</v>
      </c>
      <c r="F1683" t="s">
        <v>41</v>
      </c>
      <c r="G1683">
        <v>4.5999999999999996</v>
      </c>
    </row>
    <row r="1684" spans="1:7" x14ac:dyDescent="0.25">
      <c r="A1684" t="s">
        <v>4</v>
      </c>
      <c r="B1684">
        <v>1682</v>
      </c>
      <c r="C1684">
        <v>83</v>
      </c>
      <c r="D1684">
        <v>3.4382860660552979</v>
      </c>
      <c r="E1684" t="s">
        <v>10</v>
      </c>
      <c r="F1684" t="s">
        <v>45</v>
      </c>
      <c r="G1684">
        <v>2.1</v>
      </c>
    </row>
    <row r="1685" spans="1:7" x14ac:dyDescent="0.25">
      <c r="A1685" t="s">
        <v>4</v>
      </c>
      <c r="B1685">
        <v>1683</v>
      </c>
      <c r="C1685">
        <v>98</v>
      </c>
      <c r="D1685">
        <v>3.3189442157745361</v>
      </c>
      <c r="E1685" t="s">
        <v>10</v>
      </c>
      <c r="F1685" t="s">
        <v>45</v>
      </c>
      <c r="G1685">
        <v>2.1</v>
      </c>
    </row>
    <row r="1686" spans="1:7" x14ac:dyDescent="0.25">
      <c r="A1686" t="s">
        <v>4</v>
      </c>
      <c r="B1686">
        <v>1684</v>
      </c>
      <c r="C1686">
        <v>24</v>
      </c>
      <c r="D1686">
        <v>9.4730668067932129</v>
      </c>
      <c r="E1686" t="s">
        <v>10</v>
      </c>
      <c r="F1686" t="s">
        <v>41</v>
      </c>
      <c r="G1686">
        <v>5</v>
      </c>
    </row>
    <row r="1687" spans="1:7" x14ac:dyDescent="0.25">
      <c r="A1687" t="s">
        <v>4</v>
      </c>
      <c r="B1687">
        <v>1685</v>
      </c>
      <c r="C1687">
        <v>0</v>
      </c>
      <c r="D1687">
        <v>14.699314832687378</v>
      </c>
      <c r="E1687" t="s">
        <v>10</v>
      </c>
      <c r="F1687" t="s">
        <v>41</v>
      </c>
      <c r="G1687">
        <v>5</v>
      </c>
    </row>
    <row r="1688" spans="1:7" x14ac:dyDescent="0.25">
      <c r="A1688" t="s">
        <v>4</v>
      </c>
      <c r="B1688">
        <v>1686</v>
      </c>
      <c r="C1688">
        <v>89</v>
      </c>
      <c r="D1688">
        <v>7.1623828411102295</v>
      </c>
      <c r="E1688" t="s">
        <v>10</v>
      </c>
      <c r="F1688" t="s">
        <v>45</v>
      </c>
      <c r="G1688">
        <v>4.3</v>
      </c>
    </row>
    <row r="1689" spans="1:7" x14ac:dyDescent="0.25">
      <c r="A1689" t="s">
        <v>4</v>
      </c>
      <c r="B1689">
        <v>1687</v>
      </c>
      <c r="C1689">
        <v>0</v>
      </c>
      <c r="D1689">
        <v>3.5599439144134521</v>
      </c>
      <c r="E1689" t="s">
        <v>10</v>
      </c>
      <c r="F1689" t="s">
        <v>45</v>
      </c>
      <c r="G1689">
        <v>4.3</v>
      </c>
    </row>
    <row r="1690" spans="1:7" x14ac:dyDescent="0.25">
      <c r="A1690" t="s">
        <v>4</v>
      </c>
      <c r="B1690">
        <v>1688</v>
      </c>
      <c r="C1690">
        <v>84</v>
      </c>
      <c r="D1690">
        <v>3.1011233329772949</v>
      </c>
      <c r="E1690" t="s">
        <v>10</v>
      </c>
      <c r="F1690" t="s">
        <v>41</v>
      </c>
      <c r="G1690">
        <v>4.9000000000000004</v>
      </c>
    </row>
    <row r="1691" spans="1:7" x14ac:dyDescent="0.25">
      <c r="A1691" t="s">
        <v>4</v>
      </c>
      <c r="B1691">
        <v>1689</v>
      </c>
      <c r="C1691">
        <v>14</v>
      </c>
      <c r="D1691">
        <v>12.612744092941284</v>
      </c>
      <c r="E1691" t="s">
        <v>10</v>
      </c>
      <c r="F1691" t="s">
        <v>41</v>
      </c>
      <c r="G1691">
        <v>5</v>
      </c>
    </row>
    <row r="1692" spans="1:7" x14ac:dyDescent="0.25">
      <c r="A1692" t="s">
        <v>4</v>
      </c>
      <c r="B1692">
        <v>1690</v>
      </c>
      <c r="C1692">
        <v>80</v>
      </c>
      <c r="D1692">
        <v>4.1396234035491943</v>
      </c>
      <c r="E1692" t="s">
        <v>10</v>
      </c>
      <c r="F1692" t="s">
        <v>50</v>
      </c>
      <c r="G1692">
        <v>4.5999999999999996</v>
      </c>
    </row>
    <row r="1693" spans="1:7" x14ac:dyDescent="0.25">
      <c r="A1693" t="s">
        <v>4</v>
      </c>
      <c r="B1693">
        <v>1691</v>
      </c>
      <c r="C1693">
        <v>85</v>
      </c>
      <c r="D1693">
        <v>3.9522848129272461</v>
      </c>
      <c r="E1693" t="s">
        <v>10</v>
      </c>
      <c r="F1693" t="s">
        <v>50</v>
      </c>
      <c r="G1693">
        <v>4.5999999999999996</v>
      </c>
    </row>
    <row r="1694" spans="1:7" x14ac:dyDescent="0.25">
      <c r="A1694" t="s">
        <v>4</v>
      </c>
      <c r="B1694">
        <v>1692</v>
      </c>
      <c r="C1694">
        <v>88</v>
      </c>
      <c r="D1694">
        <v>4.3925817012786865</v>
      </c>
      <c r="E1694" t="s">
        <v>10</v>
      </c>
      <c r="F1694" t="s">
        <v>50</v>
      </c>
      <c r="G1694">
        <v>4.5999999999999996</v>
      </c>
    </row>
    <row r="1695" spans="1:7" x14ac:dyDescent="0.25">
      <c r="A1695" t="s">
        <v>4</v>
      </c>
      <c r="B1695">
        <v>1693</v>
      </c>
      <c r="C1695">
        <v>80</v>
      </c>
      <c r="D1695">
        <v>3.8267529010772705</v>
      </c>
      <c r="E1695" t="s">
        <v>10</v>
      </c>
      <c r="F1695" t="s">
        <v>50</v>
      </c>
      <c r="G1695">
        <v>4.5999999999999996</v>
      </c>
    </row>
    <row r="1696" spans="1:7" x14ac:dyDescent="0.25">
      <c r="A1696" t="s">
        <v>4</v>
      </c>
      <c r="B1696">
        <v>1694</v>
      </c>
      <c r="C1696">
        <v>83</v>
      </c>
      <c r="D1696">
        <v>2.9667975902557373</v>
      </c>
      <c r="E1696" t="s">
        <v>10</v>
      </c>
      <c r="F1696" t="s">
        <v>43</v>
      </c>
      <c r="G1696">
        <v>6.4</v>
      </c>
    </row>
    <row r="1697" spans="1:7" x14ac:dyDescent="0.25">
      <c r="A1697" t="s">
        <v>4</v>
      </c>
      <c r="B1697">
        <v>1695</v>
      </c>
      <c r="C1697">
        <v>82</v>
      </c>
      <c r="D1697">
        <v>2.7226934432983398</v>
      </c>
      <c r="E1697" t="s">
        <v>10</v>
      </c>
      <c r="F1697" t="s">
        <v>43</v>
      </c>
      <c r="G1697">
        <v>6.4</v>
      </c>
    </row>
    <row r="1698" spans="1:7" x14ac:dyDescent="0.25">
      <c r="A1698" t="s">
        <v>4</v>
      </c>
      <c r="B1698">
        <v>1696</v>
      </c>
      <c r="C1698">
        <v>40</v>
      </c>
      <c r="D1698">
        <v>4.8318824768066406</v>
      </c>
      <c r="E1698" t="s">
        <v>10</v>
      </c>
      <c r="F1698" t="s">
        <v>41</v>
      </c>
      <c r="G1698">
        <v>4.9000000000000004</v>
      </c>
    </row>
    <row r="1699" spans="1:7" x14ac:dyDescent="0.25">
      <c r="A1699" t="s">
        <v>4</v>
      </c>
      <c r="B1699">
        <v>1697</v>
      </c>
      <c r="C1699">
        <v>88</v>
      </c>
      <c r="D1699">
        <v>8.9701437950134277</v>
      </c>
      <c r="E1699" t="s">
        <v>10</v>
      </c>
      <c r="F1699" t="s">
        <v>41</v>
      </c>
      <c r="G1699">
        <v>7.8</v>
      </c>
    </row>
    <row r="1700" spans="1:7" x14ac:dyDescent="0.25">
      <c r="A1700" t="s">
        <v>4</v>
      </c>
      <c r="B1700">
        <v>1698</v>
      </c>
      <c r="C1700">
        <v>88</v>
      </c>
      <c r="D1700">
        <v>3.3724398612976074</v>
      </c>
      <c r="E1700" t="s">
        <v>10</v>
      </c>
      <c r="F1700" t="s">
        <v>41</v>
      </c>
      <c r="G1700">
        <v>7.1</v>
      </c>
    </row>
    <row r="1701" spans="1:7" x14ac:dyDescent="0.25">
      <c r="A1701" t="s">
        <v>4</v>
      </c>
      <c r="B1701">
        <v>1699</v>
      </c>
      <c r="C1701">
        <v>70</v>
      </c>
      <c r="D1701">
        <v>3.9411091804504395</v>
      </c>
      <c r="E1701" t="s">
        <v>10</v>
      </c>
      <c r="F1701" t="s">
        <v>41</v>
      </c>
      <c r="G1701">
        <v>7.1</v>
      </c>
    </row>
    <row r="1702" spans="1:7" x14ac:dyDescent="0.25">
      <c r="A1702" t="s">
        <v>4</v>
      </c>
      <c r="B1702">
        <v>1700</v>
      </c>
      <c r="C1702">
        <v>100</v>
      </c>
      <c r="D1702">
        <v>3.6784014701843262</v>
      </c>
      <c r="E1702" t="s">
        <v>10</v>
      </c>
      <c r="F1702" t="s">
        <v>41</v>
      </c>
      <c r="G1702">
        <v>7.1</v>
      </c>
    </row>
    <row r="1703" spans="1:7" x14ac:dyDescent="0.25">
      <c r="A1703" t="s">
        <v>4</v>
      </c>
      <c r="B1703">
        <v>1701</v>
      </c>
      <c r="C1703">
        <v>89</v>
      </c>
      <c r="D1703">
        <v>7.4835813045501709</v>
      </c>
      <c r="E1703" t="s">
        <v>10</v>
      </c>
      <c r="F1703" t="s">
        <v>41</v>
      </c>
      <c r="G1703">
        <v>7.1</v>
      </c>
    </row>
    <row r="1704" spans="1:7" x14ac:dyDescent="0.25">
      <c r="A1704" t="s">
        <v>4</v>
      </c>
      <c r="B1704">
        <v>1702</v>
      </c>
      <c r="C1704">
        <v>34</v>
      </c>
      <c r="D1704">
        <v>13.592543125152588</v>
      </c>
      <c r="E1704" t="s">
        <v>10</v>
      </c>
      <c r="F1704" t="s">
        <v>41</v>
      </c>
      <c r="G1704">
        <v>4.7</v>
      </c>
    </row>
    <row r="1705" spans="1:7" x14ac:dyDescent="0.25">
      <c r="A1705" t="s">
        <v>4</v>
      </c>
      <c r="B1705">
        <v>1703</v>
      </c>
      <c r="C1705">
        <v>89</v>
      </c>
      <c r="D1705">
        <v>9.7281219959259033</v>
      </c>
      <c r="E1705" t="s">
        <v>10</v>
      </c>
      <c r="F1705" t="s">
        <v>39</v>
      </c>
      <c r="G1705">
        <v>7.5</v>
      </c>
    </row>
    <row r="1706" spans="1:7" x14ac:dyDescent="0.25">
      <c r="A1706" t="s">
        <v>4</v>
      </c>
      <c r="B1706">
        <v>1704</v>
      </c>
      <c r="C1706">
        <v>80</v>
      </c>
      <c r="D1706">
        <v>3.6637699604034424</v>
      </c>
      <c r="E1706" t="s">
        <v>10</v>
      </c>
      <c r="F1706" t="s">
        <v>41</v>
      </c>
      <c r="G1706">
        <v>4</v>
      </c>
    </row>
    <row r="1707" spans="1:7" x14ac:dyDescent="0.25">
      <c r="A1707" t="s">
        <v>4</v>
      </c>
      <c r="B1707">
        <v>1705</v>
      </c>
      <c r="C1707">
        <v>85</v>
      </c>
      <c r="D1707">
        <v>14.625588178634644</v>
      </c>
      <c r="E1707" t="s">
        <v>10</v>
      </c>
      <c r="F1707" t="s">
        <v>41</v>
      </c>
      <c r="G1707">
        <v>4</v>
      </c>
    </row>
    <row r="1708" spans="1:7" x14ac:dyDescent="0.25">
      <c r="A1708" t="s">
        <v>4</v>
      </c>
      <c r="B1708">
        <v>1706</v>
      </c>
      <c r="C1708">
        <v>80</v>
      </c>
      <c r="D1708">
        <v>3.1558809280395508</v>
      </c>
      <c r="E1708" t="s">
        <v>10</v>
      </c>
      <c r="F1708" t="s">
        <v>41</v>
      </c>
      <c r="G1708">
        <v>4</v>
      </c>
    </row>
    <row r="1709" spans="1:7" x14ac:dyDescent="0.25">
      <c r="A1709" t="s">
        <v>4</v>
      </c>
      <c r="B1709">
        <v>1707</v>
      </c>
      <c r="C1709">
        <v>85</v>
      </c>
      <c r="D1709">
        <v>15.787849426269531</v>
      </c>
      <c r="E1709" t="s">
        <v>10</v>
      </c>
      <c r="F1709" t="s">
        <v>41</v>
      </c>
      <c r="G1709">
        <v>4</v>
      </c>
    </row>
    <row r="1710" spans="1:7" x14ac:dyDescent="0.25">
      <c r="A1710" t="s">
        <v>4</v>
      </c>
      <c r="B1710">
        <v>1708</v>
      </c>
      <c r="C1710">
        <v>88</v>
      </c>
      <c r="D1710">
        <v>6.450028657913208</v>
      </c>
      <c r="E1710" t="s">
        <v>10</v>
      </c>
      <c r="F1710" t="s">
        <v>41</v>
      </c>
      <c r="G1710">
        <v>3.5</v>
      </c>
    </row>
    <row r="1711" spans="1:7" x14ac:dyDescent="0.25">
      <c r="A1711" t="s">
        <v>4</v>
      </c>
      <c r="B1711">
        <v>1709</v>
      </c>
      <c r="C1711">
        <v>88</v>
      </c>
      <c r="D1711">
        <v>9.7817974090576172</v>
      </c>
      <c r="E1711" t="s">
        <v>10</v>
      </c>
      <c r="F1711" t="s">
        <v>41</v>
      </c>
      <c r="G1711">
        <v>3.5</v>
      </c>
    </row>
    <row r="1712" spans="1:7" x14ac:dyDescent="0.25">
      <c r="A1712" t="s">
        <v>4</v>
      </c>
      <c r="B1712">
        <v>1710</v>
      </c>
      <c r="C1712">
        <v>90</v>
      </c>
      <c r="D1712">
        <v>4.4214253425598145</v>
      </c>
      <c r="E1712" t="s">
        <v>10</v>
      </c>
      <c r="F1712" t="s">
        <v>41</v>
      </c>
      <c r="G1712">
        <v>3.5</v>
      </c>
    </row>
    <row r="1713" spans="1:7" x14ac:dyDescent="0.25">
      <c r="A1713" t="s">
        <v>4</v>
      </c>
      <c r="B1713">
        <v>1711</v>
      </c>
      <c r="C1713">
        <v>83</v>
      </c>
      <c r="D1713">
        <v>8.8047757148742676</v>
      </c>
      <c r="E1713" t="s">
        <v>10</v>
      </c>
      <c r="F1713" t="s">
        <v>13</v>
      </c>
      <c r="G1713">
        <v>2.1</v>
      </c>
    </row>
    <row r="1714" spans="1:7" x14ac:dyDescent="0.25">
      <c r="A1714" t="s">
        <v>4</v>
      </c>
      <c r="B1714">
        <v>1712</v>
      </c>
      <c r="C1714">
        <v>13</v>
      </c>
      <c r="D1714">
        <v>7.8363633155822754</v>
      </c>
      <c r="E1714" t="s">
        <v>10</v>
      </c>
      <c r="F1714" t="s">
        <v>41</v>
      </c>
      <c r="G1714">
        <v>4.3</v>
      </c>
    </row>
    <row r="1715" spans="1:7" x14ac:dyDescent="0.25">
      <c r="A1715" t="s">
        <v>4</v>
      </c>
      <c r="B1715">
        <v>1713</v>
      </c>
      <c r="C1715">
        <v>88</v>
      </c>
      <c r="D1715">
        <v>2.9941914081573486</v>
      </c>
      <c r="E1715" t="s">
        <v>10</v>
      </c>
      <c r="F1715" t="s">
        <v>41</v>
      </c>
      <c r="G1715">
        <v>4.3</v>
      </c>
    </row>
    <row r="1716" spans="1:7" x14ac:dyDescent="0.25">
      <c r="A1716" t="s">
        <v>4</v>
      </c>
      <c r="B1716">
        <v>1714</v>
      </c>
      <c r="C1716">
        <v>30</v>
      </c>
      <c r="D1716">
        <v>3.7478640079498291</v>
      </c>
      <c r="E1716" t="s">
        <v>10</v>
      </c>
      <c r="F1716" t="s">
        <v>41</v>
      </c>
      <c r="G1716">
        <v>4.3</v>
      </c>
    </row>
    <row r="1717" spans="1:7" x14ac:dyDescent="0.25">
      <c r="A1717" t="s">
        <v>4</v>
      </c>
      <c r="B1717">
        <v>1715</v>
      </c>
      <c r="C1717">
        <v>79</v>
      </c>
      <c r="D1717">
        <v>4.9918918609619141</v>
      </c>
      <c r="E1717" t="s">
        <v>10</v>
      </c>
      <c r="F1717" t="s">
        <v>41</v>
      </c>
      <c r="G1717">
        <v>4.3</v>
      </c>
    </row>
    <row r="1718" spans="1:7" x14ac:dyDescent="0.25">
      <c r="A1718" t="s">
        <v>4</v>
      </c>
      <c r="B1718">
        <v>1716</v>
      </c>
      <c r="C1718">
        <v>87</v>
      </c>
      <c r="D1718">
        <v>5.9644088745117188</v>
      </c>
      <c r="E1718" t="s">
        <v>10</v>
      </c>
      <c r="F1718" t="s">
        <v>50</v>
      </c>
      <c r="G1718">
        <v>6</v>
      </c>
    </row>
    <row r="1719" spans="1:7" x14ac:dyDescent="0.25">
      <c r="A1719" t="s">
        <v>4</v>
      </c>
      <c r="B1719">
        <v>1717</v>
      </c>
      <c r="C1719">
        <v>40</v>
      </c>
      <c r="D1719">
        <v>4.1249721050262451</v>
      </c>
      <c r="E1719" t="s">
        <v>10</v>
      </c>
      <c r="F1719" t="s">
        <v>50</v>
      </c>
      <c r="G1719">
        <v>6</v>
      </c>
    </row>
    <row r="1720" spans="1:7" x14ac:dyDescent="0.25">
      <c r="A1720" t="s">
        <v>4</v>
      </c>
      <c r="B1720">
        <v>1718</v>
      </c>
      <c r="C1720">
        <v>85</v>
      </c>
      <c r="D1720">
        <v>6.0887255668640137</v>
      </c>
      <c r="E1720" t="s">
        <v>10</v>
      </c>
      <c r="F1720" t="s">
        <v>50</v>
      </c>
      <c r="G1720">
        <v>6</v>
      </c>
    </row>
    <row r="1721" spans="1:7" x14ac:dyDescent="0.25">
      <c r="A1721" t="s">
        <v>4</v>
      </c>
      <c r="B1721">
        <v>1719</v>
      </c>
      <c r="C1721">
        <v>89</v>
      </c>
      <c r="D1721">
        <v>3.710151195526123</v>
      </c>
      <c r="E1721" t="s">
        <v>10</v>
      </c>
      <c r="F1721" t="s">
        <v>45</v>
      </c>
      <c r="G1721">
        <v>7.2</v>
      </c>
    </row>
    <row r="1722" spans="1:7" x14ac:dyDescent="0.25">
      <c r="A1722" t="s">
        <v>4</v>
      </c>
      <c r="B1722">
        <v>1720</v>
      </c>
      <c r="C1722">
        <v>80</v>
      </c>
      <c r="D1722">
        <v>7.0854029655456543</v>
      </c>
      <c r="E1722" t="s">
        <v>10</v>
      </c>
      <c r="F1722" t="s">
        <v>41</v>
      </c>
      <c r="G1722">
        <v>5.4</v>
      </c>
    </row>
    <row r="1723" spans="1:7" x14ac:dyDescent="0.25">
      <c r="A1723" t="s">
        <v>4</v>
      </c>
      <c r="B1723">
        <v>1721</v>
      </c>
      <c r="C1723">
        <v>14</v>
      </c>
      <c r="D1723">
        <v>5.0647010803222656</v>
      </c>
      <c r="E1723" t="s">
        <v>10</v>
      </c>
      <c r="F1723" t="s">
        <v>41</v>
      </c>
      <c r="G1723">
        <v>6.2</v>
      </c>
    </row>
    <row r="1724" spans="1:7" x14ac:dyDescent="0.25">
      <c r="A1724" t="s">
        <v>4</v>
      </c>
      <c r="B1724">
        <v>1722</v>
      </c>
      <c r="C1724">
        <v>23</v>
      </c>
      <c r="D1724">
        <v>4.8037588596343994</v>
      </c>
      <c r="E1724" t="s">
        <v>10</v>
      </c>
      <c r="F1724" t="s">
        <v>56</v>
      </c>
      <c r="G1724">
        <v>6.9</v>
      </c>
    </row>
    <row r="1725" spans="1:7" x14ac:dyDescent="0.25">
      <c r="A1725" t="s">
        <v>4</v>
      </c>
      <c r="B1725">
        <v>1723</v>
      </c>
      <c r="C1725">
        <v>100</v>
      </c>
      <c r="D1725">
        <v>5.1450431346893311</v>
      </c>
      <c r="E1725" t="s">
        <v>10</v>
      </c>
      <c r="F1725" t="s">
        <v>56</v>
      </c>
      <c r="G1725">
        <v>6.9</v>
      </c>
    </row>
    <row r="1726" spans="1:7" x14ac:dyDescent="0.25">
      <c r="A1726" t="s">
        <v>4</v>
      </c>
      <c r="B1726">
        <v>1724</v>
      </c>
      <c r="C1726">
        <v>78</v>
      </c>
      <c r="D1726">
        <v>5.9565863609313965</v>
      </c>
      <c r="E1726" t="s">
        <v>10</v>
      </c>
      <c r="F1726" t="s">
        <v>45</v>
      </c>
      <c r="G1726">
        <v>6.8</v>
      </c>
    </row>
    <row r="1727" spans="1:7" x14ac:dyDescent="0.25">
      <c r="A1727" t="s">
        <v>4</v>
      </c>
      <c r="B1727">
        <v>1725</v>
      </c>
      <c r="C1727">
        <v>89</v>
      </c>
      <c r="D1727">
        <v>5.8093349933624268</v>
      </c>
      <c r="E1727" t="s">
        <v>10</v>
      </c>
      <c r="F1727" t="s">
        <v>41</v>
      </c>
      <c r="G1727">
        <v>5</v>
      </c>
    </row>
    <row r="1728" spans="1:7" x14ac:dyDescent="0.25">
      <c r="A1728" t="s">
        <v>4</v>
      </c>
      <c r="B1728">
        <v>1726</v>
      </c>
      <c r="C1728">
        <v>79</v>
      </c>
      <c r="D1728">
        <v>3.0550761222839355</v>
      </c>
      <c r="E1728" t="s">
        <v>10</v>
      </c>
      <c r="F1728" t="s">
        <v>46</v>
      </c>
      <c r="G1728">
        <v>4.9000000000000004</v>
      </c>
    </row>
    <row r="1729" spans="1:7" x14ac:dyDescent="0.25">
      <c r="A1729" t="s">
        <v>4</v>
      </c>
      <c r="B1729">
        <v>1727</v>
      </c>
      <c r="C1729">
        <v>100</v>
      </c>
      <c r="D1729">
        <v>8.0513203144073486</v>
      </c>
      <c r="E1729" t="s">
        <v>10</v>
      </c>
      <c r="F1729" t="s">
        <v>63</v>
      </c>
      <c r="G1729">
        <v>4.9000000000000004</v>
      </c>
    </row>
    <row r="1730" spans="1:7" x14ac:dyDescent="0.25">
      <c r="A1730" t="s">
        <v>4</v>
      </c>
      <c r="B1730">
        <v>1728</v>
      </c>
      <c r="C1730">
        <v>0</v>
      </c>
      <c r="D1730">
        <v>4.1597366333007813</v>
      </c>
      <c r="E1730" t="s">
        <v>10</v>
      </c>
      <c r="F1730" t="s">
        <v>44</v>
      </c>
      <c r="G1730">
        <v>6.6</v>
      </c>
    </row>
    <row r="1731" spans="1:7" x14ac:dyDescent="0.25">
      <c r="A1731" t="s">
        <v>4</v>
      </c>
      <c r="B1731">
        <v>1729</v>
      </c>
      <c r="C1731">
        <v>72</v>
      </c>
      <c r="D1731">
        <v>4.1461982727050781</v>
      </c>
      <c r="E1731" t="s">
        <v>10</v>
      </c>
      <c r="F1731" t="s">
        <v>44</v>
      </c>
      <c r="G1731">
        <v>6.6</v>
      </c>
    </row>
    <row r="1732" spans="1:7" x14ac:dyDescent="0.25">
      <c r="A1732" t="s">
        <v>4</v>
      </c>
      <c r="B1732">
        <v>1730</v>
      </c>
      <c r="C1732">
        <v>83</v>
      </c>
      <c r="D1732">
        <v>4.6909222602844238</v>
      </c>
      <c r="E1732" t="s">
        <v>10</v>
      </c>
      <c r="F1732" t="s">
        <v>44</v>
      </c>
      <c r="G1732">
        <v>6.6</v>
      </c>
    </row>
    <row r="1733" spans="1:7" x14ac:dyDescent="0.25">
      <c r="A1733" t="s">
        <v>4</v>
      </c>
      <c r="B1733">
        <v>1731</v>
      </c>
      <c r="C1733">
        <v>99</v>
      </c>
      <c r="D1733">
        <v>5.9583001136779785</v>
      </c>
      <c r="E1733" t="s">
        <v>10</v>
      </c>
      <c r="F1733" t="s">
        <v>44</v>
      </c>
      <c r="G1733">
        <v>6.6</v>
      </c>
    </row>
    <row r="1734" spans="1:7" x14ac:dyDescent="0.25">
      <c r="A1734" t="s">
        <v>4</v>
      </c>
      <c r="B1734">
        <v>1732</v>
      </c>
      <c r="C1734">
        <v>68</v>
      </c>
      <c r="D1734">
        <v>8.1285889148712158</v>
      </c>
      <c r="E1734" t="s">
        <v>10</v>
      </c>
      <c r="F1734" t="s">
        <v>43</v>
      </c>
      <c r="G1734">
        <v>4.7</v>
      </c>
    </row>
    <row r="1735" spans="1:7" x14ac:dyDescent="0.25">
      <c r="A1735" t="s">
        <v>4</v>
      </c>
      <c r="B1735">
        <v>1733</v>
      </c>
      <c r="C1735">
        <v>30</v>
      </c>
      <c r="D1735">
        <v>2.7013518810272217</v>
      </c>
      <c r="E1735" t="s">
        <v>10</v>
      </c>
      <c r="F1735" t="s">
        <v>43</v>
      </c>
      <c r="G1735">
        <v>4.7</v>
      </c>
    </row>
    <row r="1736" spans="1:7" x14ac:dyDescent="0.25">
      <c r="A1736" t="s">
        <v>4</v>
      </c>
      <c r="B1736">
        <v>1734</v>
      </c>
      <c r="C1736">
        <v>89</v>
      </c>
      <c r="D1736">
        <v>2.9008827209472656</v>
      </c>
      <c r="E1736" t="s">
        <v>10</v>
      </c>
      <c r="F1736" t="s">
        <v>43</v>
      </c>
      <c r="G1736">
        <v>4.7</v>
      </c>
    </row>
    <row r="1737" spans="1:7" x14ac:dyDescent="0.25">
      <c r="A1737" t="s">
        <v>4</v>
      </c>
      <c r="B1737">
        <v>1735</v>
      </c>
      <c r="C1737">
        <v>25</v>
      </c>
      <c r="D1737">
        <v>3.9981322288513184</v>
      </c>
      <c r="E1737" t="s">
        <v>10</v>
      </c>
      <c r="F1737" t="s">
        <v>43</v>
      </c>
      <c r="G1737">
        <v>4.7</v>
      </c>
    </row>
    <row r="1738" spans="1:7" x14ac:dyDescent="0.25">
      <c r="A1738" t="s">
        <v>4</v>
      </c>
      <c r="B1738">
        <v>1736</v>
      </c>
      <c r="C1738">
        <v>40</v>
      </c>
      <c r="D1738">
        <v>6.7538809776306152</v>
      </c>
      <c r="E1738" t="s">
        <v>10</v>
      </c>
      <c r="F1738" t="s">
        <v>43</v>
      </c>
      <c r="G1738">
        <v>4.7</v>
      </c>
    </row>
    <row r="1739" spans="1:7" x14ac:dyDescent="0.25">
      <c r="A1739" t="s">
        <v>4</v>
      </c>
      <c r="B1739">
        <v>1737</v>
      </c>
      <c r="C1739">
        <v>100</v>
      </c>
      <c r="D1739">
        <v>7.2777636051177979</v>
      </c>
      <c r="E1739" t="s">
        <v>10</v>
      </c>
      <c r="F1739" t="s">
        <v>53</v>
      </c>
      <c r="G1739">
        <v>5</v>
      </c>
    </row>
    <row r="1740" spans="1:7" x14ac:dyDescent="0.25">
      <c r="A1740" t="s">
        <v>4</v>
      </c>
      <c r="B1740">
        <v>1738</v>
      </c>
      <c r="C1740">
        <v>70</v>
      </c>
      <c r="D1740">
        <v>12.910468578338623</v>
      </c>
      <c r="E1740" t="s">
        <v>10</v>
      </c>
      <c r="F1740" t="s">
        <v>53</v>
      </c>
      <c r="G1740">
        <v>5</v>
      </c>
    </row>
    <row r="1741" spans="1:7" x14ac:dyDescent="0.25">
      <c r="A1741" t="s">
        <v>4</v>
      </c>
      <c r="B1741">
        <v>1739</v>
      </c>
      <c r="C1741">
        <v>100</v>
      </c>
      <c r="D1741">
        <v>12.647807121276855</v>
      </c>
      <c r="E1741" t="s">
        <v>10</v>
      </c>
      <c r="F1741" t="s">
        <v>41</v>
      </c>
      <c r="G1741">
        <v>4.3</v>
      </c>
    </row>
    <row r="1742" spans="1:7" x14ac:dyDescent="0.25">
      <c r="A1742" t="s">
        <v>4</v>
      </c>
      <c r="B1742">
        <v>1740</v>
      </c>
      <c r="C1742">
        <v>100</v>
      </c>
      <c r="D1742">
        <v>4.3474419116973877</v>
      </c>
      <c r="E1742" t="s">
        <v>10</v>
      </c>
      <c r="F1742" t="s">
        <v>47</v>
      </c>
      <c r="G1742">
        <v>10</v>
      </c>
    </row>
    <row r="1743" spans="1:7" x14ac:dyDescent="0.25">
      <c r="A1743" t="s">
        <v>4</v>
      </c>
      <c r="B1743">
        <v>1741</v>
      </c>
      <c r="C1743">
        <v>0</v>
      </c>
      <c r="D1743">
        <v>9.7092607021331787</v>
      </c>
      <c r="E1743" t="s">
        <v>10</v>
      </c>
      <c r="F1743" t="s">
        <v>47</v>
      </c>
      <c r="G1743">
        <v>10</v>
      </c>
    </row>
    <row r="1744" spans="1:7" x14ac:dyDescent="0.25">
      <c r="A1744" t="s">
        <v>4</v>
      </c>
      <c r="B1744">
        <v>1742</v>
      </c>
      <c r="C1744">
        <v>12</v>
      </c>
      <c r="D1744">
        <v>25.914420127868652</v>
      </c>
      <c r="E1744" t="s">
        <v>10</v>
      </c>
      <c r="F1744" t="s">
        <v>47</v>
      </c>
      <c r="G1744">
        <v>10</v>
      </c>
    </row>
    <row r="1745" spans="1:7" x14ac:dyDescent="0.25">
      <c r="A1745" t="s">
        <v>4</v>
      </c>
      <c r="B1745">
        <v>1743</v>
      </c>
      <c r="C1745">
        <v>85</v>
      </c>
      <c r="D1745">
        <v>4.9804642200469971</v>
      </c>
      <c r="E1745" t="s">
        <v>10</v>
      </c>
      <c r="F1745" t="s">
        <v>47</v>
      </c>
      <c r="G1745">
        <v>10</v>
      </c>
    </row>
    <row r="1746" spans="1:7" x14ac:dyDescent="0.25">
      <c r="A1746" t="s">
        <v>4</v>
      </c>
      <c r="B1746">
        <v>1744</v>
      </c>
      <c r="C1746">
        <v>80</v>
      </c>
      <c r="D1746">
        <v>4.3907177448272705</v>
      </c>
      <c r="E1746" t="s">
        <v>10</v>
      </c>
      <c r="F1746" t="s">
        <v>47</v>
      </c>
      <c r="G1746">
        <v>10</v>
      </c>
    </row>
    <row r="1747" spans="1:7" x14ac:dyDescent="0.25">
      <c r="A1747" t="s">
        <v>4</v>
      </c>
      <c r="B1747">
        <v>1745</v>
      </c>
      <c r="C1747">
        <v>85</v>
      </c>
      <c r="D1747">
        <v>6.4467875957489014</v>
      </c>
      <c r="E1747" t="s">
        <v>10</v>
      </c>
      <c r="F1747" t="s">
        <v>39</v>
      </c>
      <c r="G1747">
        <v>8.5</v>
      </c>
    </row>
    <row r="1748" spans="1:7" x14ac:dyDescent="0.25">
      <c r="A1748" t="s">
        <v>4</v>
      </c>
      <c r="B1748">
        <v>1746</v>
      </c>
      <c r="C1748">
        <v>34</v>
      </c>
      <c r="D1748">
        <v>5.2403435707092285</v>
      </c>
      <c r="E1748" t="s">
        <v>10</v>
      </c>
      <c r="F1748" t="s">
        <v>41</v>
      </c>
      <c r="G1748">
        <v>7.8</v>
      </c>
    </row>
    <row r="1749" spans="1:7" x14ac:dyDescent="0.25">
      <c r="A1749" t="s">
        <v>4</v>
      </c>
      <c r="B1749">
        <v>1747</v>
      </c>
      <c r="C1749">
        <v>83</v>
      </c>
      <c r="D1749">
        <v>4.3902046680450439</v>
      </c>
      <c r="E1749" t="s">
        <v>10</v>
      </c>
      <c r="F1749" t="s">
        <v>64</v>
      </c>
      <c r="G1749">
        <v>7.6</v>
      </c>
    </row>
    <row r="1750" spans="1:7" x14ac:dyDescent="0.25">
      <c r="A1750" t="s">
        <v>4</v>
      </c>
      <c r="B1750">
        <v>1748</v>
      </c>
      <c r="C1750">
        <v>43</v>
      </c>
      <c r="D1750">
        <v>11.795239925384521</v>
      </c>
      <c r="E1750" t="s">
        <v>10</v>
      </c>
      <c r="F1750" t="s">
        <v>46</v>
      </c>
      <c r="G1750">
        <v>5</v>
      </c>
    </row>
    <row r="1751" spans="1:7" x14ac:dyDescent="0.25">
      <c r="A1751" t="s">
        <v>4</v>
      </c>
      <c r="B1751">
        <v>1749</v>
      </c>
      <c r="C1751">
        <v>72</v>
      </c>
      <c r="D1751">
        <v>18.196185111999512</v>
      </c>
      <c r="E1751" t="s">
        <v>10</v>
      </c>
      <c r="F1751" t="s">
        <v>46</v>
      </c>
      <c r="G1751">
        <v>5</v>
      </c>
    </row>
    <row r="1752" spans="1:7" x14ac:dyDescent="0.25">
      <c r="A1752" t="s">
        <v>4</v>
      </c>
      <c r="B1752">
        <v>1750</v>
      </c>
      <c r="C1752">
        <v>100</v>
      </c>
      <c r="D1752">
        <v>17.80626392364502</v>
      </c>
      <c r="E1752" t="s">
        <v>10</v>
      </c>
      <c r="F1752" t="s">
        <v>39</v>
      </c>
      <c r="G1752">
        <v>5.0999999999999996</v>
      </c>
    </row>
    <row r="1753" spans="1:7" x14ac:dyDescent="0.25">
      <c r="A1753" t="s">
        <v>4</v>
      </c>
      <c r="B1753">
        <v>1751</v>
      </c>
      <c r="C1753">
        <v>87</v>
      </c>
      <c r="D1753">
        <v>6.0585172176361084</v>
      </c>
      <c r="E1753" t="s">
        <v>10</v>
      </c>
      <c r="F1753" t="s">
        <v>43</v>
      </c>
      <c r="G1753">
        <v>2.2999999999999998</v>
      </c>
    </row>
    <row r="1754" spans="1:7" x14ac:dyDescent="0.25">
      <c r="A1754" t="s">
        <v>4</v>
      </c>
      <c r="B1754">
        <v>1752</v>
      </c>
      <c r="C1754">
        <v>84</v>
      </c>
      <c r="D1754">
        <v>4.058253288269043</v>
      </c>
      <c r="E1754" t="s">
        <v>10</v>
      </c>
      <c r="F1754" t="s">
        <v>43</v>
      </c>
      <c r="G1754">
        <v>2.2999999999999998</v>
      </c>
    </row>
    <row r="1755" spans="1:7" x14ac:dyDescent="0.25">
      <c r="A1755" t="s">
        <v>4</v>
      </c>
      <c r="B1755">
        <v>1753</v>
      </c>
      <c r="C1755">
        <v>89</v>
      </c>
      <c r="D1755">
        <v>4.601578950881958</v>
      </c>
      <c r="E1755" t="s">
        <v>10</v>
      </c>
      <c r="F1755" t="s">
        <v>45</v>
      </c>
      <c r="G1755">
        <v>6.2</v>
      </c>
    </row>
    <row r="1756" spans="1:7" x14ac:dyDescent="0.25">
      <c r="A1756" t="s">
        <v>4</v>
      </c>
      <c r="B1756">
        <v>1754</v>
      </c>
      <c r="C1756">
        <v>50</v>
      </c>
      <c r="D1756">
        <v>3.4932658672332764</v>
      </c>
      <c r="E1756" t="s">
        <v>10</v>
      </c>
      <c r="F1756" t="s">
        <v>45</v>
      </c>
      <c r="G1756">
        <v>6.2</v>
      </c>
    </row>
    <row r="1757" spans="1:7" x14ac:dyDescent="0.25">
      <c r="A1757" t="s">
        <v>4</v>
      </c>
      <c r="B1757">
        <v>1755</v>
      </c>
      <c r="C1757">
        <v>100</v>
      </c>
      <c r="D1757">
        <v>2.2728030681610107</v>
      </c>
      <c r="E1757" t="s">
        <v>10</v>
      </c>
      <c r="F1757" t="s">
        <v>45</v>
      </c>
      <c r="G1757">
        <v>6.2</v>
      </c>
    </row>
    <row r="1758" spans="1:7" x14ac:dyDescent="0.25">
      <c r="A1758" t="s">
        <v>4</v>
      </c>
      <c r="B1758">
        <v>1756</v>
      </c>
      <c r="C1758">
        <v>88</v>
      </c>
      <c r="D1758">
        <v>2.5862493515014648</v>
      </c>
      <c r="E1758" t="s">
        <v>10</v>
      </c>
      <c r="F1758" t="s">
        <v>45</v>
      </c>
      <c r="G1758">
        <v>6.2</v>
      </c>
    </row>
    <row r="1759" spans="1:7" x14ac:dyDescent="0.25">
      <c r="A1759" t="s">
        <v>4</v>
      </c>
      <c r="B1759">
        <v>1757</v>
      </c>
      <c r="C1759">
        <v>90</v>
      </c>
      <c r="D1759">
        <v>3.6364853382110596</v>
      </c>
      <c r="E1759" t="s">
        <v>10</v>
      </c>
      <c r="F1759" t="s">
        <v>45</v>
      </c>
      <c r="G1759">
        <v>6.2</v>
      </c>
    </row>
    <row r="1760" spans="1:7" x14ac:dyDescent="0.25">
      <c r="A1760" t="s">
        <v>4</v>
      </c>
      <c r="B1760">
        <v>1758</v>
      </c>
      <c r="C1760">
        <v>23</v>
      </c>
      <c r="D1760">
        <v>18.646606683731079</v>
      </c>
      <c r="E1760" t="s">
        <v>10</v>
      </c>
      <c r="F1760" t="s">
        <v>45</v>
      </c>
      <c r="G1760">
        <v>6.2</v>
      </c>
    </row>
    <row r="1761" spans="1:7" x14ac:dyDescent="0.25">
      <c r="A1761" t="s">
        <v>4</v>
      </c>
      <c r="B1761">
        <v>1759</v>
      </c>
      <c r="C1761">
        <v>30</v>
      </c>
      <c r="D1761">
        <v>2.8578875064849854</v>
      </c>
      <c r="E1761" t="s">
        <v>10</v>
      </c>
      <c r="F1761" t="s">
        <v>45</v>
      </c>
      <c r="G1761">
        <v>6.2</v>
      </c>
    </row>
    <row r="1762" spans="1:7" x14ac:dyDescent="0.25">
      <c r="A1762" t="s">
        <v>4</v>
      </c>
      <c r="B1762">
        <v>1760</v>
      </c>
      <c r="C1762">
        <v>40</v>
      </c>
      <c r="D1762">
        <v>14.423512697219849</v>
      </c>
      <c r="E1762" t="s">
        <v>10</v>
      </c>
      <c r="F1762" t="s">
        <v>46</v>
      </c>
      <c r="G1762">
        <v>5</v>
      </c>
    </row>
    <row r="1763" spans="1:7" x14ac:dyDescent="0.25">
      <c r="A1763" t="s">
        <v>4</v>
      </c>
      <c r="B1763">
        <v>1761</v>
      </c>
      <c r="C1763">
        <v>0</v>
      </c>
      <c r="D1763">
        <v>3.9658856391906738</v>
      </c>
      <c r="E1763" t="s">
        <v>10</v>
      </c>
      <c r="F1763" t="s">
        <v>56</v>
      </c>
      <c r="G1763">
        <v>4.5999999999999996</v>
      </c>
    </row>
    <row r="1764" spans="1:7" x14ac:dyDescent="0.25">
      <c r="A1764" t="s">
        <v>4</v>
      </c>
      <c r="B1764">
        <v>1762</v>
      </c>
      <c r="C1764">
        <v>48</v>
      </c>
      <c r="D1764">
        <v>4.0026001930236816</v>
      </c>
      <c r="E1764" t="s">
        <v>10</v>
      </c>
      <c r="F1764" t="s">
        <v>56</v>
      </c>
      <c r="G1764">
        <v>4.5999999999999996</v>
      </c>
    </row>
    <row r="1765" spans="1:7" x14ac:dyDescent="0.25">
      <c r="A1765" t="s">
        <v>4</v>
      </c>
      <c r="B1765">
        <v>1763</v>
      </c>
      <c r="C1765">
        <v>10</v>
      </c>
      <c r="D1765">
        <v>2.8114705085754395</v>
      </c>
      <c r="E1765" t="s">
        <v>10</v>
      </c>
      <c r="F1765" t="s">
        <v>41</v>
      </c>
      <c r="G1765">
        <v>5</v>
      </c>
    </row>
    <row r="1766" spans="1:7" x14ac:dyDescent="0.25">
      <c r="A1766" t="s">
        <v>4</v>
      </c>
      <c r="B1766">
        <v>1764</v>
      </c>
      <c r="C1766">
        <v>83</v>
      </c>
      <c r="D1766">
        <v>5.1599535942077637</v>
      </c>
      <c r="E1766" t="s">
        <v>10</v>
      </c>
      <c r="F1766" t="s">
        <v>41</v>
      </c>
      <c r="G1766">
        <v>4.9000000000000004</v>
      </c>
    </row>
    <row r="1767" spans="1:7" x14ac:dyDescent="0.25">
      <c r="A1767" t="s">
        <v>4</v>
      </c>
      <c r="B1767">
        <v>1765</v>
      </c>
      <c r="C1767">
        <v>100</v>
      </c>
      <c r="D1767">
        <v>18.63155198097229</v>
      </c>
      <c r="E1767" t="s">
        <v>10</v>
      </c>
      <c r="F1767" t="s">
        <v>41</v>
      </c>
      <c r="G1767">
        <v>4.9000000000000004</v>
      </c>
    </row>
    <row r="1768" spans="1:7" x14ac:dyDescent="0.25">
      <c r="A1768" t="s">
        <v>4</v>
      </c>
      <c r="B1768">
        <v>1766</v>
      </c>
      <c r="C1768">
        <v>98</v>
      </c>
      <c r="D1768">
        <v>7.5059049129486084</v>
      </c>
      <c r="E1768" t="s">
        <v>10</v>
      </c>
      <c r="F1768" t="s">
        <v>41</v>
      </c>
      <c r="G1768">
        <v>5</v>
      </c>
    </row>
    <row r="1769" spans="1:7" x14ac:dyDescent="0.25">
      <c r="A1769" t="s">
        <v>4</v>
      </c>
      <c r="B1769">
        <v>1767</v>
      </c>
      <c r="C1769">
        <v>100</v>
      </c>
      <c r="D1769">
        <v>2.3936216831207275</v>
      </c>
      <c r="E1769" t="s">
        <v>10</v>
      </c>
      <c r="F1769" t="s">
        <v>41</v>
      </c>
      <c r="G1769">
        <v>5</v>
      </c>
    </row>
    <row r="1770" spans="1:7" x14ac:dyDescent="0.25">
      <c r="A1770" t="s">
        <v>4</v>
      </c>
      <c r="B1770">
        <v>1768</v>
      </c>
      <c r="C1770">
        <v>97</v>
      </c>
      <c r="D1770">
        <v>3.0646133422851563</v>
      </c>
      <c r="E1770" t="s">
        <v>10</v>
      </c>
      <c r="F1770" t="s">
        <v>41</v>
      </c>
      <c r="G1770">
        <v>7.8</v>
      </c>
    </row>
    <row r="1771" spans="1:7" x14ac:dyDescent="0.25">
      <c r="A1771" t="s">
        <v>4</v>
      </c>
      <c r="B1771">
        <v>1769</v>
      </c>
      <c r="C1771">
        <v>98</v>
      </c>
      <c r="D1771">
        <v>6.5061335563659668</v>
      </c>
      <c r="E1771" t="s">
        <v>10</v>
      </c>
      <c r="F1771" t="s">
        <v>41</v>
      </c>
      <c r="G1771">
        <v>7.8</v>
      </c>
    </row>
    <row r="1772" spans="1:7" x14ac:dyDescent="0.25">
      <c r="A1772" t="s">
        <v>4</v>
      </c>
      <c r="B1772">
        <v>1770</v>
      </c>
      <c r="C1772">
        <v>100</v>
      </c>
      <c r="D1772">
        <v>4.2353415489196777</v>
      </c>
      <c r="E1772" t="s">
        <v>10</v>
      </c>
      <c r="F1772" t="s">
        <v>41</v>
      </c>
      <c r="G1772">
        <v>7.8</v>
      </c>
    </row>
    <row r="1773" spans="1:7" x14ac:dyDescent="0.25">
      <c r="A1773" t="s">
        <v>4</v>
      </c>
      <c r="B1773">
        <v>1771</v>
      </c>
      <c r="C1773">
        <v>96</v>
      </c>
      <c r="D1773">
        <v>6.5066342353820801</v>
      </c>
      <c r="E1773" t="s">
        <v>10</v>
      </c>
      <c r="F1773" t="s">
        <v>41</v>
      </c>
      <c r="G1773">
        <v>7.8</v>
      </c>
    </row>
    <row r="1774" spans="1:7" x14ac:dyDescent="0.25">
      <c r="A1774" t="s">
        <v>4</v>
      </c>
      <c r="B1774">
        <v>1772</v>
      </c>
      <c r="C1774">
        <v>42</v>
      </c>
      <c r="D1774">
        <v>10.636512756347656</v>
      </c>
      <c r="E1774" t="s">
        <v>10</v>
      </c>
      <c r="F1774" t="s">
        <v>41</v>
      </c>
      <c r="G1774">
        <v>7.8</v>
      </c>
    </row>
    <row r="1775" spans="1:7" x14ac:dyDescent="0.25">
      <c r="A1775" t="s">
        <v>4</v>
      </c>
      <c r="B1775">
        <v>1773</v>
      </c>
      <c r="C1775">
        <v>97</v>
      </c>
      <c r="D1775">
        <v>13.661702871322632</v>
      </c>
      <c r="E1775" t="s">
        <v>10</v>
      </c>
      <c r="F1775" t="s">
        <v>41</v>
      </c>
      <c r="G1775">
        <v>2.1</v>
      </c>
    </row>
    <row r="1776" spans="1:7" x14ac:dyDescent="0.25">
      <c r="A1776" t="s">
        <v>4</v>
      </c>
      <c r="B1776">
        <v>1774</v>
      </c>
      <c r="C1776">
        <v>24</v>
      </c>
      <c r="D1776">
        <v>3.4799277782440186</v>
      </c>
      <c r="E1776" t="s">
        <v>10</v>
      </c>
      <c r="F1776" t="s">
        <v>41</v>
      </c>
      <c r="G1776">
        <v>2.1</v>
      </c>
    </row>
    <row r="1777" spans="1:7" x14ac:dyDescent="0.25">
      <c r="A1777" t="s">
        <v>4</v>
      </c>
      <c r="B1777">
        <v>1775</v>
      </c>
      <c r="C1777">
        <v>83</v>
      </c>
      <c r="D1777">
        <v>2.6491506099700928</v>
      </c>
      <c r="E1777" t="s">
        <v>10</v>
      </c>
      <c r="F1777" t="s">
        <v>41</v>
      </c>
      <c r="G1777">
        <v>2.1</v>
      </c>
    </row>
    <row r="1778" spans="1:7" x14ac:dyDescent="0.25">
      <c r="A1778" t="s">
        <v>4</v>
      </c>
      <c r="B1778">
        <v>1776</v>
      </c>
      <c r="C1778">
        <v>100</v>
      </c>
      <c r="D1778">
        <v>3.5328335762023926</v>
      </c>
      <c r="E1778" t="s">
        <v>10</v>
      </c>
      <c r="F1778" t="s">
        <v>41</v>
      </c>
      <c r="G1778">
        <v>2.1</v>
      </c>
    </row>
    <row r="1779" spans="1:7" x14ac:dyDescent="0.25">
      <c r="A1779" t="s">
        <v>4</v>
      </c>
      <c r="B1779">
        <v>1777</v>
      </c>
      <c r="C1779">
        <v>40</v>
      </c>
      <c r="D1779">
        <v>2.6226158142089844</v>
      </c>
      <c r="E1779" t="s">
        <v>10</v>
      </c>
      <c r="F1779" t="s">
        <v>41</v>
      </c>
      <c r="G1779">
        <v>2.1</v>
      </c>
    </row>
    <row r="1780" spans="1:7" x14ac:dyDescent="0.25">
      <c r="A1780" t="s">
        <v>4</v>
      </c>
      <c r="B1780">
        <v>1778</v>
      </c>
      <c r="C1780">
        <v>64</v>
      </c>
      <c r="D1780">
        <v>4.92513108253479</v>
      </c>
      <c r="E1780" t="s">
        <v>10</v>
      </c>
      <c r="F1780" t="s">
        <v>41</v>
      </c>
      <c r="G1780">
        <v>2.1</v>
      </c>
    </row>
    <row r="1781" spans="1:7" x14ac:dyDescent="0.25">
      <c r="A1781" t="s">
        <v>4</v>
      </c>
      <c r="B1781">
        <v>1779</v>
      </c>
      <c r="C1781">
        <v>80</v>
      </c>
      <c r="D1781">
        <v>7.0144078731536865</v>
      </c>
      <c r="E1781" t="s">
        <v>10</v>
      </c>
      <c r="F1781" t="s">
        <v>41</v>
      </c>
      <c r="G1781">
        <v>2.1</v>
      </c>
    </row>
    <row r="1782" spans="1:7" x14ac:dyDescent="0.25">
      <c r="A1782" t="s">
        <v>4</v>
      </c>
      <c r="B1782">
        <v>1780</v>
      </c>
      <c r="C1782">
        <v>14</v>
      </c>
      <c r="D1782">
        <v>9.7728731632232666</v>
      </c>
      <c r="E1782" t="s">
        <v>10</v>
      </c>
      <c r="F1782" t="s">
        <v>41</v>
      </c>
      <c r="G1782">
        <v>2.1</v>
      </c>
    </row>
    <row r="1783" spans="1:7" x14ac:dyDescent="0.25">
      <c r="A1783" t="s">
        <v>4</v>
      </c>
      <c r="B1783">
        <v>1781</v>
      </c>
      <c r="C1783">
        <v>99</v>
      </c>
      <c r="D1783">
        <v>7.5575113296508789</v>
      </c>
      <c r="E1783" t="s">
        <v>10</v>
      </c>
      <c r="F1783" t="s">
        <v>41</v>
      </c>
      <c r="G1783">
        <v>2.1</v>
      </c>
    </row>
    <row r="1784" spans="1:7" x14ac:dyDescent="0.25">
      <c r="A1784" t="s">
        <v>4</v>
      </c>
      <c r="B1784">
        <v>1782</v>
      </c>
      <c r="C1784">
        <v>5</v>
      </c>
      <c r="D1784">
        <v>19.099039554595947</v>
      </c>
      <c r="E1784" t="s">
        <v>10</v>
      </c>
      <c r="F1784" t="s">
        <v>41</v>
      </c>
      <c r="G1784">
        <v>7.2</v>
      </c>
    </row>
    <row r="1785" spans="1:7" x14ac:dyDescent="0.25">
      <c r="A1785" t="s">
        <v>4</v>
      </c>
      <c r="B1785">
        <v>1783</v>
      </c>
      <c r="C1785">
        <v>85</v>
      </c>
      <c r="D1785">
        <v>2.9734513759613037</v>
      </c>
      <c r="E1785" t="s">
        <v>10</v>
      </c>
      <c r="F1785" t="s">
        <v>41</v>
      </c>
      <c r="G1785">
        <v>4.9000000000000004</v>
      </c>
    </row>
    <row r="1786" spans="1:7" x14ac:dyDescent="0.25">
      <c r="A1786" t="s">
        <v>4</v>
      </c>
      <c r="B1786">
        <v>1784</v>
      </c>
      <c r="C1786">
        <v>80</v>
      </c>
      <c r="D1786">
        <v>3.6478824615478516</v>
      </c>
      <c r="E1786" t="s">
        <v>10</v>
      </c>
      <c r="F1786" t="s">
        <v>41</v>
      </c>
      <c r="G1786">
        <v>4.9000000000000004</v>
      </c>
    </row>
    <row r="1787" spans="1:7" x14ac:dyDescent="0.25">
      <c r="A1787" t="s">
        <v>4</v>
      </c>
      <c r="B1787">
        <v>1785</v>
      </c>
      <c r="C1787">
        <v>89</v>
      </c>
      <c r="D1787">
        <v>3.4162862300872803</v>
      </c>
      <c r="E1787" t="s">
        <v>10</v>
      </c>
      <c r="F1787" t="s">
        <v>41</v>
      </c>
      <c r="G1787">
        <v>4.9000000000000004</v>
      </c>
    </row>
    <row r="1788" spans="1:7" x14ac:dyDescent="0.25">
      <c r="A1788" t="s">
        <v>4</v>
      </c>
      <c r="B1788">
        <v>1786</v>
      </c>
      <c r="C1788">
        <v>85</v>
      </c>
      <c r="D1788">
        <v>2.5441913604736328</v>
      </c>
      <c r="E1788" t="s">
        <v>10</v>
      </c>
      <c r="F1788" t="s">
        <v>41</v>
      </c>
      <c r="G1788">
        <v>4.9000000000000004</v>
      </c>
    </row>
    <row r="1789" spans="1:7" x14ac:dyDescent="0.25">
      <c r="A1789" t="s">
        <v>4</v>
      </c>
      <c r="B1789">
        <v>1787</v>
      </c>
      <c r="C1789">
        <v>89</v>
      </c>
      <c r="D1789">
        <v>5.7452423572540283</v>
      </c>
      <c r="E1789" t="s">
        <v>10</v>
      </c>
      <c r="F1789" t="s">
        <v>55</v>
      </c>
      <c r="G1789">
        <v>4.3</v>
      </c>
    </row>
    <row r="1790" spans="1:7" x14ac:dyDescent="0.25">
      <c r="A1790" t="s">
        <v>4</v>
      </c>
      <c r="B1790">
        <v>1788</v>
      </c>
      <c r="C1790">
        <v>74</v>
      </c>
      <c r="D1790">
        <v>2.6083571910858154</v>
      </c>
      <c r="E1790" t="s">
        <v>10</v>
      </c>
      <c r="F1790" t="s">
        <v>55</v>
      </c>
      <c r="G1790">
        <v>4.3</v>
      </c>
    </row>
    <row r="1791" spans="1:7" x14ac:dyDescent="0.25">
      <c r="A1791" t="s">
        <v>4</v>
      </c>
      <c r="B1791">
        <v>1789</v>
      </c>
      <c r="C1791">
        <v>79</v>
      </c>
      <c r="D1791">
        <v>14.592103481292725</v>
      </c>
      <c r="E1791" t="s">
        <v>10</v>
      </c>
      <c r="F1791" t="s">
        <v>39</v>
      </c>
      <c r="G1791">
        <v>6.8</v>
      </c>
    </row>
    <row r="1792" spans="1:7" x14ac:dyDescent="0.25">
      <c r="A1792" t="s">
        <v>4</v>
      </c>
      <c r="B1792">
        <v>1790</v>
      </c>
      <c r="C1792">
        <v>100</v>
      </c>
      <c r="D1792">
        <v>16.762881994247437</v>
      </c>
      <c r="E1792" t="s">
        <v>10</v>
      </c>
      <c r="F1792" t="s">
        <v>39</v>
      </c>
      <c r="G1792">
        <v>6.8</v>
      </c>
    </row>
    <row r="1793" spans="1:7" x14ac:dyDescent="0.25">
      <c r="A1793" t="s">
        <v>4</v>
      </c>
      <c r="B1793">
        <v>1791</v>
      </c>
      <c r="C1793">
        <v>100</v>
      </c>
      <c r="D1793">
        <v>8.6039004325866699</v>
      </c>
      <c r="E1793" t="s">
        <v>10</v>
      </c>
      <c r="F1793" t="s">
        <v>41</v>
      </c>
      <c r="G1793">
        <v>5</v>
      </c>
    </row>
    <row r="1794" spans="1:7" x14ac:dyDescent="0.25">
      <c r="A1794" t="s">
        <v>4</v>
      </c>
      <c r="B1794">
        <v>1792</v>
      </c>
      <c r="C1794">
        <v>85</v>
      </c>
      <c r="D1794">
        <v>4.77608323097229</v>
      </c>
      <c r="E1794" t="s">
        <v>10</v>
      </c>
      <c r="F1794" t="s">
        <v>41</v>
      </c>
      <c r="G1794">
        <v>5</v>
      </c>
    </row>
    <row r="1795" spans="1:7" x14ac:dyDescent="0.25">
      <c r="A1795" t="s">
        <v>4</v>
      </c>
      <c r="B1795">
        <v>1793</v>
      </c>
      <c r="C1795">
        <v>100</v>
      </c>
      <c r="D1795">
        <v>32.163400888442993</v>
      </c>
      <c r="E1795" t="s">
        <v>10</v>
      </c>
      <c r="F1795" t="s">
        <v>41</v>
      </c>
      <c r="G1795">
        <v>5</v>
      </c>
    </row>
    <row r="1796" spans="1:7" x14ac:dyDescent="0.25">
      <c r="A1796" t="s">
        <v>4</v>
      </c>
      <c r="B1796">
        <v>1794</v>
      </c>
      <c r="C1796">
        <v>99</v>
      </c>
      <c r="D1796">
        <v>11.070595979690552</v>
      </c>
      <c r="E1796" t="s">
        <v>10</v>
      </c>
      <c r="F1796" t="s">
        <v>41</v>
      </c>
      <c r="G1796">
        <v>5</v>
      </c>
    </row>
    <row r="1797" spans="1:7" x14ac:dyDescent="0.25">
      <c r="A1797" t="s">
        <v>4</v>
      </c>
      <c r="B1797">
        <v>1795</v>
      </c>
      <c r="C1797">
        <v>17</v>
      </c>
      <c r="D1797">
        <v>6.7546672821044922</v>
      </c>
      <c r="E1797" t="s">
        <v>10</v>
      </c>
      <c r="F1797" t="s">
        <v>41</v>
      </c>
      <c r="G1797">
        <v>5</v>
      </c>
    </row>
    <row r="1798" spans="1:7" x14ac:dyDescent="0.25">
      <c r="A1798" t="s">
        <v>4</v>
      </c>
      <c r="B1798">
        <v>1796</v>
      </c>
      <c r="C1798">
        <v>100</v>
      </c>
      <c r="D1798">
        <v>11.33796763420105</v>
      </c>
      <c r="E1798" t="s">
        <v>10</v>
      </c>
      <c r="F1798" t="s">
        <v>41</v>
      </c>
      <c r="G1798">
        <v>5</v>
      </c>
    </row>
    <row r="1799" spans="1:7" x14ac:dyDescent="0.25">
      <c r="A1799" t="s">
        <v>4</v>
      </c>
      <c r="B1799">
        <v>1797</v>
      </c>
      <c r="C1799">
        <v>100</v>
      </c>
      <c r="D1799">
        <v>18.39948296546936</v>
      </c>
      <c r="E1799" t="s">
        <v>10</v>
      </c>
      <c r="F1799" t="s">
        <v>41</v>
      </c>
      <c r="G1799">
        <v>5</v>
      </c>
    </row>
    <row r="1800" spans="1:7" x14ac:dyDescent="0.25">
      <c r="A1800" t="s">
        <v>4</v>
      </c>
      <c r="B1800">
        <v>1798</v>
      </c>
      <c r="C1800">
        <v>20</v>
      </c>
      <c r="D1800">
        <v>6.4911115169525146</v>
      </c>
      <c r="E1800" t="s">
        <v>10</v>
      </c>
      <c r="F1800" t="s">
        <v>56</v>
      </c>
      <c r="G1800">
        <v>7.2</v>
      </c>
    </row>
    <row r="1801" spans="1:7" x14ac:dyDescent="0.25">
      <c r="A1801" t="s">
        <v>4</v>
      </c>
      <c r="B1801">
        <v>1799</v>
      </c>
      <c r="C1801">
        <v>100</v>
      </c>
      <c r="D1801">
        <v>6.9168334007263184</v>
      </c>
      <c r="E1801" t="s">
        <v>10</v>
      </c>
      <c r="F1801" t="s">
        <v>56</v>
      </c>
      <c r="G1801">
        <v>7.2</v>
      </c>
    </row>
    <row r="1802" spans="1:7" x14ac:dyDescent="0.25">
      <c r="A1802" t="s">
        <v>4</v>
      </c>
      <c r="B1802">
        <v>1800</v>
      </c>
      <c r="C1802">
        <v>83</v>
      </c>
      <c r="D1802">
        <v>15.715513229370117</v>
      </c>
      <c r="E1802" t="s">
        <v>10</v>
      </c>
      <c r="F1802" t="s">
        <v>41</v>
      </c>
      <c r="G1802">
        <v>4.3</v>
      </c>
    </row>
    <row r="1803" spans="1:7" x14ac:dyDescent="0.25">
      <c r="A1803" t="s">
        <v>4</v>
      </c>
      <c r="B1803">
        <v>1801</v>
      </c>
      <c r="C1803">
        <v>70</v>
      </c>
      <c r="D1803">
        <v>3.705327033996582</v>
      </c>
      <c r="E1803" t="s">
        <v>10</v>
      </c>
      <c r="F1803" t="s">
        <v>41</v>
      </c>
      <c r="G1803">
        <v>4.3</v>
      </c>
    </row>
    <row r="1804" spans="1:7" x14ac:dyDescent="0.25">
      <c r="A1804" t="s">
        <v>4</v>
      </c>
      <c r="B1804">
        <v>1802</v>
      </c>
      <c r="C1804">
        <v>65</v>
      </c>
      <c r="D1804">
        <v>3.2559008598327637</v>
      </c>
      <c r="E1804" t="s">
        <v>10</v>
      </c>
      <c r="F1804" t="s">
        <v>41</v>
      </c>
      <c r="G1804">
        <v>4.3</v>
      </c>
    </row>
    <row r="1805" spans="1:7" x14ac:dyDescent="0.25">
      <c r="A1805" t="s">
        <v>4</v>
      </c>
      <c r="B1805">
        <v>1803</v>
      </c>
      <c r="C1805">
        <v>84</v>
      </c>
      <c r="D1805">
        <v>12.014300107955933</v>
      </c>
      <c r="E1805" t="s">
        <v>10</v>
      </c>
      <c r="F1805" t="s">
        <v>46</v>
      </c>
      <c r="G1805">
        <v>5</v>
      </c>
    </row>
    <row r="1806" spans="1:7" x14ac:dyDescent="0.25">
      <c r="A1806" t="s">
        <v>4</v>
      </c>
      <c r="B1806">
        <v>1804</v>
      </c>
      <c r="C1806">
        <v>83</v>
      </c>
      <c r="D1806">
        <v>3.8357317447662354</v>
      </c>
      <c r="E1806" t="s">
        <v>10</v>
      </c>
      <c r="F1806" t="s">
        <v>39</v>
      </c>
      <c r="G1806">
        <v>6.9</v>
      </c>
    </row>
    <row r="1807" spans="1:7" x14ac:dyDescent="0.25">
      <c r="A1807" t="s">
        <v>4</v>
      </c>
      <c r="B1807">
        <v>1805</v>
      </c>
      <c r="C1807">
        <v>12</v>
      </c>
      <c r="D1807">
        <v>4.9041030406951904</v>
      </c>
      <c r="E1807" t="s">
        <v>10</v>
      </c>
      <c r="F1807" t="s">
        <v>60</v>
      </c>
      <c r="G1807">
        <v>6.9</v>
      </c>
    </row>
    <row r="1808" spans="1:7" x14ac:dyDescent="0.25">
      <c r="A1808" t="s">
        <v>4</v>
      </c>
      <c r="B1808">
        <v>1806</v>
      </c>
      <c r="C1808">
        <v>86</v>
      </c>
      <c r="D1808">
        <v>3.042050838470459</v>
      </c>
      <c r="E1808" t="s">
        <v>10</v>
      </c>
      <c r="F1808" t="s">
        <v>46</v>
      </c>
      <c r="G1808">
        <v>4.7</v>
      </c>
    </row>
    <row r="1809" spans="1:7" x14ac:dyDescent="0.25">
      <c r="A1809" t="s">
        <v>4</v>
      </c>
      <c r="B1809">
        <v>1807</v>
      </c>
      <c r="C1809">
        <v>87</v>
      </c>
      <c r="D1809">
        <v>6.8736996650695801</v>
      </c>
      <c r="E1809" t="s">
        <v>10</v>
      </c>
      <c r="F1809" t="s">
        <v>46</v>
      </c>
      <c r="G1809">
        <v>4.7</v>
      </c>
    </row>
    <row r="1810" spans="1:7" x14ac:dyDescent="0.25">
      <c r="A1810" t="s">
        <v>4</v>
      </c>
      <c r="B1810">
        <v>1808</v>
      </c>
      <c r="C1810">
        <v>99</v>
      </c>
      <c r="D1810">
        <v>8.5700247287750244</v>
      </c>
      <c r="E1810" t="s">
        <v>10</v>
      </c>
      <c r="F1810" t="s">
        <v>46</v>
      </c>
      <c r="G1810">
        <v>4.7</v>
      </c>
    </row>
    <row r="1811" spans="1:7" x14ac:dyDescent="0.25">
      <c r="A1811" t="s">
        <v>4</v>
      </c>
      <c r="B1811">
        <v>1809</v>
      </c>
      <c r="C1811">
        <v>87</v>
      </c>
      <c r="D1811">
        <v>3.0202124118804932</v>
      </c>
      <c r="E1811" t="s">
        <v>10</v>
      </c>
      <c r="F1811" t="s">
        <v>46</v>
      </c>
      <c r="G1811">
        <v>4.7</v>
      </c>
    </row>
    <row r="1812" spans="1:7" x14ac:dyDescent="0.25">
      <c r="A1812" t="s">
        <v>4</v>
      </c>
      <c r="B1812">
        <v>1810</v>
      </c>
      <c r="C1812">
        <v>89</v>
      </c>
      <c r="D1812">
        <v>3.2825684547424316</v>
      </c>
      <c r="E1812" t="s">
        <v>10</v>
      </c>
      <c r="F1812" t="s">
        <v>46</v>
      </c>
      <c r="G1812">
        <v>4.7</v>
      </c>
    </row>
    <row r="1813" spans="1:7" x14ac:dyDescent="0.25">
      <c r="A1813" t="s">
        <v>4</v>
      </c>
      <c r="B1813">
        <v>1811</v>
      </c>
      <c r="C1813">
        <v>43</v>
      </c>
      <c r="D1813">
        <v>3.151432991027832</v>
      </c>
      <c r="E1813" t="s">
        <v>10</v>
      </c>
      <c r="F1813" t="s">
        <v>46</v>
      </c>
      <c r="G1813">
        <v>4.7</v>
      </c>
    </row>
    <row r="1814" spans="1:7" x14ac:dyDescent="0.25">
      <c r="A1814" t="s">
        <v>4</v>
      </c>
      <c r="B1814">
        <v>1812</v>
      </c>
      <c r="C1814">
        <v>40</v>
      </c>
      <c r="D1814">
        <v>3.3141403198242188</v>
      </c>
      <c r="E1814" t="s">
        <v>10</v>
      </c>
      <c r="F1814" t="s">
        <v>39</v>
      </c>
      <c r="G1814">
        <v>6.9</v>
      </c>
    </row>
    <row r="1815" spans="1:7" x14ac:dyDescent="0.25">
      <c r="A1815" t="s">
        <v>4</v>
      </c>
      <c r="B1815">
        <v>1813</v>
      </c>
      <c r="C1815">
        <v>84</v>
      </c>
      <c r="D1815">
        <v>6.2131211757659912</v>
      </c>
      <c r="E1815" t="s">
        <v>10</v>
      </c>
      <c r="F1815" t="s">
        <v>39</v>
      </c>
      <c r="G1815">
        <v>6.9</v>
      </c>
    </row>
    <row r="1816" spans="1:7" x14ac:dyDescent="0.25">
      <c r="A1816" t="s">
        <v>4</v>
      </c>
      <c r="B1816">
        <v>1814</v>
      </c>
      <c r="C1816">
        <v>0</v>
      </c>
      <c r="D1816">
        <v>7.5909414291381836</v>
      </c>
      <c r="E1816" t="s">
        <v>10</v>
      </c>
      <c r="F1816" t="s">
        <v>39</v>
      </c>
      <c r="G1816">
        <v>6.9</v>
      </c>
    </row>
    <row r="1817" spans="1:7" x14ac:dyDescent="0.25">
      <c r="A1817" t="s">
        <v>4</v>
      </c>
      <c r="B1817">
        <v>1815</v>
      </c>
      <c r="C1817">
        <v>99</v>
      </c>
      <c r="D1817">
        <v>6.3797016143798828</v>
      </c>
      <c r="E1817" t="s">
        <v>10</v>
      </c>
      <c r="F1817" t="s">
        <v>39</v>
      </c>
      <c r="G1817">
        <v>6.9</v>
      </c>
    </row>
    <row r="1818" spans="1:7" x14ac:dyDescent="0.25">
      <c r="A1818" t="s">
        <v>4</v>
      </c>
      <c r="B1818">
        <v>1816</v>
      </c>
      <c r="C1818">
        <v>75</v>
      </c>
      <c r="D1818">
        <v>10.471776247024536</v>
      </c>
      <c r="E1818" t="s">
        <v>10</v>
      </c>
      <c r="F1818" t="s">
        <v>47</v>
      </c>
      <c r="G1818">
        <v>7.5</v>
      </c>
    </row>
    <row r="1819" spans="1:7" x14ac:dyDescent="0.25">
      <c r="A1819" t="s">
        <v>4</v>
      </c>
      <c r="B1819">
        <v>1817</v>
      </c>
      <c r="C1819">
        <v>34</v>
      </c>
      <c r="D1819">
        <v>15.449316501617432</v>
      </c>
      <c r="E1819" t="s">
        <v>10</v>
      </c>
      <c r="F1819" t="s">
        <v>56</v>
      </c>
      <c r="G1819">
        <v>7.2</v>
      </c>
    </row>
    <row r="1820" spans="1:7" x14ac:dyDescent="0.25">
      <c r="A1820" t="s">
        <v>4</v>
      </c>
      <c r="B1820">
        <v>1818</v>
      </c>
      <c r="C1820">
        <v>0</v>
      </c>
      <c r="D1820">
        <v>9.8839936256408691</v>
      </c>
      <c r="E1820" t="s">
        <v>10</v>
      </c>
      <c r="F1820" t="s">
        <v>56</v>
      </c>
      <c r="G1820">
        <v>7.2</v>
      </c>
    </row>
    <row r="1821" spans="1:7" x14ac:dyDescent="0.25">
      <c r="A1821" t="s">
        <v>4</v>
      </c>
      <c r="B1821">
        <v>1819</v>
      </c>
      <c r="C1821">
        <v>80</v>
      </c>
      <c r="D1821">
        <v>3.3171935081481934</v>
      </c>
      <c r="E1821" t="s">
        <v>10</v>
      </c>
      <c r="F1821" t="s">
        <v>41</v>
      </c>
      <c r="G1821">
        <v>4.9000000000000004</v>
      </c>
    </row>
    <row r="1822" spans="1:7" x14ac:dyDescent="0.25">
      <c r="A1822" t="s">
        <v>4</v>
      </c>
      <c r="B1822">
        <v>1820</v>
      </c>
      <c r="C1822">
        <v>83</v>
      </c>
      <c r="D1822">
        <v>2.9923679828643799</v>
      </c>
      <c r="E1822" t="s">
        <v>10</v>
      </c>
      <c r="F1822" t="s">
        <v>41</v>
      </c>
      <c r="G1822">
        <v>4.9000000000000004</v>
      </c>
    </row>
    <row r="1823" spans="1:7" x14ac:dyDescent="0.25">
      <c r="A1823" t="s">
        <v>4</v>
      </c>
      <c r="B1823">
        <v>1821</v>
      </c>
      <c r="C1823">
        <v>83</v>
      </c>
      <c r="D1823">
        <v>2.8391044139862061</v>
      </c>
      <c r="E1823" t="s">
        <v>10</v>
      </c>
      <c r="F1823" t="s">
        <v>41</v>
      </c>
      <c r="G1823">
        <v>4.9000000000000004</v>
      </c>
    </row>
    <row r="1824" spans="1:7" x14ac:dyDescent="0.25">
      <c r="A1824" t="s">
        <v>4</v>
      </c>
      <c r="B1824">
        <v>1822</v>
      </c>
      <c r="C1824">
        <v>43</v>
      </c>
      <c r="D1824">
        <v>3.3270587921142578</v>
      </c>
      <c r="E1824" t="s">
        <v>10</v>
      </c>
      <c r="F1824" t="s">
        <v>41</v>
      </c>
      <c r="G1824">
        <v>4.9000000000000004</v>
      </c>
    </row>
    <row r="1825" spans="1:7" x14ac:dyDescent="0.25">
      <c r="A1825" t="s">
        <v>4</v>
      </c>
      <c r="B1825">
        <v>1823</v>
      </c>
      <c r="C1825">
        <v>0</v>
      </c>
      <c r="D1825">
        <v>6.6426205635070801</v>
      </c>
      <c r="E1825" t="s">
        <v>10</v>
      </c>
      <c r="F1825" t="s">
        <v>41</v>
      </c>
      <c r="G1825">
        <v>4.9000000000000004</v>
      </c>
    </row>
    <row r="1826" spans="1:7" x14ac:dyDescent="0.25">
      <c r="A1826" t="s">
        <v>4</v>
      </c>
      <c r="B1826">
        <v>1824</v>
      </c>
      <c r="C1826">
        <v>33</v>
      </c>
      <c r="D1826">
        <v>5.0285718441009521</v>
      </c>
      <c r="E1826" t="s">
        <v>10</v>
      </c>
      <c r="F1826" t="s">
        <v>50</v>
      </c>
      <c r="G1826">
        <v>4.5999999999999996</v>
      </c>
    </row>
    <row r="1827" spans="1:7" x14ac:dyDescent="0.25">
      <c r="A1827" t="s">
        <v>4</v>
      </c>
      <c r="B1827">
        <v>1825</v>
      </c>
      <c r="C1827">
        <v>87</v>
      </c>
      <c r="D1827">
        <v>3.0092554092407227</v>
      </c>
      <c r="E1827" t="s">
        <v>10</v>
      </c>
      <c r="F1827" t="s">
        <v>41</v>
      </c>
      <c r="G1827">
        <v>4.5999999999999996</v>
      </c>
    </row>
    <row r="1828" spans="1:7" x14ac:dyDescent="0.25">
      <c r="A1828" t="s">
        <v>4</v>
      </c>
      <c r="B1828">
        <v>1826</v>
      </c>
      <c r="C1828">
        <v>33</v>
      </c>
      <c r="D1828">
        <v>7.5945444107055664</v>
      </c>
      <c r="E1828" t="s">
        <v>10</v>
      </c>
      <c r="F1828" t="s">
        <v>41</v>
      </c>
      <c r="G1828">
        <v>4.5999999999999996</v>
      </c>
    </row>
    <row r="1829" spans="1:7" x14ac:dyDescent="0.25">
      <c r="A1829" t="s">
        <v>4</v>
      </c>
      <c r="B1829">
        <v>1827</v>
      </c>
      <c r="C1829">
        <v>88</v>
      </c>
      <c r="D1829">
        <v>5.279569149017334</v>
      </c>
      <c r="E1829" t="s">
        <v>10</v>
      </c>
      <c r="F1829" t="s">
        <v>41</v>
      </c>
      <c r="G1829">
        <v>7.1</v>
      </c>
    </row>
    <row r="1830" spans="1:7" x14ac:dyDescent="0.25">
      <c r="A1830" t="s">
        <v>4</v>
      </c>
      <c r="B1830">
        <v>1828</v>
      </c>
      <c r="C1830">
        <v>100</v>
      </c>
      <c r="D1830">
        <v>10.039783716201782</v>
      </c>
      <c r="E1830" t="s">
        <v>10</v>
      </c>
      <c r="F1830" t="s">
        <v>41</v>
      </c>
      <c r="G1830">
        <v>7.1</v>
      </c>
    </row>
    <row r="1831" spans="1:7" x14ac:dyDescent="0.25">
      <c r="A1831" t="s">
        <v>4</v>
      </c>
      <c r="B1831">
        <v>1829</v>
      </c>
      <c r="C1831">
        <v>99</v>
      </c>
      <c r="D1831">
        <v>5.5063693523406982</v>
      </c>
      <c r="E1831" t="s">
        <v>10</v>
      </c>
      <c r="F1831" t="s">
        <v>41</v>
      </c>
      <c r="G1831">
        <v>7.1</v>
      </c>
    </row>
    <row r="1832" spans="1:7" x14ac:dyDescent="0.25">
      <c r="A1832" t="s">
        <v>4</v>
      </c>
      <c r="B1832">
        <v>1830</v>
      </c>
      <c r="C1832">
        <v>70</v>
      </c>
      <c r="D1832">
        <v>3.2265298366546631</v>
      </c>
      <c r="E1832" t="s">
        <v>10</v>
      </c>
      <c r="F1832" t="s">
        <v>41</v>
      </c>
      <c r="G1832">
        <v>4.7</v>
      </c>
    </row>
    <row r="1833" spans="1:7" x14ac:dyDescent="0.25">
      <c r="A1833" t="s">
        <v>4</v>
      </c>
      <c r="B1833">
        <v>1831</v>
      </c>
      <c r="C1833">
        <v>100</v>
      </c>
      <c r="D1833">
        <v>3.6684672832489014</v>
      </c>
      <c r="E1833" t="s">
        <v>10</v>
      </c>
      <c r="F1833" t="s">
        <v>41</v>
      </c>
      <c r="G1833">
        <v>7.1</v>
      </c>
    </row>
    <row r="1834" spans="1:7" x14ac:dyDescent="0.25">
      <c r="A1834" t="s">
        <v>4</v>
      </c>
      <c r="B1834">
        <v>1832</v>
      </c>
      <c r="C1834">
        <v>20</v>
      </c>
      <c r="D1834">
        <v>6.2503457069396973</v>
      </c>
      <c r="E1834" t="s">
        <v>10</v>
      </c>
      <c r="F1834" t="s">
        <v>47</v>
      </c>
      <c r="G1834">
        <v>6.5</v>
      </c>
    </row>
    <row r="1835" spans="1:7" x14ac:dyDescent="0.25">
      <c r="A1835" t="s">
        <v>4</v>
      </c>
      <c r="B1835">
        <v>1833</v>
      </c>
      <c r="C1835">
        <v>88</v>
      </c>
      <c r="D1835">
        <v>7.0778510570526123</v>
      </c>
      <c r="E1835" t="s">
        <v>10</v>
      </c>
      <c r="F1835" t="s">
        <v>47</v>
      </c>
      <c r="G1835">
        <v>6.5</v>
      </c>
    </row>
    <row r="1836" spans="1:7" x14ac:dyDescent="0.25">
      <c r="A1836" t="s">
        <v>4</v>
      </c>
      <c r="B1836">
        <v>1834</v>
      </c>
      <c r="C1836">
        <v>34</v>
      </c>
      <c r="D1836">
        <v>9.7884092330932617</v>
      </c>
      <c r="E1836" t="s">
        <v>10</v>
      </c>
      <c r="F1836" t="s">
        <v>47</v>
      </c>
      <c r="G1836">
        <v>6.5</v>
      </c>
    </row>
    <row r="1837" spans="1:7" x14ac:dyDescent="0.25">
      <c r="A1837" t="s">
        <v>4</v>
      </c>
      <c r="B1837">
        <v>1835</v>
      </c>
      <c r="C1837">
        <v>80</v>
      </c>
      <c r="D1837">
        <v>4.3194992542266846</v>
      </c>
      <c r="E1837" t="s">
        <v>10</v>
      </c>
      <c r="F1837" t="s">
        <v>47</v>
      </c>
      <c r="G1837">
        <v>6.5</v>
      </c>
    </row>
    <row r="1838" spans="1:7" x14ac:dyDescent="0.25">
      <c r="A1838" t="s">
        <v>4</v>
      </c>
      <c r="B1838">
        <v>1836</v>
      </c>
      <c r="C1838">
        <v>80</v>
      </c>
      <c r="D1838">
        <v>3.8395509719848633</v>
      </c>
      <c r="E1838" t="s">
        <v>10</v>
      </c>
      <c r="F1838" t="s">
        <v>47</v>
      </c>
      <c r="G1838">
        <v>6.5</v>
      </c>
    </row>
    <row r="1839" spans="1:7" x14ac:dyDescent="0.25">
      <c r="A1839" t="s">
        <v>4</v>
      </c>
      <c r="B1839">
        <v>1837</v>
      </c>
      <c r="C1839">
        <v>87</v>
      </c>
      <c r="D1839">
        <v>4.4930319786071777</v>
      </c>
      <c r="E1839" t="s">
        <v>10</v>
      </c>
      <c r="F1839" t="s">
        <v>47</v>
      </c>
      <c r="G1839">
        <v>6.5</v>
      </c>
    </row>
    <row r="1840" spans="1:7" x14ac:dyDescent="0.25">
      <c r="A1840" t="s">
        <v>4</v>
      </c>
      <c r="B1840">
        <v>1838</v>
      </c>
      <c r="C1840">
        <v>94</v>
      </c>
      <c r="D1840">
        <v>4.6917815208435059</v>
      </c>
      <c r="E1840" t="s">
        <v>10</v>
      </c>
      <c r="F1840" t="s">
        <v>47</v>
      </c>
      <c r="G1840">
        <v>6.5</v>
      </c>
    </row>
    <row r="1841" spans="1:7" x14ac:dyDescent="0.25">
      <c r="A1841" t="s">
        <v>4</v>
      </c>
      <c r="B1841">
        <v>1839</v>
      </c>
      <c r="C1841">
        <v>40</v>
      </c>
      <c r="D1841">
        <v>3.4263331890106201</v>
      </c>
      <c r="E1841" t="s">
        <v>10</v>
      </c>
      <c r="F1841" t="s">
        <v>47</v>
      </c>
      <c r="G1841">
        <v>6.5</v>
      </c>
    </row>
    <row r="1842" spans="1:7" x14ac:dyDescent="0.25">
      <c r="A1842" t="s">
        <v>4</v>
      </c>
      <c r="B1842">
        <v>1840</v>
      </c>
      <c r="C1842">
        <v>89</v>
      </c>
      <c r="D1842">
        <v>13.874246120452881</v>
      </c>
      <c r="E1842" t="s">
        <v>10</v>
      </c>
      <c r="F1842" t="s">
        <v>47</v>
      </c>
      <c r="G1842">
        <v>6.5</v>
      </c>
    </row>
    <row r="1843" spans="1:7" x14ac:dyDescent="0.25">
      <c r="A1843" t="s">
        <v>4</v>
      </c>
      <c r="B1843">
        <v>1841</v>
      </c>
      <c r="C1843">
        <v>48</v>
      </c>
      <c r="D1843">
        <v>6.8479080200195313</v>
      </c>
      <c r="E1843" t="s">
        <v>10</v>
      </c>
      <c r="F1843" t="s">
        <v>47</v>
      </c>
      <c r="G1843">
        <v>6.5</v>
      </c>
    </row>
    <row r="1844" spans="1:7" x14ac:dyDescent="0.25">
      <c r="A1844" t="s">
        <v>4</v>
      </c>
      <c r="B1844">
        <v>1842</v>
      </c>
      <c r="C1844">
        <v>40</v>
      </c>
      <c r="D1844">
        <v>3.2626621723175049</v>
      </c>
      <c r="E1844" t="s">
        <v>10</v>
      </c>
      <c r="F1844" t="s">
        <v>47</v>
      </c>
      <c r="G1844">
        <v>6.5</v>
      </c>
    </row>
    <row r="1845" spans="1:7" x14ac:dyDescent="0.25">
      <c r="A1845" t="s">
        <v>4</v>
      </c>
      <c r="B1845">
        <v>1843</v>
      </c>
      <c r="C1845">
        <v>72</v>
      </c>
      <c r="D1845">
        <v>5.274040699005127</v>
      </c>
      <c r="E1845" t="s">
        <v>10</v>
      </c>
      <c r="F1845" t="s">
        <v>47</v>
      </c>
      <c r="G1845">
        <v>6.5</v>
      </c>
    </row>
    <row r="1846" spans="1:7" x14ac:dyDescent="0.25">
      <c r="A1846" t="s">
        <v>4</v>
      </c>
      <c r="B1846">
        <v>1844</v>
      </c>
      <c r="C1846">
        <v>87</v>
      </c>
      <c r="D1846">
        <v>4.8635110855102539</v>
      </c>
      <c r="E1846" t="s">
        <v>10</v>
      </c>
      <c r="F1846" t="s">
        <v>47</v>
      </c>
      <c r="G1846">
        <v>6.5</v>
      </c>
    </row>
    <row r="1847" spans="1:7" x14ac:dyDescent="0.25">
      <c r="A1847" t="s">
        <v>4</v>
      </c>
      <c r="B1847">
        <v>1845</v>
      </c>
      <c r="C1847">
        <v>95</v>
      </c>
      <c r="D1847">
        <v>4.1666550636291504</v>
      </c>
      <c r="E1847" t="s">
        <v>10</v>
      </c>
      <c r="F1847" t="s">
        <v>47</v>
      </c>
      <c r="G1847">
        <v>6.5</v>
      </c>
    </row>
    <row r="1848" spans="1:7" x14ac:dyDescent="0.25">
      <c r="A1848" t="s">
        <v>4</v>
      </c>
      <c r="B1848">
        <v>1846</v>
      </c>
      <c r="C1848">
        <v>80</v>
      </c>
      <c r="D1848">
        <v>3.4209537506103516</v>
      </c>
      <c r="E1848" t="s">
        <v>10</v>
      </c>
      <c r="F1848" t="s">
        <v>47</v>
      </c>
      <c r="G1848">
        <v>6.5</v>
      </c>
    </row>
    <row r="1849" spans="1:7" x14ac:dyDescent="0.25">
      <c r="A1849" t="s">
        <v>4</v>
      </c>
      <c r="B1849">
        <v>1847</v>
      </c>
      <c r="C1849">
        <v>80</v>
      </c>
      <c r="D1849">
        <v>3.81313157081604</v>
      </c>
      <c r="E1849" t="s">
        <v>10</v>
      </c>
      <c r="F1849" t="s">
        <v>47</v>
      </c>
      <c r="G1849">
        <v>6.5</v>
      </c>
    </row>
    <row r="1850" spans="1:7" x14ac:dyDescent="0.25">
      <c r="A1850" t="s">
        <v>4</v>
      </c>
      <c r="B1850">
        <v>1848</v>
      </c>
      <c r="C1850">
        <v>93</v>
      </c>
      <c r="D1850">
        <v>3.2614274024963379</v>
      </c>
      <c r="E1850" t="s">
        <v>10</v>
      </c>
      <c r="F1850" t="s">
        <v>47</v>
      </c>
      <c r="G1850">
        <v>6.5</v>
      </c>
    </row>
    <row r="1851" spans="1:7" x14ac:dyDescent="0.25">
      <c r="A1851" t="s">
        <v>4</v>
      </c>
      <c r="B1851">
        <v>1849</v>
      </c>
      <c r="C1851">
        <v>80</v>
      </c>
      <c r="D1851">
        <v>5.7457876205444336</v>
      </c>
      <c r="E1851" t="s">
        <v>10</v>
      </c>
      <c r="F1851" t="s">
        <v>47</v>
      </c>
      <c r="G1851">
        <v>6.5</v>
      </c>
    </row>
    <row r="1852" spans="1:7" x14ac:dyDescent="0.25">
      <c r="A1852" t="s">
        <v>4</v>
      </c>
      <c r="B1852">
        <v>1850</v>
      </c>
      <c r="C1852">
        <v>85</v>
      </c>
      <c r="D1852">
        <v>3.1636497974395752</v>
      </c>
      <c r="E1852" t="s">
        <v>10</v>
      </c>
      <c r="F1852" t="s">
        <v>47</v>
      </c>
      <c r="G1852">
        <v>6.5</v>
      </c>
    </row>
    <row r="1853" spans="1:7" x14ac:dyDescent="0.25">
      <c r="A1853" t="s">
        <v>4</v>
      </c>
      <c r="B1853">
        <v>1851</v>
      </c>
      <c r="C1853">
        <v>85</v>
      </c>
      <c r="D1853">
        <v>3.6557307243347168</v>
      </c>
      <c r="E1853" t="s">
        <v>10</v>
      </c>
      <c r="F1853" t="s">
        <v>47</v>
      </c>
      <c r="G1853">
        <v>6.5</v>
      </c>
    </row>
    <row r="1854" spans="1:7" x14ac:dyDescent="0.25">
      <c r="A1854" t="s">
        <v>4</v>
      </c>
      <c r="B1854">
        <v>1852</v>
      </c>
      <c r="C1854">
        <v>85</v>
      </c>
      <c r="D1854">
        <v>4.4591467380523682</v>
      </c>
      <c r="E1854" t="s">
        <v>10</v>
      </c>
      <c r="F1854" t="s">
        <v>47</v>
      </c>
      <c r="G1854">
        <v>6.5</v>
      </c>
    </row>
    <row r="1855" spans="1:7" x14ac:dyDescent="0.25">
      <c r="A1855" t="s">
        <v>4</v>
      </c>
      <c r="B1855">
        <v>1853</v>
      </c>
      <c r="C1855">
        <v>80</v>
      </c>
      <c r="D1855">
        <v>4.3917036056518555</v>
      </c>
      <c r="E1855" t="s">
        <v>10</v>
      </c>
      <c r="F1855" t="s">
        <v>47</v>
      </c>
      <c r="G1855">
        <v>6.5</v>
      </c>
    </row>
    <row r="1856" spans="1:7" x14ac:dyDescent="0.25">
      <c r="A1856" t="s">
        <v>4</v>
      </c>
      <c r="B1856">
        <v>1854</v>
      </c>
      <c r="C1856">
        <v>85</v>
      </c>
      <c r="D1856">
        <v>7.9002721309661865</v>
      </c>
      <c r="E1856" t="s">
        <v>10</v>
      </c>
      <c r="F1856" t="s">
        <v>47</v>
      </c>
      <c r="G1856">
        <v>6.5</v>
      </c>
    </row>
    <row r="1857" spans="1:7" x14ac:dyDescent="0.25">
      <c r="A1857" t="s">
        <v>4</v>
      </c>
      <c r="B1857">
        <v>1855</v>
      </c>
      <c r="C1857">
        <v>85</v>
      </c>
      <c r="D1857">
        <v>7.854550838470459</v>
      </c>
      <c r="E1857" t="s">
        <v>10</v>
      </c>
      <c r="F1857" t="s">
        <v>47</v>
      </c>
      <c r="G1857">
        <v>6.5</v>
      </c>
    </row>
    <row r="1858" spans="1:7" x14ac:dyDescent="0.25">
      <c r="A1858" t="s">
        <v>4</v>
      </c>
      <c r="B1858">
        <v>1856</v>
      </c>
      <c r="C1858">
        <v>100</v>
      </c>
      <c r="D1858">
        <v>4.719477653503418</v>
      </c>
      <c r="E1858" t="s">
        <v>10</v>
      </c>
      <c r="F1858" t="s">
        <v>54</v>
      </c>
      <c r="G1858">
        <v>10</v>
      </c>
    </row>
    <row r="1859" spans="1:7" x14ac:dyDescent="0.25">
      <c r="A1859" t="s">
        <v>4</v>
      </c>
      <c r="B1859">
        <v>1857</v>
      </c>
      <c r="C1859">
        <v>82</v>
      </c>
      <c r="D1859">
        <v>4.5281574726104736</v>
      </c>
      <c r="E1859" t="s">
        <v>10</v>
      </c>
      <c r="F1859" t="s">
        <v>54</v>
      </c>
      <c r="G1859">
        <v>10</v>
      </c>
    </row>
    <row r="1860" spans="1:7" x14ac:dyDescent="0.25">
      <c r="A1860" t="s">
        <v>4</v>
      </c>
      <c r="B1860">
        <v>1858</v>
      </c>
      <c r="C1860">
        <v>25</v>
      </c>
      <c r="D1860">
        <v>6.9654362201690674</v>
      </c>
      <c r="E1860" t="s">
        <v>10</v>
      </c>
      <c r="F1860" t="s">
        <v>54</v>
      </c>
      <c r="G1860">
        <v>10</v>
      </c>
    </row>
    <row r="1861" spans="1:7" x14ac:dyDescent="0.25">
      <c r="A1861" t="s">
        <v>4</v>
      </c>
      <c r="B1861">
        <v>1859</v>
      </c>
      <c r="C1861">
        <v>100</v>
      </c>
      <c r="D1861">
        <v>7.2915620803833008</v>
      </c>
      <c r="E1861" t="s">
        <v>10</v>
      </c>
      <c r="F1861" t="s">
        <v>46</v>
      </c>
      <c r="G1861">
        <v>4.3</v>
      </c>
    </row>
    <row r="1862" spans="1:7" x14ac:dyDescent="0.25">
      <c r="A1862" t="s">
        <v>4</v>
      </c>
      <c r="B1862">
        <v>1860</v>
      </c>
      <c r="C1862">
        <v>87</v>
      </c>
      <c r="D1862">
        <v>3.1994864940643311</v>
      </c>
      <c r="E1862" t="s">
        <v>10</v>
      </c>
      <c r="F1862" t="s">
        <v>43</v>
      </c>
      <c r="G1862">
        <v>3.7</v>
      </c>
    </row>
    <row r="1863" spans="1:7" x14ac:dyDescent="0.25">
      <c r="A1863" t="s">
        <v>4</v>
      </c>
      <c r="B1863">
        <v>1861</v>
      </c>
      <c r="C1863">
        <v>50</v>
      </c>
      <c r="D1863">
        <v>3.708803653717041</v>
      </c>
      <c r="E1863" t="s">
        <v>10</v>
      </c>
      <c r="F1863" t="s">
        <v>43</v>
      </c>
      <c r="G1863">
        <v>5</v>
      </c>
    </row>
    <row r="1864" spans="1:7" x14ac:dyDescent="0.25">
      <c r="A1864" t="s">
        <v>4</v>
      </c>
      <c r="B1864">
        <v>1862</v>
      </c>
      <c r="C1864">
        <v>21</v>
      </c>
      <c r="D1864">
        <v>5.2195994853973389</v>
      </c>
      <c r="E1864" t="s">
        <v>10</v>
      </c>
      <c r="F1864" t="s">
        <v>43</v>
      </c>
      <c r="G1864">
        <v>5</v>
      </c>
    </row>
    <row r="1865" spans="1:7" x14ac:dyDescent="0.25">
      <c r="A1865" t="s">
        <v>4</v>
      </c>
      <c r="B1865">
        <v>1863</v>
      </c>
      <c r="C1865">
        <v>82</v>
      </c>
      <c r="D1865">
        <v>4.7522246837615967</v>
      </c>
      <c r="E1865" t="s">
        <v>10</v>
      </c>
      <c r="F1865" t="s">
        <v>43</v>
      </c>
      <c r="G1865">
        <v>5</v>
      </c>
    </row>
    <row r="1866" spans="1:7" x14ac:dyDescent="0.25">
      <c r="A1866" t="s">
        <v>4</v>
      </c>
      <c r="B1866">
        <v>1864</v>
      </c>
      <c r="C1866">
        <v>88</v>
      </c>
      <c r="D1866">
        <v>7.2313549518585205</v>
      </c>
      <c r="E1866" t="s">
        <v>10</v>
      </c>
      <c r="F1866" t="s">
        <v>43</v>
      </c>
      <c r="G1866">
        <v>5</v>
      </c>
    </row>
    <row r="1867" spans="1:7" x14ac:dyDescent="0.25">
      <c r="A1867" t="s">
        <v>4</v>
      </c>
      <c r="B1867">
        <v>1865</v>
      </c>
      <c r="C1867">
        <v>85</v>
      </c>
      <c r="D1867">
        <v>5.7603180408477783</v>
      </c>
      <c r="E1867" t="s">
        <v>10</v>
      </c>
      <c r="F1867" t="s">
        <v>43</v>
      </c>
      <c r="G1867">
        <v>5</v>
      </c>
    </row>
    <row r="1868" spans="1:7" x14ac:dyDescent="0.25">
      <c r="A1868" t="s">
        <v>4</v>
      </c>
      <c r="B1868">
        <v>1866</v>
      </c>
      <c r="C1868">
        <v>0</v>
      </c>
      <c r="D1868">
        <v>5.2988910675048828</v>
      </c>
      <c r="E1868" t="s">
        <v>10</v>
      </c>
      <c r="F1868" t="s">
        <v>43</v>
      </c>
      <c r="G1868">
        <v>5</v>
      </c>
    </row>
    <row r="1869" spans="1:7" x14ac:dyDescent="0.25">
      <c r="A1869" t="s">
        <v>4</v>
      </c>
      <c r="B1869">
        <v>1867</v>
      </c>
      <c r="C1869">
        <v>85</v>
      </c>
      <c r="D1869">
        <v>5.2848916053771973</v>
      </c>
      <c r="E1869" t="s">
        <v>10</v>
      </c>
      <c r="F1869" t="s">
        <v>43</v>
      </c>
      <c r="G1869">
        <v>5</v>
      </c>
    </row>
    <row r="1870" spans="1:7" x14ac:dyDescent="0.25">
      <c r="A1870" t="s">
        <v>4</v>
      </c>
      <c r="B1870">
        <v>1868</v>
      </c>
      <c r="C1870">
        <v>97</v>
      </c>
      <c r="D1870">
        <v>4.6345534324645996</v>
      </c>
      <c r="E1870" t="s">
        <v>10</v>
      </c>
      <c r="F1870" t="s">
        <v>41</v>
      </c>
      <c r="G1870">
        <v>4.4000000000000004</v>
      </c>
    </row>
    <row r="1871" spans="1:7" x14ac:dyDescent="0.25">
      <c r="A1871" t="s">
        <v>4</v>
      </c>
      <c r="B1871">
        <v>1869</v>
      </c>
      <c r="C1871">
        <v>99</v>
      </c>
      <c r="D1871">
        <v>3.8063197135925293</v>
      </c>
      <c r="E1871" t="s">
        <v>10</v>
      </c>
      <c r="F1871" t="s">
        <v>43</v>
      </c>
      <c r="G1871">
        <v>1.7</v>
      </c>
    </row>
    <row r="1872" spans="1:7" x14ac:dyDescent="0.25">
      <c r="A1872" t="s">
        <v>4</v>
      </c>
      <c r="B1872">
        <v>1870</v>
      </c>
      <c r="C1872">
        <v>80</v>
      </c>
      <c r="D1872">
        <v>3.3849337100982666</v>
      </c>
      <c r="E1872" t="s">
        <v>10</v>
      </c>
      <c r="F1872" t="s">
        <v>43</v>
      </c>
      <c r="G1872">
        <v>4.9000000000000004</v>
      </c>
    </row>
    <row r="1873" spans="1:7" x14ac:dyDescent="0.25">
      <c r="A1873" t="s">
        <v>4</v>
      </c>
      <c r="B1873">
        <v>1871</v>
      </c>
      <c r="C1873">
        <v>80</v>
      </c>
      <c r="D1873">
        <v>4.8945050239562988</v>
      </c>
      <c r="E1873" t="s">
        <v>10</v>
      </c>
      <c r="F1873" t="s">
        <v>56</v>
      </c>
      <c r="G1873">
        <v>7.2</v>
      </c>
    </row>
    <row r="1874" spans="1:7" x14ac:dyDescent="0.25">
      <c r="A1874" t="s">
        <v>4</v>
      </c>
      <c r="B1874">
        <v>1872</v>
      </c>
      <c r="C1874">
        <v>17</v>
      </c>
      <c r="D1874">
        <v>4.3714511394500732</v>
      </c>
      <c r="E1874" t="s">
        <v>10</v>
      </c>
      <c r="F1874" t="s">
        <v>61</v>
      </c>
      <c r="G1874">
        <v>2.6</v>
      </c>
    </row>
    <row r="1875" spans="1:7" x14ac:dyDescent="0.25">
      <c r="A1875" t="s">
        <v>4</v>
      </c>
      <c r="B1875">
        <v>1873</v>
      </c>
      <c r="C1875">
        <v>21</v>
      </c>
      <c r="D1875">
        <v>9.7959399223327637</v>
      </c>
      <c r="E1875" t="s">
        <v>10</v>
      </c>
      <c r="F1875" t="s">
        <v>43</v>
      </c>
      <c r="G1875">
        <v>1.9</v>
      </c>
    </row>
    <row r="1876" spans="1:7" x14ac:dyDescent="0.25">
      <c r="A1876" t="s">
        <v>4</v>
      </c>
      <c r="B1876">
        <v>1874</v>
      </c>
      <c r="C1876">
        <v>90</v>
      </c>
      <c r="D1876">
        <v>4.3356599807739258</v>
      </c>
      <c r="E1876" t="s">
        <v>10</v>
      </c>
      <c r="F1876" t="s">
        <v>43</v>
      </c>
      <c r="G1876">
        <v>2.1</v>
      </c>
    </row>
    <row r="1877" spans="1:7" x14ac:dyDescent="0.25">
      <c r="A1877" t="s">
        <v>4</v>
      </c>
      <c r="B1877">
        <v>1875</v>
      </c>
      <c r="C1877">
        <v>70</v>
      </c>
      <c r="D1877">
        <v>4.6027231216430664</v>
      </c>
      <c r="E1877" t="s">
        <v>10</v>
      </c>
      <c r="F1877" t="s">
        <v>43</v>
      </c>
      <c r="G1877">
        <v>1.7</v>
      </c>
    </row>
    <row r="1878" spans="1:7" x14ac:dyDescent="0.25">
      <c r="A1878" t="s">
        <v>4</v>
      </c>
      <c r="B1878">
        <v>1876</v>
      </c>
      <c r="C1878">
        <v>45</v>
      </c>
      <c r="D1878">
        <v>3.2596766948699951</v>
      </c>
      <c r="E1878" t="s">
        <v>10</v>
      </c>
      <c r="F1878" t="s">
        <v>46</v>
      </c>
      <c r="G1878">
        <v>6.8</v>
      </c>
    </row>
    <row r="1879" spans="1:7" x14ac:dyDescent="0.25">
      <c r="A1879" t="s">
        <v>4</v>
      </c>
      <c r="B1879">
        <v>1877</v>
      </c>
      <c r="C1879">
        <v>98</v>
      </c>
      <c r="D1879">
        <v>6.5555036067962646</v>
      </c>
      <c r="E1879" t="s">
        <v>10</v>
      </c>
      <c r="F1879" t="s">
        <v>42</v>
      </c>
      <c r="G1879">
        <v>10</v>
      </c>
    </row>
    <row r="1880" spans="1:7" x14ac:dyDescent="0.25">
      <c r="A1880" t="s">
        <v>4</v>
      </c>
      <c r="B1880">
        <v>1878</v>
      </c>
      <c r="C1880">
        <v>81</v>
      </c>
      <c r="D1880">
        <v>15.762537240982056</v>
      </c>
      <c r="E1880" t="s">
        <v>10</v>
      </c>
      <c r="F1880" t="s">
        <v>46</v>
      </c>
      <c r="G1880">
        <v>5</v>
      </c>
    </row>
    <row r="1881" spans="1:7" x14ac:dyDescent="0.25">
      <c r="A1881" t="s">
        <v>4</v>
      </c>
      <c r="B1881">
        <v>1879</v>
      </c>
      <c r="C1881">
        <v>68</v>
      </c>
      <c r="D1881">
        <v>4.6349771022796631</v>
      </c>
      <c r="E1881" t="s">
        <v>10</v>
      </c>
      <c r="F1881" t="s">
        <v>41</v>
      </c>
      <c r="G1881">
        <v>5</v>
      </c>
    </row>
    <row r="1882" spans="1:7" x14ac:dyDescent="0.25">
      <c r="A1882" t="s">
        <v>4</v>
      </c>
      <c r="B1882">
        <v>1880</v>
      </c>
      <c r="C1882">
        <v>41</v>
      </c>
      <c r="D1882">
        <v>3.3254678249359131</v>
      </c>
      <c r="E1882" t="s">
        <v>10</v>
      </c>
      <c r="F1882" t="s">
        <v>46</v>
      </c>
      <c r="G1882">
        <v>4.3</v>
      </c>
    </row>
    <row r="1883" spans="1:7" x14ac:dyDescent="0.25">
      <c r="A1883" t="s">
        <v>4</v>
      </c>
      <c r="B1883">
        <v>1881</v>
      </c>
      <c r="C1883">
        <v>14</v>
      </c>
      <c r="D1883">
        <v>7.7536106109619141</v>
      </c>
      <c r="E1883" t="s">
        <v>10</v>
      </c>
      <c r="F1883" t="s">
        <v>46</v>
      </c>
      <c r="G1883">
        <v>4.3</v>
      </c>
    </row>
    <row r="1884" spans="1:7" x14ac:dyDescent="0.25">
      <c r="A1884" t="s">
        <v>4</v>
      </c>
      <c r="B1884">
        <v>1882</v>
      </c>
      <c r="C1884">
        <v>81</v>
      </c>
      <c r="D1884">
        <v>4.8595728874206543</v>
      </c>
      <c r="E1884" t="s">
        <v>10</v>
      </c>
      <c r="F1884" t="s">
        <v>46</v>
      </c>
      <c r="G1884">
        <v>4.3</v>
      </c>
    </row>
    <row r="1885" spans="1:7" x14ac:dyDescent="0.25">
      <c r="A1885" t="s">
        <v>4</v>
      </c>
      <c r="B1885">
        <v>1883</v>
      </c>
      <c r="C1885">
        <v>67</v>
      </c>
      <c r="D1885">
        <v>8.8845343589782715</v>
      </c>
      <c r="E1885" t="s">
        <v>10</v>
      </c>
      <c r="F1885" t="s">
        <v>46</v>
      </c>
      <c r="G1885">
        <v>4.3</v>
      </c>
    </row>
    <row r="1886" spans="1:7" x14ac:dyDescent="0.25">
      <c r="A1886" t="s">
        <v>4</v>
      </c>
      <c r="B1886">
        <v>1884</v>
      </c>
      <c r="C1886">
        <v>43</v>
      </c>
      <c r="D1886">
        <v>4.5357730388641357</v>
      </c>
      <c r="E1886" t="s">
        <v>10</v>
      </c>
      <c r="F1886" t="s">
        <v>43</v>
      </c>
      <c r="G1886">
        <v>2.1</v>
      </c>
    </row>
    <row r="1887" spans="1:7" x14ac:dyDescent="0.25">
      <c r="A1887" t="s">
        <v>4</v>
      </c>
      <c r="B1887">
        <v>1885</v>
      </c>
      <c r="C1887">
        <v>87</v>
      </c>
      <c r="D1887">
        <v>5.9475007057189941</v>
      </c>
      <c r="E1887" t="s">
        <v>10</v>
      </c>
      <c r="F1887" t="s">
        <v>49</v>
      </c>
      <c r="G1887">
        <v>6.9</v>
      </c>
    </row>
    <row r="1888" spans="1:7" x14ac:dyDescent="0.25">
      <c r="A1888" t="s">
        <v>4</v>
      </c>
      <c r="B1888">
        <v>1886</v>
      </c>
      <c r="C1888">
        <v>83</v>
      </c>
      <c r="D1888">
        <v>9.9123585224151611</v>
      </c>
      <c r="E1888" t="s">
        <v>10</v>
      </c>
      <c r="F1888" t="s">
        <v>49</v>
      </c>
      <c r="G1888">
        <v>6.9</v>
      </c>
    </row>
    <row r="1889" spans="1:7" x14ac:dyDescent="0.25">
      <c r="A1889" t="s">
        <v>4</v>
      </c>
      <c r="B1889">
        <v>1887</v>
      </c>
      <c r="C1889">
        <v>74</v>
      </c>
      <c r="D1889">
        <v>2.8007941246032715</v>
      </c>
      <c r="E1889" t="s">
        <v>10</v>
      </c>
      <c r="F1889" t="s">
        <v>49</v>
      </c>
      <c r="G1889">
        <v>6.9</v>
      </c>
    </row>
    <row r="1890" spans="1:7" x14ac:dyDescent="0.25">
      <c r="A1890" t="s">
        <v>4</v>
      </c>
      <c r="B1890">
        <v>1888</v>
      </c>
      <c r="C1890">
        <v>80</v>
      </c>
      <c r="D1890">
        <v>2.5999610424041748</v>
      </c>
      <c r="E1890" t="s">
        <v>10</v>
      </c>
      <c r="F1890" t="s">
        <v>49</v>
      </c>
      <c r="G1890">
        <v>6.9</v>
      </c>
    </row>
    <row r="1891" spans="1:7" x14ac:dyDescent="0.25">
      <c r="A1891" t="s">
        <v>4</v>
      </c>
      <c r="B1891">
        <v>1889</v>
      </c>
      <c r="C1891">
        <v>97</v>
      </c>
      <c r="D1891">
        <v>2.8944261074066162</v>
      </c>
      <c r="E1891" t="s">
        <v>10</v>
      </c>
      <c r="F1891" t="s">
        <v>49</v>
      </c>
      <c r="G1891">
        <v>6.9</v>
      </c>
    </row>
    <row r="1892" spans="1:7" x14ac:dyDescent="0.25">
      <c r="A1892" t="s">
        <v>4</v>
      </c>
      <c r="B1892">
        <v>1890</v>
      </c>
      <c r="C1892">
        <v>90</v>
      </c>
      <c r="D1892">
        <v>3.7338128089904785</v>
      </c>
      <c r="E1892" t="s">
        <v>10</v>
      </c>
      <c r="F1892" t="s">
        <v>41</v>
      </c>
      <c r="G1892">
        <v>4.9000000000000004</v>
      </c>
    </row>
    <row r="1893" spans="1:7" x14ac:dyDescent="0.25">
      <c r="A1893" t="s">
        <v>4</v>
      </c>
      <c r="B1893">
        <v>1891</v>
      </c>
      <c r="C1893">
        <v>100</v>
      </c>
      <c r="D1893">
        <v>3.0537030696868896</v>
      </c>
      <c r="E1893" t="s">
        <v>10</v>
      </c>
      <c r="F1893" t="s">
        <v>41</v>
      </c>
      <c r="G1893">
        <v>4.9000000000000004</v>
      </c>
    </row>
    <row r="1894" spans="1:7" x14ac:dyDescent="0.25">
      <c r="A1894" t="s">
        <v>4</v>
      </c>
      <c r="B1894">
        <v>1892</v>
      </c>
      <c r="C1894">
        <v>90</v>
      </c>
      <c r="D1894">
        <v>5.8059706687927246</v>
      </c>
      <c r="E1894" t="s">
        <v>10</v>
      </c>
      <c r="F1894" t="s">
        <v>58</v>
      </c>
      <c r="G1894">
        <v>6.9</v>
      </c>
    </row>
    <row r="1895" spans="1:7" x14ac:dyDescent="0.25">
      <c r="A1895" t="s">
        <v>4</v>
      </c>
      <c r="B1895">
        <v>1893</v>
      </c>
      <c r="C1895">
        <v>76</v>
      </c>
      <c r="D1895">
        <v>4.2735142707824707</v>
      </c>
      <c r="E1895" t="s">
        <v>10</v>
      </c>
      <c r="F1895" t="s">
        <v>56</v>
      </c>
      <c r="G1895">
        <v>7.2</v>
      </c>
    </row>
    <row r="1896" spans="1:7" x14ac:dyDescent="0.25">
      <c r="A1896" t="s">
        <v>4</v>
      </c>
      <c r="B1896">
        <v>1894</v>
      </c>
      <c r="C1896">
        <v>80</v>
      </c>
      <c r="D1896">
        <v>10.797808885574341</v>
      </c>
      <c r="E1896" t="s">
        <v>10</v>
      </c>
      <c r="F1896" t="s">
        <v>43</v>
      </c>
      <c r="G1896">
        <v>2.9</v>
      </c>
    </row>
    <row r="1897" spans="1:7" x14ac:dyDescent="0.25">
      <c r="A1897" t="s">
        <v>4</v>
      </c>
      <c r="B1897">
        <v>1895</v>
      </c>
      <c r="C1897">
        <v>32</v>
      </c>
      <c r="D1897">
        <v>17.001104116439819</v>
      </c>
      <c r="E1897" t="s">
        <v>10</v>
      </c>
      <c r="F1897" t="s">
        <v>41</v>
      </c>
      <c r="G1897">
        <v>7.1</v>
      </c>
    </row>
    <row r="1898" spans="1:7" x14ac:dyDescent="0.25">
      <c r="A1898" t="s">
        <v>4</v>
      </c>
      <c r="B1898">
        <v>1896</v>
      </c>
      <c r="C1898">
        <v>84</v>
      </c>
      <c r="D1898">
        <v>4.7552616596221924</v>
      </c>
      <c r="E1898" t="s">
        <v>10</v>
      </c>
      <c r="F1898" t="s">
        <v>58</v>
      </c>
      <c r="G1898">
        <v>5.5</v>
      </c>
    </row>
    <row r="1899" spans="1:7" x14ac:dyDescent="0.25">
      <c r="A1899" t="s">
        <v>4</v>
      </c>
      <c r="B1899">
        <v>1897</v>
      </c>
      <c r="C1899">
        <v>83</v>
      </c>
      <c r="D1899">
        <v>6.7100393772125244</v>
      </c>
      <c r="E1899" t="s">
        <v>10</v>
      </c>
      <c r="F1899" t="s">
        <v>58</v>
      </c>
      <c r="G1899">
        <v>5.5</v>
      </c>
    </row>
    <row r="1900" spans="1:7" x14ac:dyDescent="0.25">
      <c r="A1900" t="s">
        <v>4</v>
      </c>
      <c r="B1900">
        <v>1898</v>
      </c>
      <c r="C1900">
        <v>87</v>
      </c>
      <c r="D1900">
        <v>8.3429651260375977</v>
      </c>
      <c r="E1900" t="s">
        <v>10</v>
      </c>
      <c r="F1900" t="s">
        <v>65</v>
      </c>
      <c r="G1900">
        <v>6.2</v>
      </c>
    </row>
    <row r="1901" spans="1:7" x14ac:dyDescent="0.25">
      <c r="A1901" t="s">
        <v>4</v>
      </c>
      <c r="B1901">
        <v>1899</v>
      </c>
      <c r="C1901">
        <v>32</v>
      </c>
      <c r="D1901">
        <v>4.3144905567169189</v>
      </c>
      <c r="E1901" t="s">
        <v>10</v>
      </c>
      <c r="F1901" t="s">
        <v>39</v>
      </c>
      <c r="G1901">
        <v>6.5</v>
      </c>
    </row>
    <row r="1902" spans="1:7" x14ac:dyDescent="0.25">
      <c r="A1902" t="s">
        <v>4</v>
      </c>
      <c r="B1902">
        <v>1900</v>
      </c>
      <c r="C1902">
        <v>100</v>
      </c>
      <c r="D1902">
        <v>6.4522275924682617</v>
      </c>
      <c r="E1902" t="s">
        <v>10</v>
      </c>
      <c r="F1902" t="s">
        <v>39</v>
      </c>
      <c r="G1902">
        <v>6.5</v>
      </c>
    </row>
    <row r="1903" spans="1:7" x14ac:dyDescent="0.25">
      <c r="A1903" t="s">
        <v>4</v>
      </c>
      <c r="B1903">
        <v>1901</v>
      </c>
      <c r="C1903">
        <v>70</v>
      </c>
      <c r="D1903">
        <v>5.447857141494751</v>
      </c>
      <c r="E1903" t="s">
        <v>10</v>
      </c>
      <c r="F1903" t="s">
        <v>39</v>
      </c>
      <c r="G1903">
        <v>6.5</v>
      </c>
    </row>
    <row r="1904" spans="1:7" x14ac:dyDescent="0.25">
      <c r="A1904" t="s">
        <v>4</v>
      </c>
      <c r="B1904">
        <v>1902</v>
      </c>
      <c r="C1904">
        <v>72</v>
      </c>
      <c r="D1904">
        <v>4.4677143096923828</v>
      </c>
      <c r="E1904" t="s">
        <v>10</v>
      </c>
      <c r="F1904" t="s">
        <v>42</v>
      </c>
      <c r="G1904">
        <v>7.4</v>
      </c>
    </row>
    <row r="1905" spans="1:7" x14ac:dyDescent="0.25">
      <c r="A1905" t="s">
        <v>4</v>
      </c>
      <c r="B1905">
        <v>1903</v>
      </c>
      <c r="C1905">
        <v>88</v>
      </c>
      <c r="D1905">
        <v>3.9035558700561523</v>
      </c>
      <c r="E1905" t="s">
        <v>10</v>
      </c>
      <c r="F1905" t="s">
        <v>56</v>
      </c>
      <c r="G1905">
        <v>6.9</v>
      </c>
    </row>
    <row r="1906" spans="1:7" x14ac:dyDescent="0.25">
      <c r="A1906" t="s">
        <v>4</v>
      </c>
      <c r="B1906">
        <v>1904</v>
      </c>
      <c r="C1906">
        <v>88</v>
      </c>
      <c r="D1906">
        <v>6.6725749969482422</v>
      </c>
      <c r="E1906" t="s">
        <v>10</v>
      </c>
      <c r="F1906" t="s">
        <v>41</v>
      </c>
      <c r="G1906">
        <v>4.5999999999999996</v>
      </c>
    </row>
    <row r="1907" spans="1:7" x14ac:dyDescent="0.25">
      <c r="A1907" t="s">
        <v>4</v>
      </c>
      <c r="B1907">
        <v>1905</v>
      </c>
      <c r="C1907">
        <v>83</v>
      </c>
      <c r="D1907">
        <v>3.8040082454681396</v>
      </c>
      <c r="E1907" t="s">
        <v>10</v>
      </c>
      <c r="F1907" t="s">
        <v>41</v>
      </c>
      <c r="G1907">
        <v>4.7</v>
      </c>
    </row>
    <row r="1908" spans="1:7" x14ac:dyDescent="0.25">
      <c r="A1908" t="s">
        <v>4</v>
      </c>
      <c r="B1908">
        <v>1906</v>
      </c>
      <c r="C1908">
        <v>80</v>
      </c>
      <c r="D1908">
        <v>4.0387864112854004</v>
      </c>
      <c r="E1908" t="s">
        <v>10</v>
      </c>
      <c r="F1908" t="s">
        <v>41</v>
      </c>
      <c r="G1908">
        <v>5</v>
      </c>
    </row>
    <row r="1909" spans="1:7" x14ac:dyDescent="0.25">
      <c r="A1909" t="s">
        <v>4</v>
      </c>
      <c r="B1909">
        <v>1907</v>
      </c>
      <c r="C1909">
        <v>30</v>
      </c>
      <c r="D1909">
        <v>5.3047029972076416</v>
      </c>
      <c r="E1909" t="s">
        <v>10</v>
      </c>
      <c r="F1909" t="s">
        <v>41</v>
      </c>
      <c r="G1909">
        <v>5</v>
      </c>
    </row>
    <row r="1910" spans="1:7" x14ac:dyDescent="0.25">
      <c r="A1910" t="s">
        <v>4</v>
      </c>
      <c r="B1910">
        <v>1908</v>
      </c>
      <c r="C1910">
        <v>65</v>
      </c>
      <c r="D1910">
        <v>4.1317591667175293</v>
      </c>
      <c r="E1910" t="s">
        <v>10</v>
      </c>
      <c r="F1910" t="s">
        <v>41</v>
      </c>
      <c r="G1910">
        <v>5</v>
      </c>
    </row>
    <row r="1911" spans="1:7" x14ac:dyDescent="0.25">
      <c r="A1911" t="s">
        <v>4</v>
      </c>
      <c r="B1911">
        <v>1909</v>
      </c>
      <c r="C1911">
        <v>83</v>
      </c>
      <c r="D1911">
        <v>4.3433926105499268</v>
      </c>
      <c r="E1911" t="s">
        <v>10</v>
      </c>
      <c r="F1911" t="s">
        <v>41</v>
      </c>
      <c r="G1911">
        <v>5</v>
      </c>
    </row>
    <row r="1912" spans="1:7" x14ac:dyDescent="0.25">
      <c r="A1912" t="s">
        <v>4</v>
      </c>
      <c r="B1912">
        <v>1910</v>
      </c>
      <c r="C1912">
        <v>20</v>
      </c>
      <c r="D1912">
        <v>15.492085933685303</v>
      </c>
      <c r="E1912" t="s">
        <v>10</v>
      </c>
      <c r="F1912" t="s">
        <v>41</v>
      </c>
      <c r="G1912">
        <v>5</v>
      </c>
    </row>
    <row r="1913" spans="1:7" x14ac:dyDescent="0.25">
      <c r="A1913" t="s">
        <v>4</v>
      </c>
      <c r="B1913">
        <v>1911</v>
      </c>
      <c r="C1913">
        <v>85</v>
      </c>
      <c r="D1913">
        <v>4.5622382164001465</v>
      </c>
      <c r="E1913" t="s">
        <v>10</v>
      </c>
      <c r="F1913" t="s">
        <v>41</v>
      </c>
      <c r="G1913">
        <v>5</v>
      </c>
    </row>
    <row r="1914" spans="1:7" x14ac:dyDescent="0.25">
      <c r="A1914" t="s">
        <v>4</v>
      </c>
      <c r="B1914">
        <v>1912</v>
      </c>
      <c r="C1914">
        <v>50</v>
      </c>
      <c r="D1914">
        <v>3.8299999237060547</v>
      </c>
      <c r="E1914" t="s">
        <v>10</v>
      </c>
      <c r="F1914" t="s">
        <v>43</v>
      </c>
      <c r="G1914">
        <v>4.9000000000000004</v>
      </c>
    </row>
    <row r="1915" spans="1:7" x14ac:dyDescent="0.25">
      <c r="A1915" t="s">
        <v>4</v>
      </c>
      <c r="B1915">
        <v>1913</v>
      </c>
      <c r="C1915">
        <v>89</v>
      </c>
      <c r="D1915">
        <v>6.2826864719390869</v>
      </c>
      <c r="E1915" t="s">
        <v>10</v>
      </c>
      <c r="F1915" t="s">
        <v>43</v>
      </c>
      <c r="G1915">
        <v>4.9000000000000004</v>
      </c>
    </row>
    <row r="1916" spans="1:7" x14ac:dyDescent="0.25">
      <c r="A1916" t="s">
        <v>4</v>
      </c>
      <c r="B1916">
        <v>1914</v>
      </c>
      <c r="C1916">
        <v>0</v>
      </c>
      <c r="D1916">
        <v>4.5746183395385742</v>
      </c>
      <c r="E1916" t="s">
        <v>10</v>
      </c>
      <c r="F1916" t="s">
        <v>43</v>
      </c>
      <c r="G1916">
        <v>4.9000000000000004</v>
      </c>
    </row>
    <row r="1917" spans="1:7" x14ac:dyDescent="0.25">
      <c r="A1917" t="s">
        <v>4</v>
      </c>
      <c r="B1917">
        <v>1915</v>
      </c>
      <c r="C1917">
        <v>83</v>
      </c>
      <c r="D1917">
        <v>7.2818374633789063</v>
      </c>
      <c r="E1917" t="s">
        <v>10</v>
      </c>
      <c r="F1917" t="s">
        <v>43</v>
      </c>
      <c r="G1917">
        <v>4.9000000000000004</v>
      </c>
    </row>
    <row r="1918" spans="1:7" x14ac:dyDescent="0.25">
      <c r="A1918" t="s">
        <v>4</v>
      </c>
      <c r="B1918">
        <v>1916</v>
      </c>
      <c r="C1918">
        <v>20</v>
      </c>
      <c r="D1918">
        <v>5.9542748928070068</v>
      </c>
      <c r="E1918" t="s">
        <v>10</v>
      </c>
      <c r="F1918" t="s">
        <v>43</v>
      </c>
      <c r="G1918">
        <v>4.9000000000000004</v>
      </c>
    </row>
    <row r="1919" spans="1:7" x14ac:dyDescent="0.25">
      <c r="A1919" t="s">
        <v>4</v>
      </c>
      <c r="B1919">
        <v>1917</v>
      </c>
      <c r="C1919">
        <v>87</v>
      </c>
      <c r="D1919">
        <v>9.5260648727416992</v>
      </c>
      <c r="E1919" t="s">
        <v>10</v>
      </c>
      <c r="F1919" t="s">
        <v>43</v>
      </c>
      <c r="G1919">
        <v>4.9000000000000004</v>
      </c>
    </row>
    <row r="1920" spans="1:7" x14ac:dyDescent="0.25">
      <c r="A1920" t="s">
        <v>4</v>
      </c>
      <c r="B1920">
        <v>1918</v>
      </c>
      <c r="C1920">
        <v>93</v>
      </c>
      <c r="D1920">
        <v>4.5094959735870361</v>
      </c>
      <c r="E1920" t="s">
        <v>10</v>
      </c>
      <c r="F1920" t="s">
        <v>43</v>
      </c>
      <c r="G1920">
        <v>4.9000000000000004</v>
      </c>
    </row>
    <row r="1921" spans="1:7" x14ac:dyDescent="0.25">
      <c r="A1921" t="s">
        <v>4</v>
      </c>
      <c r="B1921">
        <v>1919</v>
      </c>
      <c r="C1921">
        <v>80</v>
      </c>
      <c r="D1921">
        <v>5.2929508686065674</v>
      </c>
      <c r="E1921" t="s">
        <v>10</v>
      </c>
      <c r="F1921" t="s">
        <v>43</v>
      </c>
      <c r="G1921">
        <v>4.9000000000000004</v>
      </c>
    </row>
    <row r="1922" spans="1:7" x14ac:dyDescent="0.25">
      <c r="A1922" t="s">
        <v>4</v>
      </c>
      <c r="B1922">
        <v>1920</v>
      </c>
      <c r="C1922">
        <v>80</v>
      </c>
      <c r="D1922">
        <v>3.7594938278198242</v>
      </c>
      <c r="E1922" t="s">
        <v>10</v>
      </c>
      <c r="F1922" t="s">
        <v>43</v>
      </c>
      <c r="G1922">
        <v>4.9000000000000004</v>
      </c>
    </row>
    <row r="1923" spans="1:7" x14ac:dyDescent="0.25">
      <c r="A1923" t="s">
        <v>4</v>
      </c>
      <c r="B1923">
        <v>1921</v>
      </c>
      <c r="C1923">
        <v>90</v>
      </c>
      <c r="D1923">
        <v>5.3635516166687012</v>
      </c>
      <c r="E1923" t="s">
        <v>10</v>
      </c>
      <c r="F1923" t="s">
        <v>43</v>
      </c>
      <c r="G1923">
        <v>4.9000000000000004</v>
      </c>
    </row>
    <row r="1924" spans="1:7" x14ac:dyDescent="0.25">
      <c r="A1924" t="s">
        <v>4</v>
      </c>
      <c r="B1924">
        <v>1922</v>
      </c>
      <c r="C1924">
        <v>97</v>
      </c>
      <c r="D1924">
        <v>6.1019463539123535</v>
      </c>
      <c r="E1924" t="s">
        <v>10</v>
      </c>
      <c r="F1924" t="s">
        <v>43</v>
      </c>
      <c r="G1924">
        <v>4.9000000000000004</v>
      </c>
    </row>
    <row r="1925" spans="1:7" x14ac:dyDescent="0.25">
      <c r="A1925" t="s">
        <v>4</v>
      </c>
      <c r="B1925">
        <v>1923</v>
      </c>
      <c r="C1925">
        <v>85</v>
      </c>
      <c r="D1925">
        <v>3.2216875553131104</v>
      </c>
      <c r="E1925" t="s">
        <v>10</v>
      </c>
      <c r="F1925" t="s">
        <v>43</v>
      </c>
      <c r="G1925">
        <v>4.9000000000000004</v>
      </c>
    </row>
    <row r="1926" spans="1:7" x14ac:dyDescent="0.25">
      <c r="A1926" t="s">
        <v>4</v>
      </c>
      <c r="B1926">
        <v>1924</v>
      </c>
      <c r="C1926">
        <v>84</v>
      </c>
      <c r="D1926">
        <v>4.6097865104675293</v>
      </c>
      <c r="E1926" t="s">
        <v>10</v>
      </c>
      <c r="F1926" t="s">
        <v>43</v>
      </c>
      <c r="G1926">
        <v>4.9000000000000004</v>
      </c>
    </row>
    <row r="1927" spans="1:7" x14ac:dyDescent="0.25">
      <c r="A1927" t="s">
        <v>4</v>
      </c>
      <c r="B1927">
        <v>1925</v>
      </c>
      <c r="C1927">
        <v>85</v>
      </c>
      <c r="D1927">
        <v>4.4923830032348633</v>
      </c>
      <c r="E1927" t="s">
        <v>10</v>
      </c>
      <c r="F1927" t="s">
        <v>43</v>
      </c>
      <c r="G1927">
        <v>4.9000000000000004</v>
      </c>
    </row>
    <row r="1928" spans="1:7" x14ac:dyDescent="0.25">
      <c r="A1928" t="s">
        <v>4</v>
      </c>
      <c r="B1928">
        <v>1926</v>
      </c>
      <c r="C1928">
        <v>79</v>
      </c>
      <c r="D1928">
        <v>6.0110893249511719</v>
      </c>
      <c r="E1928" t="s">
        <v>10</v>
      </c>
      <c r="F1928" t="s">
        <v>43</v>
      </c>
      <c r="G1928">
        <v>4.9000000000000004</v>
      </c>
    </row>
    <row r="1929" spans="1:7" x14ac:dyDescent="0.25">
      <c r="A1929" t="s">
        <v>4</v>
      </c>
      <c r="B1929">
        <v>1927</v>
      </c>
      <c r="C1929">
        <v>0</v>
      </c>
      <c r="D1929">
        <v>4.2762587070465088</v>
      </c>
      <c r="E1929" t="s">
        <v>10</v>
      </c>
      <c r="F1929" t="s">
        <v>43</v>
      </c>
      <c r="G1929">
        <v>4.9000000000000004</v>
      </c>
    </row>
    <row r="1930" spans="1:7" x14ac:dyDescent="0.25">
      <c r="A1930" t="s">
        <v>4</v>
      </c>
      <c r="B1930">
        <v>1928</v>
      </c>
      <c r="C1930">
        <v>80</v>
      </c>
      <c r="D1930">
        <v>5.9727685451507568</v>
      </c>
      <c r="E1930" t="s">
        <v>10</v>
      </c>
      <c r="F1930" t="s">
        <v>43</v>
      </c>
      <c r="G1930">
        <v>4.9000000000000004</v>
      </c>
    </row>
    <row r="1931" spans="1:7" x14ac:dyDescent="0.25">
      <c r="A1931" t="s">
        <v>4</v>
      </c>
      <c r="B1931">
        <v>1929</v>
      </c>
      <c r="C1931">
        <v>90</v>
      </c>
      <c r="D1931">
        <v>4.0792367458343506</v>
      </c>
      <c r="E1931" t="s">
        <v>10</v>
      </c>
      <c r="F1931" t="s">
        <v>43</v>
      </c>
      <c r="G1931">
        <v>4.9000000000000004</v>
      </c>
    </row>
    <row r="1932" spans="1:7" x14ac:dyDescent="0.25">
      <c r="A1932" t="s">
        <v>4</v>
      </c>
      <c r="B1932">
        <v>1930</v>
      </c>
      <c r="C1932">
        <v>80</v>
      </c>
      <c r="D1932">
        <v>3.5152609348297119</v>
      </c>
      <c r="E1932" t="s">
        <v>10</v>
      </c>
      <c r="F1932" t="s">
        <v>43</v>
      </c>
      <c r="G1932">
        <v>4.9000000000000004</v>
      </c>
    </row>
    <row r="1933" spans="1:7" x14ac:dyDescent="0.25">
      <c r="A1933" t="s">
        <v>4</v>
      </c>
      <c r="B1933">
        <v>1931</v>
      </c>
      <c r="C1933">
        <v>88</v>
      </c>
      <c r="D1933">
        <v>3.4295651912689209</v>
      </c>
      <c r="E1933" t="s">
        <v>10</v>
      </c>
      <c r="F1933" t="s">
        <v>43</v>
      </c>
      <c r="G1933">
        <v>4.9000000000000004</v>
      </c>
    </row>
    <row r="1934" spans="1:7" x14ac:dyDescent="0.25">
      <c r="A1934" t="s">
        <v>4</v>
      </c>
      <c r="B1934">
        <v>1932</v>
      </c>
      <c r="C1934">
        <v>70</v>
      </c>
      <c r="D1934">
        <v>3.8115124702453613</v>
      </c>
      <c r="E1934" t="s">
        <v>10</v>
      </c>
      <c r="F1934" t="s">
        <v>43</v>
      </c>
      <c r="G1934">
        <v>4.9000000000000004</v>
      </c>
    </row>
    <row r="1935" spans="1:7" x14ac:dyDescent="0.25">
      <c r="A1935" t="s">
        <v>4</v>
      </c>
      <c r="B1935">
        <v>1933</v>
      </c>
      <c r="C1935">
        <v>32</v>
      </c>
      <c r="D1935">
        <v>6.5729644298553467</v>
      </c>
      <c r="E1935" t="s">
        <v>10</v>
      </c>
      <c r="F1935" t="s">
        <v>43</v>
      </c>
      <c r="G1935">
        <v>4.9000000000000004</v>
      </c>
    </row>
    <row r="1936" spans="1:7" x14ac:dyDescent="0.25">
      <c r="A1936" t="s">
        <v>4</v>
      </c>
      <c r="B1936">
        <v>1934</v>
      </c>
      <c r="C1936">
        <v>100</v>
      </c>
      <c r="D1936">
        <v>13.056135892868042</v>
      </c>
      <c r="E1936" t="s">
        <v>10</v>
      </c>
      <c r="F1936" t="s">
        <v>43</v>
      </c>
      <c r="G1936">
        <v>4.9000000000000004</v>
      </c>
    </row>
    <row r="1937" spans="1:7" x14ac:dyDescent="0.25">
      <c r="A1937" t="s">
        <v>4</v>
      </c>
      <c r="B1937">
        <v>1935</v>
      </c>
      <c r="C1937">
        <v>30</v>
      </c>
      <c r="D1937">
        <v>3.7951118946075439</v>
      </c>
      <c r="E1937" t="s">
        <v>10</v>
      </c>
      <c r="F1937" t="s">
        <v>43</v>
      </c>
      <c r="G1937">
        <v>4.9000000000000004</v>
      </c>
    </row>
    <row r="1938" spans="1:7" x14ac:dyDescent="0.25">
      <c r="A1938" t="s">
        <v>4</v>
      </c>
      <c r="B1938">
        <v>1936</v>
      </c>
      <c r="C1938">
        <v>37</v>
      </c>
      <c r="D1938">
        <v>5.9758114814758301</v>
      </c>
      <c r="E1938" t="s">
        <v>10</v>
      </c>
      <c r="F1938" t="s">
        <v>43</v>
      </c>
      <c r="G1938">
        <v>4.9000000000000004</v>
      </c>
    </row>
    <row r="1939" spans="1:7" x14ac:dyDescent="0.25">
      <c r="A1939" t="s">
        <v>4</v>
      </c>
      <c r="B1939">
        <v>1937</v>
      </c>
      <c r="C1939">
        <v>83</v>
      </c>
      <c r="D1939">
        <v>4.6137905120849609</v>
      </c>
      <c r="E1939" t="s">
        <v>10</v>
      </c>
      <c r="F1939" t="s">
        <v>43</v>
      </c>
      <c r="G1939">
        <v>4.9000000000000004</v>
      </c>
    </row>
    <row r="1940" spans="1:7" x14ac:dyDescent="0.25">
      <c r="A1940" t="s">
        <v>4</v>
      </c>
      <c r="B1940">
        <v>1938</v>
      </c>
      <c r="C1940">
        <v>40</v>
      </c>
      <c r="D1940">
        <v>7.2692837715148926</v>
      </c>
      <c r="E1940" t="s">
        <v>10</v>
      </c>
      <c r="F1940" t="s">
        <v>43</v>
      </c>
      <c r="G1940">
        <v>4.9000000000000004</v>
      </c>
    </row>
    <row r="1941" spans="1:7" x14ac:dyDescent="0.25">
      <c r="A1941" t="s">
        <v>4</v>
      </c>
      <c r="B1941">
        <v>1939</v>
      </c>
      <c r="C1941">
        <v>87</v>
      </c>
      <c r="D1941">
        <v>8.8808639049530029</v>
      </c>
      <c r="E1941" t="s">
        <v>10</v>
      </c>
      <c r="F1941" t="s">
        <v>43</v>
      </c>
      <c r="G1941">
        <v>4.9000000000000004</v>
      </c>
    </row>
    <row r="1942" spans="1:7" x14ac:dyDescent="0.25">
      <c r="A1942" t="s">
        <v>4</v>
      </c>
      <c r="B1942">
        <v>1940</v>
      </c>
      <c r="C1942">
        <v>89</v>
      </c>
      <c r="D1942">
        <v>4.2862231731414795</v>
      </c>
      <c r="E1942" t="s">
        <v>10</v>
      </c>
      <c r="F1942" t="s">
        <v>43</v>
      </c>
      <c r="G1942">
        <v>4.9000000000000004</v>
      </c>
    </row>
    <row r="1943" spans="1:7" x14ac:dyDescent="0.25">
      <c r="A1943" t="s">
        <v>4</v>
      </c>
      <c r="B1943">
        <v>1941</v>
      </c>
      <c r="C1943">
        <v>98</v>
      </c>
      <c r="D1943">
        <v>3.6449494361877441</v>
      </c>
      <c r="E1943" t="s">
        <v>10</v>
      </c>
      <c r="F1943" t="s">
        <v>43</v>
      </c>
      <c r="G1943">
        <v>4.9000000000000004</v>
      </c>
    </row>
    <row r="1944" spans="1:7" x14ac:dyDescent="0.25">
      <c r="A1944" t="s">
        <v>4</v>
      </c>
      <c r="B1944">
        <v>1942</v>
      </c>
      <c r="C1944">
        <v>85</v>
      </c>
      <c r="D1944">
        <v>8.7191767692565918</v>
      </c>
      <c r="E1944" t="s">
        <v>10</v>
      </c>
      <c r="F1944" t="s">
        <v>43</v>
      </c>
      <c r="G1944">
        <v>4.9000000000000004</v>
      </c>
    </row>
    <row r="1945" spans="1:7" x14ac:dyDescent="0.25">
      <c r="A1945" t="s">
        <v>4</v>
      </c>
      <c r="B1945">
        <v>1943</v>
      </c>
      <c r="C1945">
        <v>60</v>
      </c>
      <c r="D1945">
        <v>6.5833139419555664</v>
      </c>
      <c r="E1945" t="s">
        <v>10</v>
      </c>
      <c r="F1945" t="s">
        <v>43</v>
      </c>
      <c r="G1945">
        <v>4.9000000000000004</v>
      </c>
    </row>
    <row r="1946" spans="1:7" x14ac:dyDescent="0.25">
      <c r="A1946" t="s">
        <v>4</v>
      </c>
      <c r="B1946">
        <v>1944</v>
      </c>
      <c r="C1946">
        <v>60</v>
      </c>
      <c r="D1946">
        <v>4.8408939838409424</v>
      </c>
      <c r="E1946" t="s">
        <v>10</v>
      </c>
      <c r="F1946" t="s">
        <v>43</v>
      </c>
      <c r="G1946">
        <v>4.9000000000000004</v>
      </c>
    </row>
    <row r="1947" spans="1:7" x14ac:dyDescent="0.25">
      <c r="A1947" t="s">
        <v>4</v>
      </c>
      <c r="B1947">
        <v>1945</v>
      </c>
      <c r="C1947">
        <v>83</v>
      </c>
      <c r="D1947">
        <v>6.4628925323486328</v>
      </c>
      <c r="E1947" t="s">
        <v>10</v>
      </c>
      <c r="F1947" t="s">
        <v>43</v>
      </c>
      <c r="G1947">
        <v>4.9000000000000004</v>
      </c>
    </row>
    <row r="1948" spans="1:7" x14ac:dyDescent="0.25">
      <c r="A1948" t="s">
        <v>4</v>
      </c>
      <c r="B1948">
        <v>1946</v>
      </c>
      <c r="C1948">
        <v>91</v>
      </c>
      <c r="D1948">
        <v>3.4582250118255615</v>
      </c>
      <c r="E1948" t="s">
        <v>10</v>
      </c>
      <c r="F1948" t="s">
        <v>43</v>
      </c>
      <c r="G1948">
        <v>4.9000000000000004</v>
      </c>
    </row>
    <row r="1949" spans="1:7" x14ac:dyDescent="0.25">
      <c r="A1949" t="s">
        <v>4</v>
      </c>
      <c r="B1949">
        <v>1947</v>
      </c>
      <c r="C1949">
        <v>85</v>
      </c>
      <c r="D1949">
        <v>9.9369103908538818</v>
      </c>
      <c r="E1949" t="s">
        <v>10</v>
      </c>
      <c r="F1949" t="s">
        <v>43</v>
      </c>
      <c r="G1949">
        <v>4.9000000000000004</v>
      </c>
    </row>
    <row r="1950" spans="1:7" x14ac:dyDescent="0.25">
      <c r="A1950" t="s">
        <v>4</v>
      </c>
      <c r="B1950">
        <v>1948</v>
      </c>
      <c r="C1950">
        <v>80</v>
      </c>
      <c r="D1950">
        <v>6.8894429206848145</v>
      </c>
      <c r="E1950" t="s">
        <v>10</v>
      </c>
      <c r="F1950" t="s">
        <v>43</v>
      </c>
      <c r="G1950">
        <v>4.9000000000000004</v>
      </c>
    </row>
    <row r="1951" spans="1:7" x14ac:dyDescent="0.25">
      <c r="A1951" t="s">
        <v>4</v>
      </c>
      <c r="B1951">
        <v>1949</v>
      </c>
      <c r="C1951">
        <v>100</v>
      </c>
      <c r="D1951">
        <v>4.5073120594024658</v>
      </c>
      <c r="E1951" t="s">
        <v>10</v>
      </c>
      <c r="F1951" t="s">
        <v>43</v>
      </c>
      <c r="G1951">
        <v>4.9000000000000004</v>
      </c>
    </row>
    <row r="1952" spans="1:7" x14ac:dyDescent="0.25">
      <c r="A1952" t="s">
        <v>4</v>
      </c>
      <c r="B1952">
        <v>1950</v>
      </c>
      <c r="C1952">
        <v>100</v>
      </c>
      <c r="D1952">
        <v>16.195710420608521</v>
      </c>
      <c r="E1952" t="s">
        <v>10</v>
      </c>
      <c r="F1952" t="s">
        <v>43</v>
      </c>
      <c r="G1952">
        <v>4.9000000000000004</v>
      </c>
    </row>
    <row r="1953" spans="1:7" x14ac:dyDescent="0.25">
      <c r="A1953" t="s">
        <v>4</v>
      </c>
      <c r="B1953">
        <v>1951</v>
      </c>
      <c r="C1953">
        <v>100</v>
      </c>
      <c r="D1953">
        <v>4.0086972713470459</v>
      </c>
      <c r="E1953" t="s">
        <v>10</v>
      </c>
      <c r="F1953" t="s">
        <v>43</v>
      </c>
      <c r="G1953">
        <v>4.9000000000000004</v>
      </c>
    </row>
    <row r="1954" spans="1:7" x14ac:dyDescent="0.25">
      <c r="A1954" t="s">
        <v>4</v>
      </c>
      <c r="B1954">
        <v>1952</v>
      </c>
      <c r="C1954">
        <v>100</v>
      </c>
      <c r="D1954">
        <v>6.3423666954040527</v>
      </c>
      <c r="E1954" t="s">
        <v>10</v>
      </c>
      <c r="F1954" t="s">
        <v>43</v>
      </c>
      <c r="G1954">
        <v>4.9000000000000004</v>
      </c>
    </row>
    <row r="1955" spans="1:7" x14ac:dyDescent="0.25">
      <c r="A1955" t="s">
        <v>4</v>
      </c>
      <c r="B1955">
        <v>1953</v>
      </c>
      <c r="C1955">
        <v>0</v>
      </c>
      <c r="D1955">
        <v>6.2578356266021729</v>
      </c>
      <c r="E1955" t="s">
        <v>10</v>
      </c>
      <c r="F1955" t="s">
        <v>43</v>
      </c>
      <c r="G1955">
        <v>4.9000000000000004</v>
      </c>
    </row>
    <row r="1956" spans="1:7" x14ac:dyDescent="0.25">
      <c r="A1956" t="s">
        <v>4</v>
      </c>
      <c r="B1956">
        <v>1954</v>
      </c>
      <c r="C1956">
        <v>95</v>
      </c>
      <c r="D1956">
        <v>7.8302075862884521</v>
      </c>
      <c r="E1956" t="s">
        <v>10</v>
      </c>
      <c r="F1956" t="s">
        <v>43</v>
      </c>
      <c r="G1956">
        <v>4.9000000000000004</v>
      </c>
    </row>
    <row r="1957" spans="1:7" x14ac:dyDescent="0.25">
      <c r="A1957" t="s">
        <v>4</v>
      </c>
      <c r="B1957">
        <v>1955</v>
      </c>
      <c r="C1957">
        <v>72</v>
      </c>
      <c r="D1957">
        <v>2.7937712669372559</v>
      </c>
      <c r="E1957" t="s">
        <v>10</v>
      </c>
      <c r="F1957" t="s">
        <v>43</v>
      </c>
      <c r="G1957">
        <v>4.9000000000000004</v>
      </c>
    </row>
    <row r="1958" spans="1:7" x14ac:dyDescent="0.25">
      <c r="A1958" t="s">
        <v>4</v>
      </c>
      <c r="B1958">
        <v>1956</v>
      </c>
      <c r="C1958">
        <v>88</v>
      </c>
      <c r="D1958">
        <v>7.0483901500701904</v>
      </c>
      <c r="E1958" t="s">
        <v>10</v>
      </c>
      <c r="F1958" t="s">
        <v>43</v>
      </c>
      <c r="G1958">
        <v>4.9000000000000004</v>
      </c>
    </row>
    <row r="1959" spans="1:7" x14ac:dyDescent="0.25">
      <c r="A1959" t="s">
        <v>4</v>
      </c>
      <c r="B1959">
        <v>1957</v>
      </c>
      <c r="C1959">
        <v>70</v>
      </c>
      <c r="D1959">
        <v>9.2024924755096436</v>
      </c>
      <c r="E1959" t="s">
        <v>10</v>
      </c>
      <c r="F1959" t="s">
        <v>43</v>
      </c>
      <c r="G1959">
        <v>4.9000000000000004</v>
      </c>
    </row>
    <row r="1960" spans="1:7" x14ac:dyDescent="0.25">
      <c r="A1960" t="s">
        <v>4</v>
      </c>
      <c r="B1960">
        <v>1958</v>
      </c>
      <c r="C1960">
        <v>98</v>
      </c>
      <c r="D1960">
        <v>9.8007938861846924</v>
      </c>
      <c r="E1960" t="s">
        <v>10</v>
      </c>
      <c r="F1960" t="s">
        <v>43</v>
      </c>
      <c r="G1960">
        <v>4.9000000000000004</v>
      </c>
    </row>
    <row r="1961" spans="1:7" x14ac:dyDescent="0.25">
      <c r="A1961" t="s">
        <v>4</v>
      </c>
      <c r="B1961">
        <v>1959</v>
      </c>
      <c r="C1961">
        <v>72</v>
      </c>
      <c r="D1961">
        <v>4.990100622177124</v>
      </c>
      <c r="E1961" t="s">
        <v>10</v>
      </c>
      <c r="F1961" t="s">
        <v>43</v>
      </c>
      <c r="G1961">
        <v>4.9000000000000004</v>
      </c>
    </row>
    <row r="1962" spans="1:7" x14ac:dyDescent="0.25">
      <c r="A1962" t="s">
        <v>4</v>
      </c>
      <c r="B1962">
        <v>1960</v>
      </c>
      <c r="C1962">
        <v>88</v>
      </c>
      <c r="D1962">
        <v>6.7087836265563965</v>
      </c>
      <c r="E1962" t="s">
        <v>10</v>
      </c>
      <c r="F1962" t="s">
        <v>43</v>
      </c>
      <c r="G1962">
        <v>4.9000000000000004</v>
      </c>
    </row>
    <row r="1963" spans="1:7" x14ac:dyDescent="0.25">
      <c r="A1963" t="s">
        <v>4</v>
      </c>
      <c r="B1963">
        <v>1961</v>
      </c>
      <c r="C1963">
        <v>87</v>
      </c>
      <c r="D1963">
        <v>6.0267062187194824</v>
      </c>
      <c r="E1963" t="s">
        <v>10</v>
      </c>
      <c r="F1963" t="s">
        <v>66</v>
      </c>
      <c r="G1963">
        <v>6.8</v>
      </c>
    </row>
    <row r="1964" spans="1:7" x14ac:dyDescent="0.25">
      <c r="A1964" t="s">
        <v>4</v>
      </c>
      <c r="B1964">
        <v>1962</v>
      </c>
      <c r="C1964">
        <v>83</v>
      </c>
      <c r="D1964">
        <v>2.8591630458831787</v>
      </c>
      <c r="E1964" t="s">
        <v>10</v>
      </c>
      <c r="F1964" t="s">
        <v>41</v>
      </c>
      <c r="G1964">
        <v>5</v>
      </c>
    </row>
    <row r="1965" spans="1:7" x14ac:dyDescent="0.25">
      <c r="A1965" t="s">
        <v>4</v>
      </c>
      <c r="B1965">
        <v>1963</v>
      </c>
      <c r="C1965">
        <v>30</v>
      </c>
      <c r="D1965">
        <v>2.8695967197418213</v>
      </c>
      <c r="E1965" t="s">
        <v>10</v>
      </c>
      <c r="F1965" t="s">
        <v>41</v>
      </c>
      <c r="G1965">
        <v>5</v>
      </c>
    </row>
    <row r="1966" spans="1:7" x14ac:dyDescent="0.25">
      <c r="A1966" t="s">
        <v>4</v>
      </c>
      <c r="B1966">
        <v>1964</v>
      </c>
      <c r="C1966">
        <v>83</v>
      </c>
      <c r="D1966">
        <v>3.4736459255218506</v>
      </c>
      <c r="E1966" t="s">
        <v>10</v>
      </c>
      <c r="F1966" t="s">
        <v>41</v>
      </c>
      <c r="G1966">
        <v>5</v>
      </c>
    </row>
    <row r="1967" spans="1:7" x14ac:dyDescent="0.25">
      <c r="A1967" t="s">
        <v>4</v>
      </c>
      <c r="B1967">
        <v>1965</v>
      </c>
      <c r="C1967">
        <v>70</v>
      </c>
      <c r="D1967">
        <v>3.6257579326629639</v>
      </c>
      <c r="E1967" t="s">
        <v>10</v>
      </c>
      <c r="F1967" t="s">
        <v>41</v>
      </c>
      <c r="G1967">
        <v>5</v>
      </c>
    </row>
    <row r="1968" spans="1:7" x14ac:dyDescent="0.25">
      <c r="A1968" t="s">
        <v>4</v>
      </c>
      <c r="B1968">
        <v>1966</v>
      </c>
      <c r="C1968">
        <v>80</v>
      </c>
      <c r="D1968">
        <v>4.6173365116119385</v>
      </c>
      <c r="E1968" t="s">
        <v>10</v>
      </c>
      <c r="F1968" t="s">
        <v>41</v>
      </c>
      <c r="G1968">
        <v>5</v>
      </c>
    </row>
    <row r="1969" spans="1:7" x14ac:dyDescent="0.25">
      <c r="A1969" t="s">
        <v>4</v>
      </c>
      <c r="B1969">
        <v>1967</v>
      </c>
      <c r="C1969">
        <v>15</v>
      </c>
      <c r="D1969">
        <v>3.1379251480102539</v>
      </c>
      <c r="E1969" t="s">
        <v>10</v>
      </c>
      <c r="F1969" t="s">
        <v>41</v>
      </c>
      <c r="G1969">
        <v>5</v>
      </c>
    </row>
    <row r="1970" spans="1:7" x14ac:dyDescent="0.25">
      <c r="A1970" t="s">
        <v>4</v>
      </c>
      <c r="B1970">
        <v>1968</v>
      </c>
      <c r="C1970">
        <v>87</v>
      </c>
      <c r="D1970">
        <v>3.0853123664855957</v>
      </c>
      <c r="E1970" t="s">
        <v>10</v>
      </c>
      <c r="F1970" t="s">
        <v>41</v>
      </c>
      <c r="G1970">
        <v>5</v>
      </c>
    </row>
    <row r="1971" spans="1:7" x14ac:dyDescent="0.25">
      <c r="A1971" t="s">
        <v>4</v>
      </c>
      <c r="B1971">
        <v>1969</v>
      </c>
      <c r="C1971">
        <v>84</v>
      </c>
      <c r="D1971">
        <v>4.2799649238586426</v>
      </c>
      <c r="E1971" t="s">
        <v>10</v>
      </c>
      <c r="F1971" t="s">
        <v>41</v>
      </c>
      <c r="G1971">
        <v>5</v>
      </c>
    </row>
    <row r="1972" spans="1:7" x14ac:dyDescent="0.25">
      <c r="A1972" t="s">
        <v>4</v>
      </c>
      <c r="B1972">
        <v>1970</v>
      </c>
      <c r="C1972">
        <v>19</v>
      </c>
      <c r="D1972">
        <v>2.6330997943878174</v>
      </c>
      <c r="E1972" t="s">
        <v>10</v>
      </c>
      <c r="F1972" t="s">
        <v>41</v>
      </c>
      <c r="G1972">
        <v>5</v>
      </c>
    </row>
    <row r="1973" spans="1:7" x14ac:dyDescent="0.25">
      <c r="A1973" t="s">
        <v>4</v>
      </c>
      <c r="B1973">
        <v>1971</v>
      </c>
      <c r="C1973">
        <v>100</v>
      </c>
      <c r="D1973">
        <v>2.8707983493804932</v>
      </c>
      <c r="E1973" t="s">
        <v>10</v>
      </c>
      <c r="F1973" t="s">
        <v>41</v>
      </c>
      <c r="G1973">
        <v>5</v>
      </c>
    </row>
    <row r="1974" spans="1:7" x14ac:dyDescent="0.25">
      <c r="A1974" t="s">
        <v>4</v>
      </c>
      <c r="B1974">
        <v>1972</v>
      </c>
      <c r="C1974">
        <v>87</v>
      </c>
      <c r="D1974">
        <v>3.8651487827301025</v>
      </c>
      <c r="E1974" t="s">
        <v>10</v>
      </c>
      <c r="F1974" t="s">
        <v>41</v>
      </c>
      <c r="G1974">
        <v>5</v>
      </c>
    </row>
    <row r="1975" spans="1:7" x14ac:dyDescent="0.25">
      <c r="A1975" t="s">
        <v>4</v>
      </c>
      <c r="B1975">
        <v>1973</v>
      </c>
      <c r="C1975">
        <v>84</v>
      </c>
      <c r="D1975">
        <v>5.0470268726348877</v>
      </c>
      <c r="E1975" t="s">
        <v>10</v>
      </c>
      <c r="F1975" t="s">
        <v>41</v>
      </c>
      <c r="G1975">
        <v>5</v>
      </c>
    </row>
    <row r="1976" spans="1:7" x14ac:dyDescent="0.25">
      <c r="A1976" t="s">
        <v>4</v>
      </c>
      <c r="B1976">
        <v>1974</v>
      </c>
      <c r="C1976">
        <v>89</v>
      </c>
      <c r="D1976">
        <v>4.9368984699249268</v>
      </c>
      <c r="E1976" t="s">
        <v>10</v>
      </c>
      <c r="F1976" t="s">
        <v>41</v>
      </c>
      <c r="G1976">
        <v>5</v>
      </c>
    </row>
    <row r="1977" spans="1:7" x14ac:dyDescent="0.25">
      <c r="A1977" t="s">
        <v>4</v>
      </c>
      <c r="B1977">
        <v>1975</v>
      </c>
      <c r="C1977">
        <v>42</v>
      </c>
      <c r="D1977">
        <v>5.6843104362487793</v>
      </c>
      <c r="E1977" t="s">
        <v>10</v>
      </c>
      <c r="F1977" t="s">
        <v>41</v>
      </c>
      <c r="G1977">
        <v>5</v>
      </c>
    </row>
    <row r="1978" spans="1:7" x14ac:dyDescent="0.25">
      <c r="A1978" t="s">
        <v>4</v>
      </c>
      <c r="B1978">
        <v>1976</v>
      </c>
      <c r="C1978">
        <v>100</v>
      </c>
      <c r="D1978">
        <v>2.6934554576873779</v>
      </c>
      <c r="E1978" t="s">
        <v>10</v>
      </c>
      <c r="F1978" t="s">
        <v>41</v>
      </c>
      <c r="G1978">
        <v>5</v>
      </c>
    </row>
    <row r="1979" spans="1:7" x14ac:dyDescent="0.25">
      <c r="A1979" t="s">
        <v>4</v>
      </c>
      <c r="B1979">
        <v>1977</v>
      </c>
      <c r="C1979">
        <v>100</v>
      </c>
      <c r="D1979">
        <v>3.6076905727386475</v>
      </c>
      <c r="E1979" t="s">
        <v>10</v>
      </c>
      <c r="F1979" t="s">
        <v>41</v>
      </c>
      <c r="G1979">
        <v>5</v>
      </c>
    </row>
    <row r="1980" spans="1:7" x14ac:dyDescent="0.25">
      <c r="A1980" t="s">
        <v>4</v>
      </c>
      <c r="B1980">
        <v>1978</v>
      </c>
      <c r="C1980">
        <v>100</v>
      </c>
      <c r="D1980">
        <v>3.3862135410308838</v>
      </c>
      <c r="E1980" t="s">
        <v>10</v>
      </c>
      <c r="F1980" t="s">
        <v>41</v>
      </c>
      <c r="G1980">
        <v>5</v>
      </c>
    </row>
    <row r="1981" spans="1:7" x14ac:dyDescent="0.25">
      <c r="A1981" t="s">
        <v>4</v>
      </c>
      <c r="B1981">
        <v>1979</v>
      </c>
      <c r="C1981">
        <v>65</v>
      </c>
      <c r="D1981">
        <v>4.2427630424499512</v>
      </c>
      <c r="E1981" t="s">
        <v>10</v>
      </c>
      <c r="F1981" t="s">
        <v>41</v>
      </c>
      <c r="G1981">
        <v>5</v>
      </c>
    </row>
    <row r="1982" spans="1:7" x14ac:dyDescent="0.25">
      <c r="A1982" t="s">
        <v>4</v>
      </c>
      <c r="B1982">
        <v>1980</v>
      </c>
      <c r="C1982">
        <v>98</v>
      </c>
      <c r="D1982">
        <v>4.0933082103729248</v>
      </c>
      <c r="E1982" t="s">
        <v>10</v>
      </c>
      <c r="F1982" t="s">
        <v>41</v>
      </c>
      <c r="G1982">
        <v>5</v>
      </c>
    </row>
    <row r="1983" spans="1:7" x14ac:dyDescent="0.25">
      <c r="A1983" t="s">
        <v>4</v>
      </c>
      <c r="B1983">
        <v>1981</v>
      </c>
      <c r="C1983">
        <v>83</v>
      </c>
      <c r="D1983">
        <v>3.744992733001709</v>
      </c>
      <c r="E1983" t="s">
        <v>10</v>
      </c>
      <c r="F1983" t="s">
        <v>45</v>
      </c>
      <c r="G1983">
        <v>5.8</v>
      </c>
    </row>
    <row r="1984" spans="1:7" x14ac:dyDescent="0.25">
      <c r="A1984" t="s">
        <v>4</v>
      </c>
      <c r="B1984">
        <v>1982</v>
      </c>
      <c r="C1984">
        <v>57</v>
      </c>
      <c r="D1984">
        <v>3.8887977600097656</v>
      </c>
      <c r="E1984" t="s">
        <v>10</v>
      </c>
      <c r="F1984" t="s">
        <v>41</v>
      </c>
      <c r="G1984">
        <v>5</v>
      </c>
    </row>
    <row r="1985" spans="1:7" x14ac:dyDescent="0.25">
      <c r="A1985" t="s">
        <v>4</v>
      </c>
      <c r="B1985">
        <v>1983</v>
      </c>
      <c r="C1985">
        <v>43</v>
      </c>
      <c r="D1985">
        <v>20.050753116607666</v>
      </c>
      <c r="E1985" t="s">
        <v>10</v>
      </c>
      <c r="F1985" t="s">
        <v>41</v>
      </c>
      <c r="G1985">
        <v>4.9000000000000004</v>
      </c>
    </row>
    <row r="1986" spans="1:7" x14ac:dyDescent="0.25">
      <c r="A1986" t="s">
        <v>4</v>
      </c>
      <c r="B1986">
        <v>1984</v>
      </c>
      <c r="C1986">
        <v>83</v>
      </c>
      <c r="D1986">
        <v>5.6592440605163574</v>
      </c>
      <c r="E1986" t="s">
        <v>10</v>
      </c>
      <c r="F1986" t="s">
        <v>41</v>
      </c>
      <c r="G1986">
        <v>4.9000000000000004</v>
      </c>
    </row>
    <row r="1987" spans="1:7" x14ac:dyDescent="0.25">
      <c r="A1987" t="s">
        <v>4</v>
      </c>
      <c r="B1987">
        <v>1985</v>
      </c>
      <c r="C1987">
        <v>24</v>
      </c>
      <c r="D1987">
        <v>14.247658967971802</v>
      </c>
      <c r="E1987" t="s">
        <v>10</v>
      </c>
      <c r="F1987" t="s">
        <v>41</v>
      </c>
      <c r="G1987">
        <v>7.8</v>
      </c>
    </row>
    <row r="1988" spans="1:7" x14ac:dyDescent="0.25">
      <c r="A1988" t="s">
        <v>4</v>
      </c>
      <c r="B1988">
        <v>1986</v>
      </c>
      <c r="C1988">
        <v>90</v>
      </c>
      <c r="D1988">
        <v>3.3215432167053223</v>
      </c>
      <c r="E1988" t="s">
        <v>10</v>
      </c>
      <c r="F1988" t="s">
        <v>67</v>
      </c>
      <c r="G1988">
        <v>6.4</v>
      </c>
    </row>
    <row r="1989" spans="1:7" x14ac:dyDescent="0.25">
      <c r="A1989" t="s">
        <v>4</v>
      </c>
      <c r="B1989">
        <v>1987</v>
      </c>
      <c r="C1989">
        <v>17</v>
      </c>
      <c r="D1989">
        <v>12.682785749435425</v>
      </c>
      <c r="E1989" t="s">
        <v>10</v>
      </c>
      <c r="F1989" t="s">
        <v>46</v>
      </c>
      <c r="G1989">
        <v>4</v>
      </c>
    </row>
    <row r="1990" spans="1:7" x14ac:dyDescent="0.25">
      <c r="A1990" t="s">
        <v>4</v>
      </c>
      <c r="B1990">
        <v>1988</v>
      </c>
      <c r="C1990">
        <v>97</v>
      </c>
      <c r="D1990">
        <v>3.9050934314727783</v>
      </c>
      <c r="E1990" t="s">
        <v>10</v>
      </c>
      <c r="F1990" t="s">
        <v>46</v>
      </c>
      <c r="G1990">
        <v>4</v>
      </c>
    </row>
    <row r="1991" spans="1:7" x14ac:dyDescent="0.25">
      <c r="A1991" t="s">
        <v>4</v>
      </c>
      <c r="B1991">
        <v>1989</v>
      </c>
      <c r="C1991">
        <v>80</v>
      </c>
      <c r="D1991">
        <v>2.7542424201965332</v>
      </c>
      <c r="E1991" t="s">
        <v>10</v>
      </c>
      <c r="F1991" t="s">
        <v>46</v>
      </c>
      <c r="G1991">
        <v>4</v>
      </c>
    </row>
    <row r="1992" spans="1:7" x14ac:dyDescent="0.25">
      <c r="A1992" t="s">
        <v>4</v>
      </c>
      <c r="B1992">
        <v>1990</v>
      </c>
      <c r="C1992">
        <v>85</v>
      </c>
      <c r="D1992">
        <v>2.7559928894042969</v>
      </c>
      <c r="E1992" t="s">
        <v>10</v>
      </c>
      <c r="F1992" t="s">
        <v>46</v>
      </c>
      <c r="G1992">
        <v>4</v>
      </c>
    </row>
    <row r="1993" spans="1:7" x14ac:dyDescent="0.25">
      <c r="A1993" t="s">
        <v>4</v>
      </c>
      <c r="B1993">
        <v>1991</v>
      </c>
      <c r="C1993">
        <v>0</v>
      </c>
      <c r="D1993">
        <v>3.2410793304443359</v>
      </c>
      <c r="E1993" t="s">
        <v>10</v>
      </c>
      <c r="F1993" t="s">
        <v>46</v>
      </c>
      <c r="G1993">
        <v>4</v>
      </c>
    </row>
    <row r="1994" spans="1:7" x14ac:dyDescent="0.25">
      <c r="A1994" t="s">
        <v>4</v>
      </c>
      <c r="B1994">
        <v>1992</v>
      </c>
      <c r="C1994">
        <v>42</v>
      </c>
      <c r="D1994">
        <v>11.427794456481934</v>
      </c>
      <c r="E1994" t="s">
        <v>10</v>
      </c>
      <c r="F1994" t="s">
        <v>46</v>
      </c>
      <c r="G1994">
        <v>4</v>
      </c>
    </row>
    <row r="1995" spans="1:7" x14ac:dyDescent="0.25">
      <c r="A1995" t="s">
        <v>4</v>
      </c>
      <c r="B1995">
        <v>1993</v>
      </c>
      <c r="C1995">
        <v>85</v>
      </c>
      <c r="D1995">
        <v>4.0340871810913086</v>
      </c>
      <c r="E1995" t="s">
        <v>10</v>
      </c>
      <c r="F1995" t="s">
        <v>43</v>
      </c>
      <c r="G1995">
        <v>4.9000000000000004</v>
      </c>
    </row>
    <row r="1996" spans="1:7" x14ac:dyDescent="0.25">
      <c r="A1996" t="s">
        <v>4</v>
      </c>
      <c r="B1996">
        <v>1994</v>
      </c>
      <c r="C1996">
        <v>33</v>
      </c>
      <c r="D1996">
        <v>2.9795866012573242</v>
      </c>
      <c r="E1996" t="s">
        <v>10</v>
      </c>
      <c r="F1996" t="s">
        <v>41</v>
      </c>
      <c r="G1996">
        <v>4.9000000000000004</v>
      </c>
    </row>
    <row r="1997" spans="1:7" x14ac:dyDescent="0.25">
      <c r="A1997" t="s">
        <v>4</v>
      </c>
      <c r="B1997">
        <v>1995</v>
      </c>
      <c r="C1997">
        <v>87</v>
      </c>
      <c r="D1997">
        <v>3.1777334213256836</v>
      </c>
      <c r="E1997" t="s">
        <v>10</v>
      </c>
      <c r="F1997" t="s">
        <v>45</v>
      </c>
      <c r="G1997">
        <v>7.2</v>
      </c>
    </row>
    <row r="1998" spans="1:7" x14ac:dyDescent="0.25">
      <c r="A1998" t="s">
        <v>4</v>
      </c>
      <c r="B1998">
        <v>1996</v>
      </c>
      <c r="C1998">
        <v>30</v>
      </c>
      <c r="D1998">
        <v>3.0823974609375</v>
      </c>
      <c r="E1998" t="s">
        <v>10</v>
      </c>
      <c r="F1998" t="s">
        <v>59</v>
      </c>
      <c r="G1998">
        <v>1.9</v>
      </c>
    </row>
    <row r="1999" spans="1:7" x14ac:dyDescent="0.25">
      <c r="A1999" t="s">
        <v>4</v>
      </c>
      <c r="B1999">
        <v>1997</v>
      </c>
      <c r="C1999">
        <v>90</v>
      </c>
      <c r="D1999">
        <v>5.7823669910430908</v>
      </c>
      <c r="E1999" t="s">
        <v>10</v>
      </c>
      <c r="F1999" t="s">
        <v>59</v>
      </c>
      <c r="G1999">
        <v>1.9</v>
      </c>
    </row>
    <row r="2000" spans="1:7" x14ac:dyDescent="0.25">
      <c r="A2000" t="s">
        <v>4</v>
      </c>
      <c r="B2000">
        <v>1998</v>
      </c>
      <c r="C2000">
        <v>45</v>
      </c>
      <c r="D2000">
        <v>5.0184211730957031</v>
      </c>
      <c r="E2000" t="s">
        <v>10</v>
      </c>
      <c r="F2000" t="s">
        <v>50</v>
      </c>
      <c r="G2000">
        <v>6.9</v>
      </c>
    </row>
    <row r="2001" spans="1:7" x14ac:dyDescent="0.25">
      <c r="A2001" t="s">
        <v>4</v>
      </c>
      <c r="B2001">
        <v>1999</v>
      </c>
      <c r="C2001">
        <v>78</v>
      </c>
      <c r="D2001">
        <v>3.1509325504302979</v>
      </c>
      <c r="E2001" t="s">
        <v>10</v>
      </c>
      <c r="F2001" t="s">
        <v>50</v>
      </c>
      <c r="G2001">
        <v>6.9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B907-872A-430F-AF48-039199EC5CBD}">
  <dimension ref="A1:G2001"/>
  <sheetViews>
    <sheetView topLeftCell="A1951" workbookViewId="0">
      <selection activeCell="D3" sqref="D3"/>
    </sheetView>
  </sheetViews>
  <sheetFormatPr defaultRowHeight="15" x14ac:dyDescent="0.25"/>
  <cols>
    <col min="1" max="1" width="12.42578125" bestFit="1" customWidth="1"/>
    <col min="2" max="2" width="11" bestFit="1" customWidth="1"/>
    <col min="3" max="3" width="12.140625" bestFit="1" customWidth="1"/>
    <col min="4" max="4" width="12" bestFit="1" customWidth="1"/>
    <col min="5" max="5" width="12.42578125" bestFit="1" customWidth="1"/>
    <col min="6" max="6" width="34.570312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25">
      <c r="A2" t="s">
        <v>3</v>
      </c>
      <c r="B2">
        <v>0</v>
      </c>
      <c r="C2">
        <v>0</v>
      </c>
      <c r="D2" s="2">
        <v>23.108793020248413</v>
      </c>
      <c r="E2" s="2" t="s">
        <v>10</v>
      </c>
      <c r="F2" s="2" t="s">
        <v>11</v>
      </c>
      <c r="G2" s="2">
        <v>6</v>
      </c>
    </row>
    <row r="3" spans="1:7" x14ac:dyDescent="0.25">
      <c r="A3" t="s">
        <v>3</v>
      </c>
      <c r="B3">
        <v>1</v>
      </c>
      <c r="C3">
        <v>0</v>
      </c>
      <c r="D3" s="3">
        <v>25.796602487564087</v>
      </c>
      <c r="E3" s="3" t="s">
        <v>10</v>
      </c>
      <c r="F3" s="3" t="s">
        <v>12</v>
      </c>
      <c r="G3" s="3">
        <v>6.4</v>
      </c>
    </row>
    <row r="4" spans="1:7" x14ac:dyDescent="0.25">
      <c r="A4" t="s">
        <v>3</v>
      </c>
      <c r="B4">
        <v>2</v>
      </c>
      <c r="C4">
        <v>100</v>
      </c>
      <c r="D4" s="2">
        <v>11.382297515869141</v>
      </c>
      <c r="E4" s="2" t="s">
        <v>10</v>
      </c>
      <c r="F4" s="2" t="s">
        <v>14</v>
      </c>
      <c r="G4" s="2">
        <v>5</v>
      </c>
    </row>
    <row r="5" spans="1:7" x14ac:dyDescent="0.25">
      <c r="A5" t="s">
        <v>3</v>
      </c>
      <c r="B5">
        <v>3</v>
      </c>
      <c r="C5">
        <v>0</v>
      </c>
      <c r="D5" s="3">
        <v>16.634316921234131</v>
      </c>
      <c r="E5" s="3" t="s">
        <v>10</v>
      </c>
      <c r="F5" s="3" t="s">
        <v>15</v>
      </c>
      <c r="G5" s="3">
        <v>4.3</v>
      </c>
    </row>
    <row r="6" spans="1:7" x14ac:dyDescent="0.25">
      <c r="A6" t="s">
        <v>3</v>
      </c>
      <c r="B6">
        <v>4</v>
      </c>
      <c r="C6">
        <v>25</v>
      </c>
      <c r="D6" s="2">
        <v>36.961520910263062</v>
      </c>
      <c r="E6" s="2" t="s">
        <v>10</v>
      </c>
      <c r="F6" s="2" t="s">
        <v>16</v>
      </c>
      <c r="G6" s="2">
        <v>7.5</v>
      </c>
    </row>
    <row r="7" spans="1:7" x14ac:dyDescent="0.25">
      <c r="A7" t="s">
        <v>3</v>
      </c>
      <c r="B7">
        <v>5</v>
      </c>
      <c r="C7">
        <v>100</v>
      </c>
      <c r="D7" s="3">
        <v>32.364659786224365</v>
      </c>
      <c r="E7" s="3" t="s">
        <v>10</v>
      </c>
      <c r="F7" s="3" t="s">
        <v>14</v>
      </c>
      <c r="G7" s="3">
        <v>4.3</v>
      </c>
    </row>
    <row r="8" spans="1:7" x14ac:dyDescent="0.25">
      <c r="A8" t="s">
        <v>3</v>
      </c>
      <c r="B8">
        <v>6</v>
      </c>
      <c r="C8">
        <v>100</v>
      </c>
      <c r="D8" s="2">
        <v>25.489311695098877</v>
      </c>
      <c r="E8" s="2" t="s">
        <v>10</v>
      </c>
      <c r="F8" s="2" t="s">
        <v>14</v>
      </c>
      <c r="G8" s="2">
        <v>4.3</v>
      </c>
    </row>
    <row r="9" spans="1:7" x14ac:dyDescent="0.25">
      <c r="A9" t="s">
        <v>3</v>
      </c>
      <c r="B9">
        <v>7</v>
      </c>
      <c r="C9">
        <v>90</v>
      </c>
      <c r="D9" s="3">
        <v>31.676683187484741</v>
      </c>
      <c r="E9" s="3" t="s">
        <v>10</v>
      </c>
      <c r="F9" s="3" t="s">
        <v>15</v>
      </c>
      <c r="G9" s="3">
        <v>6.8</v>
      </c>
    </row>
    <row r="10" spans="1:7" x14ac:dyDescent="0.25">
      <c r="A10" t="s">
        <v>3</v>
      </c>
      <c r="B10">
        <v>8</v>
      </c>
      <c r="C10">
        <v>100</v>
      </c>
      <c r="D10" s="2">
        <v>27.36987566947937</v>
      </c>
      <c r="E10" s="2" t="s">
        <v>10</v>
      </c>
      <c r="F10" s="2" t="s">
        <v>15</v>
      </c>
      <c r="G10" s="2">
        <v>6.8</v>
      </c>
    </row>
    <row r="11" spans="1:7" x14ac:dyDescent="0.25">
      <c r="A11" t="s">
        <v>3</v>
      </c>
      <c r="B11">
        <v>9</v>
      </c>
      <c r="C11">
        <v>0</v>
      </c>
      <c r="D11" s="3">
        <v>14.070873022079468</v>
      </c>
      <c r="E11" s="3" t="s">
        <v>10</v>
      </c>
      <c r="F11" s="3" t="s">
        <v>15</v>
      </c>
      <c r="G11" s="3">
        <v>6.8</v>
      </c>
    </row>
    <row r="12" spans="1:7" x14ac:dyDescent="0.25">
      <c r="A12" t="s">
        <v>3</v>
      </c>
      <c r="B12">
        <v>10</v>
      </c>
      <c r="C12">
        <v>100</v>
      </c>
      <c r="D12" s="2">
        <v>12.780072689056396</v>
      </c>
      <c r="E12" s="2" t="s">
        <v>10</v>
      </c>
      <c r="F12" s="2" t="s">
        <v>17</v>
      </c>
      <c r="G12" s="2">
        <v>5</v>
      </c>
    </row>
    <row r="13" spans="1:7" x14ac:dyDescent="0.25">
      <c r="A13" t="s">
        <v>3</v>
      </c>
      <c r="B13">
        <v>11</v>
      </c>
      <c r="C13">
        <v>0</v>
      </c>
      <c r="D13" s="3">
        <v>30.40836238861084</v>
      </c>
      <c r="E13" s="3" t="s">
        <v>10</v>
      </c>
      <c r="F13" s="3" t="s">
        <v>15</v>
      </c>
      <c r="G13" s="3">
        <v>4.3</v>
      </c>
    </row>
    <row r="14" spans="1:7" x14ac:dyDescent="0.25">
      <c r="A14" t="s">
        <v>3</v>
      </c>
      <c r="B14">
        <v>12</v>
      </c>
      <c r="C14">
        <v>90</v>
      </c>
      <c r="D14" s="2">
        <v>25.32685112953186</v>
      </c>
      <c r="E14" s="2" t="s">
        <v>10</v>
      </c>
      <c r="F14" s="2" t="s">
        <v>15</v>
      </c>
      <c r="G14" s="2">
        <v>4.3</v>
      </c>
    </row>
    <row r="15" spans="1:7" x14ac:dyDescent="0.25">
      <c r="A15" t="s">
        <v>3</v>
      </c>
      <c r="B15">
        <v>13</v>
      </c>
      <c r="C15">
        <v>100</v>
      </c>
      <c r="D15" s="3">
        <v>29.401145696640015</v>
      </c>
      <c r="E15" s="3" t="s">
        <v>10</v>
      </c>
      <c r="F15" s="3" t="s">
        <v>18</v>
      </c>
      <c r="G15" s="3">
        <v>6.8</v>
      </c>
    </row>
    <row r="16" spans="1:7" x14ac:dyDescent="0.25">
      <c r="A16" t="s">
        <v>3</v>
      </c>
      <c r="B16">
        <v>14</v>
      </c>
      <c r="C16">
        <v>100</v>
      </c>
      <c r="D16" s="2">
        <v>31.100331544876099</v>
      </c>
      <c r="E16" s="2" t="s">
        <v>10</v>
      </c>
      <c r="F16" s="2" t="s">
        <v>18</v>
      </c>
      <c r="G16" s="2">
        <v>6.8</v>
      </c>
    </row>
    <row r="17" spans="1:7" x14ac:dyDescent="0.25">
      <c r="A17" t="s">
        <v>3</v>
      </c>
      <c r="B17">
        <v>15</v>
      </c>
      <c r="C17">
        <v>100</v>
      </c>
      <c r="D17" s="3">
        <v>27.499830484390259</v>
      </c>
      <c r="E17" s="3" t="s">
        <v>10</v>
      </c>
      <c r="F17" s="3" t="s">
        <v>18</v>
      </c>
      <c r="G17" s="3">
        <v>6.8</v>
      </c>
    </row>
    <row r="18" spans="1:7" x14ac:dyDescent="0.25">
      <c r="A18" t="s">
        <v>3</v>
      </c>
      <c r="B18">
        <v>16</v>
      </c>
      <c r="C18">
        <v>100</v>
      </c>
      <c r="D18" s="2">
        <v>25.45181941986084</v>
      </c>
      <c r="E18" s="2" t="s">
        <v>10</v>
      </c>
      <c r="F18" s="2" t="s">
        <v>15</v>
      </c>
      <c r="G18" s="2">
        <v>4.3</v>
      </c>
    </row>
    <row r="19" spans="1:7" x14ac:dyDescent="0.25">
      <c r="A19" t="s">
        <v>3</v>
      </c>
      <c r="B19">
        <v>17</v>
      </c>
      <c r="C19">
        <v>100</v>
      </c>
      <c r="D19" s="3">
        <v>33.919044256210327</v>
      </c>
      <c r="E19" s="3" t="s">
        <v>10</v>
      </c>
      <c r="F19" s="3" t="s">
        <v>15</v>
      </c>
      <c r="G19" s="3">
        <v>4.3</v>
      </c>
    </row>
    <row r="20" spans="1:7" x14ac:dyDescent="0.25">
      <c r="A20" t="s">
        <v>3</v>
      </c>
      <c r="B20">
        <v>18</v>
      </c>
      <c r="C20">
        <v>0</v>
      </c>
      <c r="D20" s="2">
        <v>16.360689163208008</v>
      </c>
      <c r="E20" s="2" t="s">
        <v>10</v>
      </c>
      <c r="F20" s="2" t="s">
        <v>15</v>
      </c>
      <c r="G20" s="2">
        <v>4.3</v>
      </c>
    </row>
    <row r="21" spans="1:7" x14ac:dyDescent="0.25">
      <c r="A21" t="s">
        <v>3</v>
      </c>
      <c r="B21">
        <v>19</v>
      </c>
      <c r="C21">
        <v>0</v>
      </c>
      <c r="D21" s="3">
        <v>16.210207462310791</v>
      </c>
      <c r="E21" s="3" t="s">
        <v>10</v>
      </c>
      <c r="F21" s="3" t="s">
        <v>15</v>
      </c>
      <c r="G21" s="3">
        <v>5</v>
      </c>
    </row>
    <row r="22" spans="1:7" x14ac:dyDescent="0.25">
      <c r="A22" t="s">
        <v>3</v>
      </c>
      <c r="B22">
        <v>20</v>
      </c>
      <c r="C22">
        <v>0</v>
      </c>
      <c r="D22" s="2">
        <v>21.714209079742432</v>
      </c>
      <c r="E22" s="2" t="s">
        <v>10</v>
      </c>
      <c r="F22" s="2" t="s">
        <v>15</v>
      </c>
      <c r="G22" s="2">
        <v>5</v>
      </c>
    </row>
    <row r="23" spans="1:7" x14ac:dyDescent="0.25">
      <c r="A23" t="s">
        <v>3</v>
      </c>
      <c r="B23">
        <v>21</v>
      </c>
      <c r="C23">
        <v>0</v>
      </c>
      <c r="D23" s="3">
        <v>15.639437913894653</v>
      </c>
      <c r="E23" s="3" t="s">
        <v>10</v>
      </c>
      <c r="F23" s="3" t="s">
        <v>15</v>
      </c>
      <c r="G23" s="3">
        <v>5</v>
      </c>
    </row>
    <row r="24" spans="1:7" x14ac:dyDescent="0.25">
      <c r="A24" t="s">
        <v>3</v>
      </c>
      <c r="B24">
        <v>22</v>
      </c>
      <c r="C24">
        <v>40</v>
      </c>
      <c r="D24" s="2">
        <v>16.569239139556885</v>
      </c>
      <c r="E24" s="2" t="s">
        <v>10</v>
      </c>
      <c r="F24" s="2" t="s">
        <v>15</v>
      </c>
      <c r="G24" s="2">
        <v>5</v>
      </c>
    </row>
    <row r="25" spans="1:7" x14ac:dyDescent="0.25">
      <c r="A25" t="s">
        <v>3</v>
      </c>
      <c r="B25">
        <v>23</v>
      </c>
      <c r="C25">
        <v>80</v>
      </c>
      <c r="D25" s="3">
        <v>19.716302394866943</v>
      </c>
      <c r="E25" s="3" t="s">
        <v>10</v>
      </c>
      <c r="F25" s="3" t="s">
        <v>15</v>
      </c>
      <c r="G25" s="3">
        <v>5</v>
      </c>
    </row>
    <row r="26" spans="1:7" x14ac:dyDescent="0.25">
      <c r="A26" t="s">
        <v>3</v>
      </c>
      <c r="B26">
        <v>24</v>
      </c>
      <c r="C26">
        <v>75</v>
      </c>
      <c r="D26" s="2">
        <v>15.252429723739624</v>
      </c>
      <c r="E26" s="2" t="s">
        <v>10</v>
      </c>
      <c r="F26" s="2" t="s">
        <v>15</v>
      </c>
      <c r="G26" s="2">
        <v>5</v>
      </c>
    </row>
    <row r="27" spans="1:7" x14ac:dyDescent="0.25">
      <c r="A27" t="s">
        <v>3</v>
      </c>
      <c r="B27">
        <v>25</v>
      </c>
      <c r="C27">
        <v>100</v>
      </c>
      <c r="D27" s="3">
        <v>19.073351144790649</v>
      </c>
      <c r="E27" s="3" t="s">
        <v>10</v>
      </c>
      <c r="F27" s="3" t="s">
        <v>15</v>
      </c>
      <c r="G27" s="3">
        <v>5</v>
      </c>
    </row>
    <row r="28" spans="1:7" x14ac:dyDescent="0.25">
      <c r="A28" t="s">
        <v>3</v>
      </c>
      <c r="B28">
        <v>26</v>
      </c>
      <c r="C28">
        <v>100</v>
      </c>
      <c r="D28" s="2">
        <v>15.269591569900513</v>
      </c>
      <c r="E28" s="2" t="s">
        <v>10</v>
      </c>
      <c r="F28" s="2" t="s">
        <v>15</v>
      </c>
      <c r="G28" s="2">
        <v>5</v>
      </c>
    </row>
    <row r="29" spans="1:7" x14ac:dyDescent="0.25">
      <c r="A29" t="s">
        <v>3</v>
      </c>
      <c r="B29">
        <v>27</v>
      </c>
      <c r="C29">
        <v>100</v>
      </c>
      <c r="D29" s="3">
        <v>28.232947111129761</v>
      </c>
      <c r="E29" s="3" t="s">
        <v>10</v>
      </c>
      <c r="F29" s="3" t="s">
        <v>15</v>
      </c>
      <c r="G29" s="3">
        <v>5</v>
      </c>
    </row>
    <row r="30" spans="1:7" x14ac:dyDescent="0.25">
      <c r="A30" t="s">
        <v>3</v>
      </c>
      <c r="B30">
        <v>28</v>
      </c>
      <c r="C30">
        <v>0</v>
      </c>
      <c r="D30" s="2">
        <v>12.894477605819702</v>
      </c>
      <c r="E30" s="2" t="s">
        <v>10</v>
      </c>
      <c r="F30" s="2" t="s">
        <v>15</v>
      </c>
      <c r="G30" s="2">
        <v>5</v>
      </c>
    </row>
    <row r="31" spans="1:7" x14ac:dyDescent="0.25">
      <c r="A31" t="s">
        <v>3</v>
      </c>
      <c r="B31">
        <v>29</v>
      </c>
      <c r="C31">
        <v>100</v>
      </c>
      <c r="D31" s="3">
        <v>20.905161380767822</v>
      </c>
      <c r="E31" s="3" t="s">
        <v>10</v>
      </c>
      <c r="F31" s="3" t="s">
        <v>15</v>
      </c>
      <c r="G31" s="3">
        <v>5</v>
      </c>
    </row>
    <row r="32" spans="1:7" x14ac:dyDescent="0.25">
      <c r="A32" t="s">
        <v>3</v>
      </c>
      <c r="B32">
        <v>30</v>
      </c>
      <c r="C32">
        <v>100</v>
      </c>
      <c r="D32" s="2">
        <v>28.472506761550903</v>
      </c>
      <c r="E32" s="2" t="s">
        <v>10</v>
      </c>
      <c r="F32" s="2" t="s">
        <v>15</v>
      </c>
      <c r="G32" s="2">
        <v>5</v>
      </c>
    </row>
    <row r="33" spans="1:7" x14ac:dyDescent="0.25">
      <c r="A33" t="s">
        <v>3</v>
      </c>
      <c r="B33">
        <v>31</v>
      </c>
      <c r="C33">
        <v>100</v>
      </c>
      <c r="D33" s="3">
        <v>27.253882169723511</v>
      </c>
      <c r="E33" s="3" t="s">
        <v>10</v>
      </c>
      <c r="F33" s="3" t="s">
        <v>15</v>
      </c>
      <c r="G33" s="3">
        <v>5</v>
      </c>
    </row>
    <row r="34" spans="1:7" x14ac:dyDescent="0.25">
      <c r="A34" t="s">
        <v>3</v>
      </c>
      <c r="B34">
        <v>32</v>
      </c>
      <c r="C34">
        <v>100</v>
      </c>
      <c r="D34" s="2">
        <v>39.831090450286865</v>
      </c>
      <c r="E34" s="2" t="s">
        <v>10</v>
      </c>
      <c r="F34" s="2" t="s">
        <v>15</v>
      </c>
      <c r="G34" s="2">
        <v>1.9</v>
      </c>
    </row>
    <row r="35" spans="1:7" x14ac:dyDescent="0.25">
      <c r="A35" t="s">
        <v>3</v>
      </c>
      <c r="B35">
        <v>33</v>
      </c>
      <c r="C35">
        <v>0</v>
      </c>
      <c r="D35" s="3">
        <v>11.607179641723633</v>
      </c>
      <c r="E35" s="3" t="s">
        <v>10</v>
      </c>
      <c r="F35" s="3" t="s">
        <v>11</v>
      </c>
      <c r="G35" s="3">
        <v>7.5</v>
      </c>
    </row>
    <row r="36" spans="1:7" x14ac:dyDescent="0.25">
      <c r="A36" t="s">
        <v>3</v>
      </c>
      <c r="B36">
        <v>34</v>
      </c>
      <c r="C36">
        <v>93</v>
      </c>
      <c r="D36" s="2">
        <v>31.561928987503052</v>
      </c>
      <c r="E36" s="2" t="s">
        <v>10</v>
      </c>
      <c r="F36" s="2" t="s">
        <v>11</v>
      </c>
      <c r="G36" s="2">
        <v>7.5</v>
      </c>
    </row>
    <row r="37" spans="1:7" x14ac:dyDescent="0.25">
      <c r="A37" t="s">
        <v>3</v>
      </c>
      <c r="B37">
        <v>35</v>
      </c>
      <c r="C37">
        <v>15</v>
      </c>
      <c r="D37" s="3">
        <v>29.723110198974609</v>
      </c>
      <c r="E37" s="3" t="s">
        <v>10</v>
      </c>
      <c r="F37" s="3" t="s">
        <v>13</v>
      </c>
      <c r="G37" s="3">
        <v>5</v>
      </c>
    </row>
    <row r="38" spans="1:7" x14ac:dyDescent="0.25">
      <c r="A38" t="s">
        <v>3</v>
      </c>
      <c r="B38">
        <v>36</v>
      </c>
      <c r="C38">
        <v>100</v>
      </c>
      <c r="D38" s="2">
        <v>13.183796882629395</v>
      </c>
      <c r="E38" s="2" t="s">
        <v>10</v>
      </c>
      <c r="F38" s="2" t="s">
        <v>13</v>
      </c>
      <c r="G38" s="2">
        <v>5</v>
      </c>
    </row>
    <row r="39" spans="1:7" x14ac:dyDescent="0.25">
      <c r="A39" t="s">
        <v>3</v>
      </c>
      <c r="B39">
        <v>37</v>
      </c>
      <c r="C39">
        <v>0</v>
      </c>
      <c r="D39" s="3">
        <v>41.470896482467651</v>
      </c>
      <c r="E39" s="3" t="s">
        <v>19</v>
      </c>
      <c r="F39" s="3" t="s">
        <v>16</v>
      </c>
      <c r="G39" s="3">
        <v>9.3000000000000007</v>
      </c>
    </row>
    <row r="40" spans="1:7" x14ac:dyDescent="0.25">
      <c r="A40" t="s">
        <v>3</v>
      </c>
      <c r="B40">
        <v>38</v>
      </c>
      <c r="C40">
        <v>100</v>
      </c>
      <c r="D40" s="2">
        <v>30.519727945327759</v>
      </c>
      <c r="E40" s="2" t="s">
        <v>19</v>
      </c>
      <c r="F40" s="2" t="s">
        <v>20</v>
      </c>
      <c r="G40" s="2">
        <v>6.8</v>
      </c>
    </row>
    <row r="41" spans="1:7" x14ac:dyDescent="0.25">
      <c r="A41" t="s">
        <v>3</v>
      </c>
      <c r="B41">
        <v>39</v>
      </c>
      <c r="C41">
        <v>100</v>
      </c>
      <c r="D41" s="3">
        <v>43.590947151184082</v>
      </c>
      <c r="E41" s="3" t="s">
        <v>19</v>
      </c>
      <c r="F41" s="3" t="s">
        <v>20</v>
      </c>
      <c r="G41" s="3">
        <v>6.8</v>
      </c>
    </row>
    <row r="42" spans="1:7" x14ac:dyDescent="0.25">
      <c r="A42" t="s">
        <v>3</v>
      </c>
      <c r="B42">
        <v>40</v>
      </c>
      <c r="C42">
        <v>100</v>
      </c>
      <c r="D42" s="2">
        <v>18.442780733108521</v>
      </c>
      <c r="E42" s="2" t="s">
        <v>19</v>
      </c>
      <c r="F42" s="2" t="s">
        <v>20</v>
      </c>
      <c r="G42" s="2">
        <v>6.8</v>
      </c>
    </row>
    <row r="43" spans="1:7" x14ac:dyDescent="0.25">
      <c r="A43" t="s">
        <v>3</v>
      </c>
      <c r="B43">
        <v>41</v>
      </c>
      <c r="C43">
        <v>100</v>
      </c>
      <c r="D43" s="3">
        <v>31.097556829452515</v>
      </c>
      <c r="E43" s="3" t="s">
        <v>19</v>
      </c>
      <c r="F43" s="3" t="s">
        <v>20</v>
      </c>
      <c r="G43" s="3">
        <v>6.8</v>
      </c>
    </row>
    <row r="44" spans="1:7" x14ac:dyDescent="0.25">
      <c r="A44" t="s">
        <v>3</v>
      </c>
      <c r="B44">
        <v>42</v>
      </c>
      <c r="C44">
        <v>55</v>
      </c>
      <c r="D44" s="2">
        <v>30.021305799484253</v>
      </c>
      <c r="E44" s="2" t="s">
        <v>19</v>
      </c>
      <c r="F44" s="2" t="s">
        <v>20</v>
      </c>
      <c r="G44" s="2">
        <v>6.8</v>
      </c>
    </row>
    <row r="45" spans="1:7" x14ac:dyDescent="0.25">
      <c r="A45" t="s">
        <v>3</v>
      </c>
      <c r="B45">
        <v>43</v>
      </c>
      <c r="C45">
        <v>100</v>
      </c>
      <c r="D45" s="3">
        <v>29.869006633758545</v>
      </c>
      <c r="E45" s="3" t="s">
        <v>19</v>
      </c>
      <c r="F45" s="3" t="s">
        <v>20</v>
      </c>
      <c r="G45" s="3">
        <v>6.8</v>
      </c>
    </row>
    <row r="46" spans="1:7" x14ac:dyDescent="0.25">
      <c r="A46" t="s">
        <v>3</v>
      </c>
      <c r="B46">
        <v>44</v>
      </c>
      <c r="C46">
        <v>100</v>
      </c>
      <c r="D46" s="2">
        <v>30.918865203857422</v>
      </c>
      <c r="E46" s="2" t="s">
        <v>19</v>
      </c>
      <c r="F46" s="2" t="s">
        <v>20</v>
      </c>
      <c r="G46" s="2">
        <v>6.8</v>
      </c>
    </row>
    <row r="47" spans="1:7" x14ac:dyDescent="0.25">
      <c r="A47" t="s">
        <v>3</v>
      </c>
      <c r="B47">
        <v>45</v>
      </c>
      <c r="C47">
        <v>100</v>
      </c>
      <c r="D47" s="3">
        <v>35.45099925994873</v>
      </c>
      <c r="E47" s="3" t="s">
        <v>19</v>
      </c>
      <c r="F47" s="3" t="s">
        <v>20</v>
      </c>
      <c r="G47" s="3">
        <v>6.8</v>
      </c>
    </row>
    <row r="48" spans="1:7" x14ac:dyDescent="0.25">
      <c r="A48" t="s">
        <v>3</v>
      </c>
      <c r="B48">
        <v>46</v>
      </c>
      <c r="C48">
        <v>100</v>
      </c>
      <c r="D48" s="2">
        <v>23.999194145202637</v>
      </c>
      <c r="E48" s="2" t="s">
        <v>19</v>
      </c>
      <c r="F48" s="2" t="s">
        <v>20</v>
      </c>
      <c r="G48" s="2">
        <v>6.8</v>
      </c>
    </row>
    <row r="49" spans="1:7" x14ac:dyDescent="0.25">
      <c r="A49" t="s">
        <v>3</v>
      </c>
      <c r="B49">
        <v>47</v>
      </c>
      <c r="C49">
        <v>100</v>
      </c>
      <c r="D49" s="3">
        <v>40.507027626037598</v>
      </c>
      <c r="E49" s="3" t="s">
        <v>19</v>
      </c>
      <c r="F49" s="3" t="s">
        <v>20</v>
      </c>
      <c r="G49" s="3">
        <v>6.8</v>
      </c>
    </row>
    <row r="50" spans="1:7" x14ac:dyDescent="0.25">
      <c r="A50" t="s">
        <v>3</v>
      </c>
      <c r="B50">
        <v>48</v>
      </c>
      <c r="C50">
        <v>60</v>
      </c>
      <c r="D50" s="2">
        <v>18.104427576065063</v>
      </c>
      <c r="E50" s="2" t="s">
        <v>19</v>
      </c>
      <c r="F50" s="2" t="s">
        <v>20</v>
      </c>
      <c r="G50" s="2">
        <v>6.8</v>
      </c>
    </row>
    <row r="51" spans="1:7" x14ac:dyDescent="0.25">
      <c r="A51" t="s">
        <v>3</v>
      </c>
      <c r="B51">
        <v>49</v>
      </c>
      <c r="C51">
        <v>80</v>
      </c>
      <c r="D51" s="3">
        <v>17.840388536453247</v>
      </c>
      <c r="E51" s="3" t="s">
        <v>19</v>
      </c>
      <c r="F51" s="3" t="s">
        <v>20</v>
      </c>
      <c r="G51" s="3">
        <v>6.8</v>
      </c>
    </row>
    <row r="52" spans="1:7" x14ac:dyDescent="0.25">
      <c r="A52" t="s">
        <v>3</v>
      </c>
      <c r="B52">
        <v>50</v>
      </c>
      <c r="C52">
        <v>100</v>
      </c>
      <c r="D52" s="2">
        <v>28.31920313835144</v>
      </c>
      <c r="E52" s="2" t="s">
        <v>19</v>
      </c>
      <c r="F52" s="2" t="s">
        <v>20</v>
      </c>
      <c r="G52" s="2">
        <v>6.8</v>
      </c>
    </row>
    <row r="53" spans="1:7" x14ac:dyDescent="0.25">
      <c r="A53" t="s">
        <v>3</v>
      </c>
      <c r="B53">
        <v>51</v>
      </c>
      <c r="C53">
        <v>100</v>
      </c>
      <c r="D53" s="3">
        <v>26.82414984703064</v>
      </c>
      <c r="E53" s="3" t="s">
        <v>19</v>
      </c>
      <c r="F53" s="3" t="s">
        <v>20</v>
      </c>
      <c r="G53" s="3">
        <v>6.8</v>
      </c>
    </row>
    <row r="54" spans="1:7" x14ac:dyDescent="0.25">
      <c r="A54" t="s">
        <v>3</v>
      </c>
      <c r="B54">
        <v>52</v>
      </c>
      <c r="C54">
        <v>0</v>
      </c>
      <c r="D54" s="2">
        <v>26.562196254730225</v>
      </c>
      <c r="E54" s="2" t="s">
        <v>19</v>
      </c>
      <c r="F54" s="2" t="s">
        <v>20</v>
      </c>
      <c r="G54" s="2">
        <v>6.8</v>
      </c>
    </row>
    <row r="55" spans="1:7" x14ac:dyDescent="0.25">
      <c r="A55" t="s">
        <v>3</v>
      </c>
      <c r="B55">
        <v>53</v>
      </c>
      <c r="C55">
        <v>100</v>
      </c>
      <c r="D55" s="3">
        <v>28.774325847625732</v>
      </c>
      <c r="E55" s="3" t="s">
        <v>19</v>
      </c>
      <c r="F55" s="3" t="s">
        <v>20</v>
      </c>
      <c r="G55" s="3">
        <v>6.8</v>
      </c>
    </row>
    <row r="56" spans="1:7" x14ac:dyDescent="0.25">
      <c r="A56" t="s">
        <v>3</v>
      </c>
      <c r="B56">
        <v>54</v>
      </c>
      <c r="C56">
        <v>0</v>
      </c>
      <c r="D56" s="2">
        <v>10.901010274887085</v>
      </c>
      <c r="E56" s="2" t="s">
        <v>19</v>
      </c>
      <c r="F56" s="2" t="s">
        <v>20</v>
      </c>
      <c r="G56" s="2">
        <v>6.8</v>
      </c>
    </row>
    <row r="57" spans="1:7" x14ac:dyDescent="0.25">
      <c r="A57" t="s">
        <v>3</v>
      </c>
      <c r="B57">
        <v>55</v>
      </c>
      <c r="C57">
        <v>100</v>
      </c>
      <c r="D57" s="3">
        <v>18.967267751693726</v>
      </c>
      <c r="E57" s="3" t="s">
        <v>19</v>
      </c>
      <c r="F57" s="3" t="s">
        <v>20</v>
      </c>
      <c r="G57" s="3">
        <v>6.8</v>
      </c>
    </row>
    <row r="58" spans="1:7" x14ac:dyDescent="0.25">
      <c r="A58" t="s">
        <v>3</v>
      </c>
      <c r="B58">
        <v>56</v>
      </c>
      <c r="C58">
        <v>50</v>
      </c>
      <c r="D58" s="2">
        <v>23.025922298431396</v>
      </c>
      <c r="E58" s="2" t="s">
        <v>19</v>
      </c>
      <c r="F58" s="2" t="s">
        <v>20</v>
      </c>
      <c r="G58" s="2">
        <v>6.8</v>
      </c>
    </row>
    <row r="59" spans="1:7" x14ac:dyDescent="0.25">
      <c r="A59" t="s">
        <v>3</v>
      </c>
      <c r="B59">
        <v>57</v>
      </c>
      <c r="C59">
        <v>100</v>
      </c>
      <c r="D59" s="3">
        <v>560.97176456451416</v>
      </c>
      <c r="E59" s="3" t="s">
        <v>19</v>
      </c>
      <c r="F59" s="3" t="s">
        <v>20</v>
      </c>
      <c r="G59" s="3">
        <v>6.8</v>
      </c>
    </row>
    <row r="60" spans="1:7" x14ac:dyDescent="0.25">
      <c r="A60" t="s">
        <v>3</v>
      </c>
      <c r="B60">
        <v>58</v>
      </c>
      <c r="C60">
        <v>70</v>
      </c>
      <c r="D60" s="2">
        <v>27.588474750518799</v>
      </c>
      <c r="E60" s="2" t="s">
        <v>19</v>
      </c>
      <c r="F60" s="2" t="s">
        <v>13</v>
      </c>
      <c r="G60" s="2">
        <v>6.8</v>
      </c>
    </row>
    <row r="61" spans="1:7" x14ac:dyDescent="0.25">
      <c r="A61" t="s">
        <v>3</v>
      </c>
      <c r="B61">
        <v>59</v>
      </c>
      <c r="C61">
        <v>100</v>
      </c>
      <c r="D61" s="3">
        <v>39.635565042495728</v>
      </c>
      <c r="E61" s="3" t="s">
        <v>19</v>
      </c>
      <c r="F61" s="3" t="s">
        <v>13</v>
      </c>
      <c r="G61" s="3">
        <v>6.8</v>
      </c>
    </row>
    <row r="62" spans="1:7" x14ac:dyDescent="0.25">
      <c r="A62" t="s">
        <v>3</v>
      </c>
      <c r="B62">
        <v>60</v>
      </c>
      <c r="C62">
        <v>35</v>
      </c>
      <c r="D62" s="2">
        <v>32.224234819412231</v>
      </c>
      <c r="E62" s="2" t="s">
        <v>10</v>
      </c>
      <c r="F62" s="2" t="s">
        <v>21</v>
      </c>
      <c r="G62" s="2">
        <v>7.5</v>
      </c>
    </row>
    <row r="63" spans="1:7" x14ac:dyDescent="0.25">
      <c r="A63" t="s">
        <v>3</v>
      </c>
      <c r="B63">
        <v>61</v>
      </c>
      <c r="C63">
        <v>20</v>
      </c>
      <c r="D63" s="3">
        <v>21.745071411132813</v>
      </c>
      <c r="E63" s="3" t="s">
        <v>10</v>
      </c>
      <c r="F63" s="3" t="s">
        <v>21</v>
      </c>
      <c r="G63" s="3">
        <v>7.5</v>
      </c>
    </row>
    <row r="64" spans="1:7" x14ac:dyDescent="0.25">
      <c r="A64" t="s">
        <v>3</v>
      </c>
      <c r="B64">
        <v>62</v>
      </c>
      <c r="C64">
        <v>50</v>
      </c>
      <c r="D64" s="2">
        <v>14.852407217025757</v>
      </c>
      <c r="E64" s="2" t="s">
        <v>10</v>
      </c>
      <c r="F64" s="2" t="s">
        <v>21</v>
      </c>
      <c r="G64" s="2">
        <v>5</v>
      </c>
    </row>
    <row r="65" spans="1:7" x14ac:dyDescent="0.25">
      <c r="A65" t="s">
        <v>3</v>
      </c>
      <c r="B65">
        <v>63</v>
      </c>
      <c r="C65">
        <v>96</v>
      </c>
      <c r="D65" s="3">
        <v>22.9300217628479</v>
      </c>
      <c r="E65" s="3" t="s">
        <v>10</v>
      </c>
      <c r="F65" s="3" t="s">
        <v>21</v>
      </c>
      <c r="G65" s="3">
        <v>5</v>
      </c>
    </row>
    <row r="66" spans="1:7" x14ac:dyDescent="0.25">
      <c r="A66" t="s">
        <v>3</v>
      </c>
      <c r="B66">
        <v>64</v>
      </c>
      <c r="C66">
        <v>100</v>
      </c>
      <c r="D66" s="2">
        <v>32.747674942016602</v>
      </c>
      <c r="E66" s="2" t="s">
        <v>10</v>
      </c>
      <c r="F66" s="2" t="s">
        <v>21</v>
      </c>
      <c r="G66" s="2">
        <v>5</v>
      </c>
    </row>
    <row r="67" spans="1:7" x14ac:dyDescent="0.25">
      <c r="A67" t="s">
        <v>3</v>
      </c>
      <c r="B67">
        <v>65</v>
      </c>
      <c r="C67">
        <v>50</v>
      </c>
      <c r="D67" s="3">
        <v>20.841614246368408</v>
      </c>
      <c r="E67" s="3" t="s">
        <v>10</v>
      </c>
      <c r="F67" s="3" t="s">
        <v>15</v>
      </c>
      <c r="G67" s="3">
        <v>5</v>
      </c>
    </row>
    <row r="68" spans="1:7" x14ac:dyDescent="0.25">
      <c r="A68" t="s">
        <v>3</v>
      </c>
      <c r="B68">
        <v>66</v>
      </c>
      <c r="C68">
        <v>0</v>
      </c>
      <c r="D68" s="2">
        <v>22.983920097351074</v>
      </c>
      <c r="E68" s="2" t="s">
        <v>10</v>
      </c>
      <c r="F68" s="2" t="s">
        <v>15</v>
      </c>
      <c r="G68" s="2">
        <v>5</v>
      </c>
    </row>
    <row r="69" spans="1:7" x14ac:dyDescent="0.25">
      <c r="A69" t="s">
        <v>3</v>
      </c>
      <c r="B69">
        <v>67</v>
      </c>
      <c r="C69">
        <v>100</v>
      </c>
      <c r="D69" s="3">
        <v>21.020496368408203</v>
      </c>
      <c r="E69" s="3" t="s">
        <v>10</v>
      </c>
      <c r="F69" s="3" t="s">
        <v>15</v>
      </c>
      <c r="G69" s="3">
        <v>5</v>
      </c>
    </row>
    <row r="70" spans="1:7" x14ac:dyDescent="0.25">
      <c r="A70" t="s">
        <v>3</v>
      </c>
      <c r="B70">
        <v>68</v>
      </c>
      <c r="C70">
        <v>100</v>
      </c>
      <c r="D70" s="2">
        <v>25.10686731338501</v>
      </c>
      <c r="E70" s="2" t="s">
        <v>10</v>
      </c>
      <c r="F70" s="2" t="s">
        <v>15</v>
      </c>
      <c r="G70" s="2">
        <v>5</v>
      </c>
    </row>
    <row r="71" spans="1:7" x14ac:dyDescent="0.25">
      <c r="A71" t="s">
        <v>3</v>
      </c>
      <c r="B71">
        <v>69</v>
      </c>
      <c r="C71">
        <v>0</v>
      </c>
      <c r="D71" s="3">
        <v>19.721163034439087</v>
      </c>
      <c r="E71" s="3" t="s">
        <v>10</v>
      </c>
      <c r="F71" s="3" t="s">
        <v>15</v>
      </c>
      <c r="G71" s="3">
        <v>2.1</v>
      </c>
    </row>
    <row r="72" spans="1:7" x14ac:dyDescent="0.25">
      <c r="A72" t="s">
        <v>3</v>
      </c>
      <c r="B72">
        <v>70</v>
      </c>
      <c r="C72">
        <v>100</v>
      </c>
      <c r="D72" s="2">
        <v>36.47775673866272</v>
      </c>
      <c r="E72" s="2" t="s">
        <v>10</v>
      </c>
      <c r="F72" s="2" t="s">
        <v>11</v>
      </c>
      <c r="G72" s="2">
        <v>6.8</v>
      </c>
    </row>
    <row r="73" spans="1:7" x14ac:dyDescent="0.25">
      <c r="A73" t="s">
        <v>3</v>
      </c>
      <c r="B73">
        <v>71</v>
      </c>
      <c r="C73">
        <v>100</v>
      </c>
      <c r="D73" s="3">
        <v>27.709506273269653</v>
      </c>
      <c r="E73" s="3" t="s">
        <v>10</v>
      </c>
      <c r="F73" s="3" t="s">
        <v>11</v>
      </c>
      <c r="G73" s="3">
        <v>6.8</v>
      </c>
    </row>
    <row r="74" spans="1:7" x14ac:dyDescent="0.25">
      <c r="A74" t="s">
        <v>3</v>
      </c>
      <c r="B74">
        <v>72</v>
      </c>
      <c r="C74">
        <v>100</v>
      </c>
      <c r="D74" s="2">
        <v>38.379209756851196</v>
      </c>
      <c r="E74" s="2" t="s">
        <v>10</v>
      </c>
      <c r="F74" s="2" t="s">
        <v>11</v>
      </c>
      <c r="G74" s="2">
        <v>6.8</v>
      </c>
    </row>
    <row r="75" spans="1:7" x14ac:dyDescent="0.25">
      <c r="A75" t="s">
        <v>3</v>
      </c>
      <c r="B75">
        <v>73</v>
      </c>
      <c r="C75">
        <v>100</v>
      </c>
      <c r="D75" s="3">
        <v>34.519274711608887</v>
      </c>
      <c r="E75" s="3" t="s">
        <v>10</v>
      </c>
      <c r="F75" s="3" t="s">
        <v>11</v>
      </c>
      <c r="G75" s="3">
        <v>6.8</v>
      </c>
    </row>
    <row r="76" spans="1:7" x14ac:dyDescent="0.25">
      <c r="A76" t="s">
        <v>3</v>
      </c>
      <c r="B76">
        <v>74</v>
      </c>
      <c r="C76">
        <v>100</v>
      </c>
      <c r="D76" s="2">
        <v>22.461121797561646</v>
      </c>
      <c r="E76" s="2" t="s">
        <v>10</v>
      </c>
      <c r="F76" s="2" t="s">
        <v>13</v>
      </c>
      <c r="G76" s="2">
        <v>7.5</v>
      </c>
    </row>
    <row r="77" spans="1:7" x14ac:dyDescent="0.25">
      <c r="A77" t="s">
        <v>3</v>
      </c>
      <c r="B77">
        <v>75</v>
      </c>
      <c r="C77">
        <v>100</v>
      </c>
      <c r="D77" s="3">
        <v>33.870853424072266</v>
      </c>
      <c r="E77" s="3" t="s">
        <v>10</v>
      </c>
      <c r="F77" s="3" t="s">
        <v>15</v>
      </c>
      <c r="G77" s="3">
        <v>5</v>
      </c>
    </row>
    <row r="78" spans="1:7" x14ac:dyDescent="0.25">
      <c r="A78" t="s">
        <v>3</v>
      </c>
      <c r="B78">
        <v>76</v>
      </c>
      <c r="C78">
        <v>100</v>
      </c>
      <c r="D78" s="2">
        <v>34.05670690536499</v>
      </c>
      <c r="E78" s="2" t="s">
        <v>10</v>
      </c>
      <c r="F78" s="2" t="s">
        <v>11</v>
      </c>
      <c r="G78" s="2">
        <v>7.5</v>
      </c>
    </row>
    <row r="79" spans="1:7" x14ac:dyDescent="0.25">
      <c r="A79" t="s">
        <v>3</v>
      </c>
      <c r="B79">
        <v>77</v>
      </c>
      <c r="C79">
        <v>100</v>
      </c>
      <c r="D79" s="3">
        <v>18.928172588348389</v>
      </c>
      <c r="E79" s="3" t="s">
        <v>10</v>
      </c>
      <c r="F79" s="3" t="s">
        <v>11</v>
      </c>
      <c r="G79" s="3">
        <v>7.5</v>
      </c>
    </row>
    <row r="80" spans="1:7" x14ac:dyDescent="0.25">
      <c r="A80" t="s">
        <v>3</v>
      </c>
      <c r="B80">
        <v>78</v>
      </c>
      <c r="C80">
        <v>100</v>
      </c>
      <c r="D80" s="2">
        <v>18.003846406936646</v>
      </c>
      <c r="E80" s="2" t="s">
        <v>10</v>
      </c>
      <c r="F80" s="2" t="s">
        <v>11</v>
      </c>
      <c r="G80" s="2">
        <v>7.5</v>
      </c>
    </row>
    <row r="81" spans="1:7" x14ac:dyDescent="0.25">
      <c r="A81" t="s">
        <v>3</v>
      </c>
      <c r="B81">
        <v>79</v>
      </c>
      <c r="C81">
        <v>100</v>
      </c>
      <c r="D81" s="3">
        <v>29.957919120788574</v>
      </c>
      <c r="E81" s="3" t="s">
        <v>10</v>
      </c>
      <c r="F81" s="3" t="s">
        <v>11</v>
      </c>
      <c r="G81" s="3">
        <v>7.5</v>
      </c>
    </row>
    <row r="82" spans="1:7" x14ac:dyDescent="0.25">
      <c r="A82" t="s">
        <v>3</v>
      </c>
      <c r="B82">
        <v>80</v>
      </c>
      <c r="C82">
        <v>100</v>
      </c>
      <c r="D82" s="2">
        <v>30.473247051239014</v>
      </c>
      <c r="E82" s="2" t="s">
        <v>10</v>
      </c>
      <c r="F82" s="2" t="s">
        <v>11</v>
      </c>
      <c r="G82" s="2">
        <v>7.5</v>
      </c>
    </row>
    <row r="83" spans="1:7" x14ac:dyDescent="0.25">
      <c r="A83" t="s">
        <v>3</v>
      </c>
      <c r="B83">
        <v>81</v>
      </c>
      <c r="C83">
        <v>90</v>
      </c>
      <c r="D83" s="3">
        <v>33.118933200836182</v>
      </c>
      <c r="E83" s="3" t="s">
        <v>10</v>
      </c>
      <c r="F83" s="3" t="s">
        <v>11</v>
      </c>
      <c r="G83" s="3">
        <v>7.5</v>
      </c>
    </row>
    <row r="84" spans="1:7" x14ac:dyDescent="0.25">
      <c r="A84" t="s">
        <v>3</v>
      </c>
      <c r="B84">
        <v>82</v>
      </c>
      <c r="C84">
        <v>100</v>
      </c>
      <c r="D84" s="2">
        <v>19.293681144714355</v>
      </c>
      <c r="E84" s="2" t="s">
        <v>10</v>
      </c>
      <c r="F84" s="2" t="s">
        <v>11</v>
      </c>
      <c r="G84" s="2">
        <v>7.5</v>
      </c>
    </row>
    <row r="85" spans="1:7" x14ac:dyDescent="0.25">
      <c r="A85" t="s">
        <v>3</v>
      </c>
      <c r="B85">
        <v>83</v>
      </c>
      <c r="C85">
        <v>0</v>
      </c>
      <c r="D85" s="3">
        <v>26.453550577163696</v>
      </c>
      <c r="E85" s="3" t="s">
        <v>10</v>
      </c>
      <c r="F85" s="3" t="s">
        <v>22</v>
      </c>
      <c r="G85" s="3">
        <v>6.8</v>
      </c>
    </row>
    <row r="86" spans="1:7" x14ac:dyDescent="0.25">
      <c r="A86" t="s">
        <v>3</v>
      </c>
      <c r="B86">
        <v>84</v>
      </c>
      <c r="C86">
        <v>100</v>
      </c>
      <c r="D86" s="2">
        <v>28.848495006561279</v>
      </c>
      <c r="E86" s="2" t="s">
        <v>19</v>
      </c>
      <c r="F86" s="2" t="s">
        <v>15</v>
      </c>
      <c r="G86" s="2">
        <v>5</v>
      </c>
    </row>
    <row r="87" spans="1:7" x14ac:dyDescent="0.25">
      <c r="A87" t="s">
        <v>3</v>
      </c>
      <c r="B87">
        <v>85</v>
      </c>
      <c r="C87">
        <v>100</v>
      </c>
      <c r="D87" s="3">
        <v>19.695249319076538</v>
      </c>
      <c r="E87" s="3" t="s">
        <v>19</v>
      </c>
      <c r="F87" s="3" t="s">
        <v>15</v>
      </c>
      <c r="G87" s="3">
        <v>5</v>
      </c>
    </row>
    <row r="88" spans="1:7" x14ac:dyDescent="0.25">
      <c r="A88" t="s">
        <v>3</v>
      </c>
      <c r="B88">
        <v>86</v>
      </c>
      <c r="C88">
        <v>100</v>
      </c>
      <c r="D88" s="2">
        <v>12.162580966949463</v>
      </c>
      <c r="E88" s="2" t="s">
        <v>10</v>
      </c>
      <c r="F88" s="2" t="s">
        <v>21</v>
      </c>
      <c r="G88" s="2">
        <v>4.3</v>
      </c>
    </row>
    <row r="89" spans="1:7" x14ac:dyDescent="0.25">
      <c r="A89" t="s">
        <v>3</v>
      </c>
      <c r="B89">
        <v>87</v>
      </c>
      <c r="C89">
        <v>100</v>
      </c>
      <c r="D89" s="3">
        <v>33.498315811157227</v>
      </c>
      <c r="E89" s="3" t="s">
        <v>10</v>
      </c>
      <c r="F89" s="3" t="s">
        <v>23</v>
      </c>
      <c r="G89" s="3">
        <v>9.3000000000000007</v>
      </c>
    </row>
    <row r="90" spans="1:7" x14ac:dyDescent="0.25">
      <c r="A90" t="s">
        <v>3</v>
      </c>
      <c r="B90">
        <v>88</v>
      </c>
      <c r="C90">
        <v>100</v>
      </c>
      <c r="D90" s="2">
        <v>64.269851922988892</v>
      </c>
      <c r="E90" s="2" t="s">
        <v>10</v>
      </c>
      <c r="F90" s="2" t="s">
        <v>21</v>
      </c>
      <c r="G90" s="2">
        <v>5</v>
      </c>
    </row>
    <row r="91" spans="1:7" x14ac:dyDescent="0.25">
      <c r="A91" t="s">
        <v>3</v>
      </c>
      <c r="B91">
        <v>89</v>
      </c>
      <c r="C91">
        <v>15</v>
      </c>
      <c r="D91" s="3">
        <v>26.044892072677612</v>
      </c>
      <c r="E91" s="3" t="s">
        <v>19</v>
      </c>
      <c r="F91" s="3" t="s">
        <v>15</v>
      </c>
      <c r="G91" s="3">
        <v>5</v>
      </c>
    </row>
    <row r="92" spans="1:7" x14ac:dyDescent="0.25">
      <c r="A92" t="s">
        <v>3</v>
      </c>
      <c r="B92">
        <v>90</v>
      </c>
      <c r="C92">
        <v>100</v>
      </c>
      <c r="D92" s="2">
        <v>36.24938178062439</v>
      </c>
      <c r="E92" s="2" t="s">
        <v>19</v>
      </c>
      <c r="F92" s="2" t="s">
        <v>20</v>
      </c>
      <c r="G92" s="2">
        <v>7.5</v>
      </c>
    </row>
    <row r="93" spans="1:7" x14ac:dyDescent="0.25">
      <c r="A93" t="s">
        <v>3</v>
      </c>
      <c r="B93">
        <v>91</v>
      </c>
      <c r="C93">
        <v>0</v>
      </c>
      <c r="D93" s="3">
        <v>28.502496004104614</v>
      </c>
      <c r="E93" s="3" t="s">
        <v>10</v>
      </c>
      <c r="F93" s="3" t="s">
        <v>13</v>
      </c>
      <c r="G93" s="3">
        <v>4.4000000000000004</v>
      </c>
    </row>
    <row r="94" spans="1:7" x14ac:dyDescent="0.25">
      <c r="A94" t="s">
        <v>3</v>
      </c>
      <c r="B94">
        <v>92</v>
      </c>
      <c r="C94">
        <v>100</v>
      </c>
      <c r="D94" s="2">
        <v>23.327822923660278</v>
      </c>
      <c r="E94" s="2" t="s">
        <v>10</v>
      </c>
      <c r="F94" s="2" t="s">
        <v>13</v>
      </c>
      <c r="G94" s="2">
        <v>4.4000000000000004</v>
      </c>
    </row>
    <row r="95" spans="1:7" x14ac:dyDescent="0.25">
      <c r="A95" t="s">
        <v>3</v>
      </c>
      <c r="B95">
        <v>93</v>
      </c>
      <c r="C95">
        <v>100</v>
      </c>
      <c r="D95" s="3">
        <v>26.038365602493286</v>
      </c>
      <c r="E95" s="3" t="s">
        <v>10</v>
      </c>
      <c r="F95" s="3" t="s">
        <v>13</v>
      </c>
      <c r="G95" s="3">
        <v>4.4000000000000004</v>
      </c>
    </row>
    <row r="96" spans="1:7" x14ac:dyDescent="0.25">
      <c r="A96" t="s">
        <v>3</v>
      </c>
      <c r="B96">
        <v>94</v>
      </c>
      <c r="C96">
        <v>95</v>
      </c>
      <c r="D96" s="2">
        <v>51.196577072143555</v>
      </c>
      <c r="E96" s="2" t="s">
        <v>10</v>
      </c>
      <c r="F96" s="2" t="s">
        <v>20</v>
      </c>
      <c r="G96" s="2">
        <v>7.5</v>
      </c>
    </row>
    <row r="97" spans="1:7" x14ac:dyDescent="0.25">
      <c r="A97" t="s">
        <v>3</v>
      </c>
      <c r="B97">
        <v>95</v>
      </c>
      <c r="C97">
        <v>100</v>
      </c>
      <c r="D97" s="3">
        <v>36.576803207397461</v>
      </c>
      <c r="E97" s="3" t="s">
        <v>10</v>
      </c>
      <c r="F97" s="3" t="s">
        <v>13</v>
      </c>
      <c r="G97" s="3">
        <v>5.8</v>
      </c>
    </row>
    <row r="98" spans="1:7" x14ac:dyDescent="0.25">
      <c r="A98" t="s">
        <v>3</v>
      </c>
      <c r="B98">
        <v>96</v>
      </c>
      <c r="C98">
        <v>100</v>
      </c>
      <c r="D98" s="2">
        <v>32.48339319229126</v>
      </c>
      <c r="E98" s="2" t="s">
        <v>10</v>
      </c>
      <c r="F98" s="2" t="s">
        <v>13</v>
      </c>
      <c r="G98" s="2">
        <v>5.8</v>
      </c>
    </row>
    <row r="99" spans="1:7" x14ac:dyDescent="0.25">
      <c r="A99" t="s">
        <v>3</v>
      </c>
      <c r="B99">
        <v>97</v>
      </c>
      <c r="C99">
        <v>100</v>
      </c>
      <c r="D99" s="3">
        <v>25.295783519744873</v>
      </c>
      <c r="E99" s="3" t="s">
        <v>10</v>
      </c>
      <c r="F99" s="3" t="s">
        <v>14</v>
      </c>
      <c r="G99" s="3">
        <v>5</v>
      </c>
    </row>
    <row r="100" spans="1:7" x14ac:dyDescent="0.25">
      <c r="A100" t="s">
        <v>3</v>
      </c>
      <c r="B100">
        <v>98</v>
      </c>
      <c r="C100">
        <v>85</v>
      </c>
      <c r="D100" s="2">
        <v>22.467312335968018</v>
      </c>
      <c r="E100" s="2" t="s">
        <v>10</v>
      </c>
      <c r="F100" s="2" t="s">
        <v>15</v>
      </c>
      <c r="G100" s="2">
        <v>1.2</v>
      </c>
    </row>
    <row r="101" spans="1:7" x14ac:dyDescent="0.25">
      <c r="A101" t="s">
        <v>3</v>
      </c>
      <c r="B101">
        <v>99</v>
      </c>
      <c r="C101">
        <v>100</v>
      </c>
      <c r="D101" s="3">
        <v>16.49023175239563</v>
      </c>
      <c r="E101" s="3" t="s">
        <v>10</v>
      </c>
      <c r="F101" s="3" t="s">
        <v>15</v>
      </c>
      <c r="G101" s="3">
        <v>5</v>
      </c>
    </row>
    <row r="102" spans="1:7" x14ac:dyDescent="0.25">
      <c r="A102" t="s">
        <v>3</v>
      </c>
      <c r="B102">
        <v>100</v>
      </c>
      <c r="C102">
        <v>100</v>
      </c>
      <c r="D102" s="2">
        <v>13.138848304748535</v>
      </c>
      <c r="E102" s="2" t="s">
        <v>10</v>
      </c>
      <c r="F102" s="2" t="s">
        <v>15</v>
      </c>
      <c r="G102" s="2">
        <v>5</v>
      </c>
    </row>
    <row r="103" spans="1:7" x14ac:dyDescent="0.25">
      <c r="A103" t="s">
        <v>3</v>
      </c>
      <c r="B103">
        <v>101</v>
      </c>
      <c r="C103">
        <v>3</v>
      </c>
      <c r="D103" s="3">
        <v>12.088728904724121</v>
      </c>
      <c r="E103" s="3" t="s">
        <v>19</v>
      </c>
      <c r="F103" s="3" t="s">
        <v>15</v>
      </c>
      <c r="G103" s="3">
        <v>5</v>
      </c>
    </row>
    <row r="104" spans="1:7" x14ac:dyDescent="0.25">
      <c r="A104" t="s">
        <v>3</v>
      </c>
      <c r="B104">
        <v>102</v>
      </c>
      <c r="C104">
        <v>100</v>
      </c>
      <c r="D104" s="2">
        <v>15.863655090332031</v>
      </c>
      <c r="E104" s="2" t="s">
        <v>10</v>
      </c>
      <c r="F104" s="2" t="s">
        <v>11</v>
      </c>
      <c r="G104" s="2">
        <v>4.3</v>
      </c>
    </row>
    <row r="105" spans="1:7" x14ac:dyDescent="0.25">
      <c r="A105" t="s">
        <v>3</v>
      </c>
      <c r="B105">
        <v>103</v>
      </c>
      <c r="C105">
        <v>100</v>
      </c>
      <c r="D105" s="3">
        <v>27.636792898178101</v>
      </c>
      <c r="E105" s="3" t="s">
        <v>10</v>
      </c>
      <c r="F105" s="3" t="s">
        <v>17</v>
      </c>
      <c r="G105" s="3">
        <v>5</v>
      </c>
    </row>
    <row r="106" spans="1:7" x14ac:dyDescent="0.25">
      <c r="A106" t="s">
        <v>3</v>
      </c>
      <c r="B106">
        <v>104</v>
      </c>
      <c r="C106">
        <v>100</v>
      </c>
      <c r="D106" s="2">
        <v>31.194571733474731</v>
      </c>
      <c r="E106" s="2" t="s">
        <v>10</v>
      </c>
      <c r="F106" s="2" t="s">
        <v>17</v>
      </c>
      <c r="G106" s="2">
        <v>5</v>
      </c>
    </row>
    <row r="107" spans="1:7" x14ac:dyDescent="0.25">
      <c r="A107" t="s">
        <v>3</v>
      </c>
      <c r="B107">
        <v>105</v>
      </c>
      <c r="C107">
        <v>100</v>
      </c>
      <c r="D107" s="3">
        <v>31.263248205184937</v>
      </c>
      <c r="E107" s="3" t="s">
        <v>10</v>
      </c>
      <c r="F107" s="3" t="s">
        <v>17</v>
      </c>
      <c r="G107" s="3">
        <v>5</v>
      </c>
    </row>
    <row r="108" spans="1:7" x14ac:dyDescent="0.25">
      <c r="A108" t="s">
        <v>3</v>
      </c>
      <c r="B108">
        <v>106</v>
      </c>
      <c r="C108">
        <v>100</v>
      </c>
      <c r="D108" s="2">
        <v>30.049158573150635</v>
      </c>
      <c r="E108" s="2" t="s">
        <v>10</v>
      </c>
      <c r="F108" s="2" t="s">
        <v>17</v>
      </c>
      <c r="G108" s="2">
        <v>5</v>
      </c>
    </row>
    <row r="109" spans="1:7" x14ac:dyDescent="0.25">
      <c r="A109" t="s">
        <v>3</v>
      </c>
      <c r="B109">
        <v>107</v>
      </c>
      <c r="C109">
        <v>0</v>
      </c>
      <c r="D109" s="3">
        <v>32.690622806549072</v>
      </c>
      <c r="E109" s="3" t="s">
        <v>10</v>
      </c>
      <c r="F109" s="3" t="s">
        <v>17</v>
      </c>
      <c r="G109" s="3">
        <v>5</v>
      </c>
    </row>
    <row r="110" spans="1:7" x14ac:dyDescent="0.25">
      <c r="A110" t="s">
        <v>3</v>
      </c>
      <c r="B110">
        <v>108</v>
      </c>
      <c r="C110">
        <v>100</v>
      </c>
      <c r="D110" s="2">
        <v>32.395844459533691</v>
      </c>
      <c r="E110" s="2" t="s">
        <v>10</v>
      </c>
      <c r="F110" s="2" t="s">
        <v>17</v>
      </c>
      <c r="G110" s="2">
        <v>5</v>
      </c>
    </row>
    <row r="111" spans="1:7" x14ac:dyDescent="0.25">
      <c r="A111" t="s">
        <v>3</v>
      </c>
      <c r="B111">
        <v>109</v>
      </c>
      <c r="C111">
        <v>80</v>
      </c>
      <c r="D111" s="3">
        <v>23.947177648544312</v>
      </c>
      <c r="E111" s="3" t="s">
        <v>10</v>
      </c>
      <c r="F111" s="3" t="s">
        <v>17</v>
      </c>
      <c r="G111" s="3">
        <v>5</v>
      </c>
    </row>
    <row r="112" spans="1:7" x14ac:dyDescent="0.25">
      <c r="A112" t="s">
        <v>3</v>
      </c>
      <c r="B112">
        <v>110</v>
      </c>
      <c r="C112">
        <v>65</v>
      </c>
      <c r="D112" s="2">
        <v>18.571632385253906</v>
      </c>
      <c r="E112" s="2" t="s">
        <v>10</v>
      </c>
      <c r="F112" s="2" t="s">
        <v>17</v>
      </c>
      <c r="G112" s="2">
        <v>5</v>
      </c>
    </row>
    <row r="113" spans="1:7" x14ac:dyDescent="0.25">
      <c r="A113" t="s">
        <v>3</v>
      </c>
      <c r="B113">
        <v>111</v>
      </c>
      <c r="C113">
        <v>100</v>
      </c>
      <c r="D113" s="3">
        <v>24.437391519546509</v>
      </c>
      <c r="E113" s="3" t="s">
        <v>10</v>
      </c>
      <c r="F113" s="3" t="s">
        <v>13</v>
      </c>
      <c r="G113" s="3">
        <v>4.3</v>
      </c>
    </row>
    <row r="114" spans="1:7" x14ac:dyDescent="0.25">
      <c r="A114" t="s">
        <v>3</v>
      </c>
      <c r="B114">
        <v>112</v>
      </c>
      <c r="C114">
        <v>100</v>
      </c>
      <c r="D114" s="2">
        <v>27.1392662525177</v>
      </c>
      <c r="E114" s="2" t="s">
        <v>10</v>
      </c>
      <c r="F114" s="2" t="s">
        <v>13</v>
      </c>
      <c r="G114" s="2">
        <v>4.3</v>
      </c>
    </row>
    <row r="115" spans="1:7" x14ac:dyDescent="0.25">
      <c r="A115" t="s">
        <v>3</v>
      </c>
      <c r="B115">
        <v>113</v>
      </c>
      <c r="C115">
        <v>100</v>
      </c>
      <c r="D115" s="3">
        <v>30.419133901596069</v>
      </c>
      <c r="E115" s="3" t="s">
        <v>10</v>
      </c>
      <c r="F115" s="3" t="s">
        <v>13</v>
      </c>
      <c r="G115" s="3">
        <v>4.3</v>
      </c>
    </row>
    <row r="116" spans="1:7" x14ac:dyDescent="0.25">
      <c r="A116" t="s">
        <v>3</v>
      </c>
      <c r="B116">
        <v>114</v>
      </c>
      <c r="C116">
        <v>95</v>
      </c>
      <c r="D116" s="2">
        <v>26.266054391860962</v>
      </c>
      <c r="E116" s="2" t="s">
        <v>10</v>
      </c>
      <c r="F116" s="2" t="s">
        <v>14</v>
      </c>
      <c r="G116" s="2">
        <v>6.4</v>
      </c>
    </row>
    <row r="117" spans="1:7" x14ac:dyDescent="0.25">
      <c r="A117" t="s">
        <v>3</v>
      </c>
      <c r="B117">
        <v>115</v>
      </c>
      <c r="C117">
        <v>100</v>
      </c>
      <c r="D117" s="3">
        <v>20.351372718811035</v>
      </c>
      <c r="E117" s="3" t="s">
        <v>10</v>
      </c>
      <c r="F117" s="3" t="s">
        <v>14</v>
      </c>
      <c r="G117" s="3">
        <v>6.4</v>
      </c>
    </row>
    <row r="118" spans="1:7" x14ac:dyDescent="0.25">
      <c r="A118" t="s">
        <v>3</v>
      </c>
      <c r="B118">
        <v>116</v>
      </c>
      <c r="C118">
        <v>25</v>
      </c>
      <c r="D118" s="2">
        <v>34.016736268997192</v>
      </c>
      <c r="E118" s="2" t="s">
        <v>10</v>
      </c>
      <c r="F118" s="2" t="s">
        <v>14</v>
      </c>
      <c r="G118" s="2">
        <v>6.4</v>
      </c>
    </row>
    <row r="119" spans="1:7" x14ac:dyDescent="0.25">
      <c r="A119" t="s">
        <v>3</v>
      </c>
      <c r="B119">
        <v>117</v>
      </c>
      <c r="C119">
        <v>100</v>
      </c>
      <c r="D119" s="3">
        <v>32.680544376373291</v>
      </c>
      <c r="E119" s="3" t="s">
        <v>10</v>
      </c>
      <c r="F119" s="3" t="s">
        <v>14</v>
      </c>
      <c r="G119" s="3">
        <v>6.4</v>
      </c>
    </row>
    <row r="120" spans="1:7" x14ac:dyDescent="0.25">
      <c r="A120" t="s">
        <v>3</v>
      </c>
      <c r="B120">
        <v>118</v>
      </c>
      <c r="C120">
        <v>100</v>
      </c>
      <c r="D120" s="2">
        <v>43.777166843414307</v>
      </c>
      <c r="E120" s="2" t="s">
        <v>10</v>
      </c>
      <c r="F120" s="2" t="s">
        <v>11</v>
      </c>
      <c r="G120" s="2">
        <v>6.8</v>
      </c>
    </row>
    <row r="121" spans="1:7" x14ac:dyDescent="0.25">
      <c r="A121" t="s">
        <v>3</v>
      </c>
      <c r="B121">
        <v>119</v>
      </c>
      <c r="C121">
        <v>0</v>
      </c>
      <c r="D121" s="3">
        <v>28.532328128814697</v>
      </c>
      <c r="E121" s="3" t="s">
        <v>10</v>
      </c>
      <c r="F121" s="3" t="s">
        <v>11</v>
      </c>
      <c r="G121" s="3">
        <v>5</v>
      </c>
    </row>
    <row r="122" spans="1:7" x14ac:dyDescent="0.25">
      <c r="A122" t="s">
        <v>3</v>
      </c>
      <c r="B122">
        <v>120</v>
      </c>
      <c r="C122">
        <v>100</v>
      </c>
      <c r="D122" s="2">
        <v>25.441508054733276</v>
      </c>
      <c r="E122" s="2" t="s">
        <v>10</v>
      </c>
      <c r="F122" s="2" t="s">
        <v>13</v>
      </c>
      <c r="G122" s="2">
        <v>9.3000000000000007</v>
      </c>
    </row>
    <row r="123" spans="1:7" x14ac:dyDescent="0.25">
      <c r="A123" t="s">
        <v>3</v>
      </c>
      <c r="B123">
        <v>121</v>
      </c>
      <c r="C123">
        <v>40</v>
      </c>
      <c r="D123" s="3">
        <v>31.82141637802124</v>
      </c>
      <c r="E123" s="3" t="s">
        <v>10</v>
      </c>
      <c r="F123" s="3" t="s">
        <v>13</v>
      </c>
      <c r="G123" s="3">
        <v>5.8</v>
      </c>
    </row>
    <row r="124" spans="1:7" x14ac:dyDescent="0.25">
      <c r="A124" t="s">
        <v>3</v>
      </c>
      <c r="B124">
        <v>122</v>
      </c>
      <c r="C124">
        <v>100</v>
      </c>
      <c r="D124" s="2">
        <v>23.788352489471436</v>
      </c>
      <c r="E124" s="2" t="s">
        <v>10</v>
      </c>
      <c r="F124" s="2" t="s">
        <v>24</v>
      </c>
      <c r="G124" s="2">
        <v>4.5999999999999996</v>
      </c>
    </row>
    <row r="125" spans="1:7" x14ac:dyDescent="0.25">
      <c r="A125" t="s">
        <v>3</v>
      </c>
      <c r="B125">
        <v>123</v>
      </c>
      <c r="C125">
        <v>100</v>
      </c>
      <c r="D125" s="3">
        <v>25.690973281860352</v>
      </c>
      <c r="E125" s="3" t="s">
        <v>10</v>
      </c>
      <c r="F125" s="3" t="s">
        <v>25</v>
      </c>
      <c r="G125" s="3">
        <v>9.3000000000000007</v>
      </c>
    </row>
    <row r="126" spans="1:7" x14ac:dyDescent="0.25">
      <c r="A126" t="s">
        <v>3</v>
      </c>
      <c r="B126">
        <v>124</v>
      </c>
      <c r="C126">
        <v>100</v>
      </c>
      <c r="D126" s="2">
        <v>29.406215906143188</v>
      </c>
      <c r="E126" s="2" t="s">
        <v>10</v>
      </c>
      <c r="F126" s="2" t="s">
        <v>25</v>
      </c>
      <c r="G126" s="2">
        <v>9.3000000000000007</v>
      </c>
    </row>
    <row r="127" spans="1:7" x14ac:dyDescent="0.25">
      <c r="A127" t="s">
        <v>3</v>
      </c>
      <c r="B127">
        <v>125</v>
      </c>
      <c r="C127">
        <v>100</v>
      </c>
      <c r="D127" s="3">
        <v>21.900897264480591</v>
      </c>
      <c r="E127" s="3" t="s">
        <v>10</v>
      </c>
      <c r="F127" s="3" t="s">
        <v>17</v>
      </c>
      <c r="G127" s="3">
        <v>2.1</v>
      </c>
    </row>
    <row r="128" spans="1:7" x14ac:dyDescent="0.25">
      <c r="A128" t="s">
        <v>3</v>
      </c>
      <c r="B128">
        <v>126</v>
      </c>
      <c r="C128">
        <v>45</v>
      </c>
      <c r="D128" s="2">
        <v>30.331583261489868</v>
      </c>
      <c r="E128" s="2" t="s">
        <v>10</v>
      </c>
      <c r="F128" s="2" t="s">
        <v>22</v>
      </c>
      <c r="G128" s="2">
        <v>6.8</v>
      </c>
    </row>
    <row r="129" spans="1:7" x14ac:dyDescent="0.25">
      <c r="A129" t="s">
        <v>3</v>
      </c>
      <c r="B129">
        <v>127</v>
      </c>
      <c r="C129">
        <v>0</v>
      </c>
      <c r="D129" s="3">
        <v>23.203819036483765</v>
      </c>
      <c r="E129" s="3" t="s">
        <v>10</v>
      </c>
      <c r="F129" s="3" t="s">
        <v>22</v>
      </c>
      <c r="G129" s="3">
        <v>6.8</v>
      </c>
    </row>
    <row r="130" spans="1:7" x14ac:dyDescent="0.25">
      <c r="A130" t="s">
        <v>3</v>
      </c>
      <c r="B130">
        <v>128</v>
      </c>
      <c r="C130">
        <v>100</v>
      </c>
      <c r="D130" s="2">
        <v>22.387012958526611</v>
      </c>
      <c r="E130" s="2" t="s">
        <v>10</v>
      </c>
      <c r="F130" s="2" t="s">
        <v>21</v>
      </c>
      <c r="G130" s="2">
        <v>4.5999999999999996</v>
      </c>
    </row>
    <row r="131" spans="1:7" x14ac:dyDescent="0.25">
      <c r="A131" t="s">
        <v>3</v>
      </c>
      <c r="B131">
        <v>129</v>
      </c>
      <c r="C131">
        <v>100</v>
      </c>
      <c r="D131" s="3">
        <v>25.842438697814941</v>
      </c>
      <c r="E131" s="3" t="s">
        <v>10</v>
      </c>
      <c r="F131" s="3" t="s">
        <v>15</v>
      </c>
      <c r="G131" s="3">
        <v>3.6</v>
      </c>
    </row>
    <row r="132" spans="1:7" x14ac:dyDescent="0.25">
      <c r="A132" t="s">
        <v>3</v>
      </c>
      <c r="B132">
        <v>130</v>
      </c>
      <c r="C132">
        <v>100</v>
      </c>
      <c r="D132" s="2">
        <v>23.877796173095703</v>
      </c>
      <c r="E132" s="2" t="s">
        <v>10</v>
      </c>
      <c r="F132" s="2" t="s">
        <v>13</v>
      </c>
      <c r="G132" s="2">
        <v>4.3</v>
      </c>
    </row>
    <row r="133" spans="1:7" x14ac:dyDescent="0.25">
      <c r="A133" t="s">
        <v>3</v>
      </c>
      <c r="B133">
        <v>131</v>
      </c>
      <c r="C133">
        <v>100</v>
      </c>
      <c r="D133" s="3">
        <v>30.251331567764282</v>
      </c>
      <c r="E133" s="3" t="s">
        <v>10</v>
      </c>
      <c r="F133" s="3" t="s">
        <v>13</v>
      </c>
      <c r="G133" s="3">
        <v>4.3</v>
      </c>
    </row>
    <row r="134" spans="1:7" x14ac:dyDescent="0.25">
      <c r="A134" t="s">
        <v>3</v>
      </c>
      <c r="B134">
        <v>132</v>
      </c>
      <c r="C134">
        <v>100</v>
      </c>
      <c r="D134" s="2">
        <v>36.137480020523071</v>
      </c>
      <c r="E134" s="2" t="s">
        <v>10</v>
      </c>
      <c r="F134" s="2" t="s">
        <v>15</v>
      </c>
      <c r="G134" s="2">
        <v>4</v>
      </c>
    </row>
    <row r="135" spans="1:7" x14ac:dyDescent="0.25">
      <c r="A135" t="s">
        <v>3</v>
      </c>
      <c r="B135">
        <v>133</v>
      </c>
      <c r="C135">
        <v>80</v>
      </c>
      <c r="D135" s="3">
        <v>30.26198935508728</v>
      </c>
      <c r="E135" s="3" t="s">
        <v>10</v>
      </c>
      <c r="F135" s="3" t="s">
        <v>13</v>
      </c>
      <c r="G135" s="3">
        <v>6.8</v>
      </c>
    </row>
    <row r="136" spans="1:7" x14ac:dyDescent="0.25">
      <c r="A136" t="s">
        <v>3</v>
      </c>
      <c r="B136">
        <v>134</v>
      </c>
      <c r="C136">
        <v>100</v>
      </c>
      <c r="D136" s="2">
        <v>32.962708950042725</v>
      </c>
      <c r="E136" s="2" t="s">
        <v>10</v>
      </c>
      <c r="F136" s="2" t="s">
        <v>13</v>
      </c>
      <c r="G136" s="2">
        <v>6.8</v>
      </c>
    </row>
    <row r="137" spans="1:7" x14ac:dyDescent="0.25">
      <c r="A137" t="s">
        <v>3</v>
      </c>
      <c r="B137">
        <v>135</v>
      </c>
      <c r="C137">
        <v>90</v>
      </c>
      <c r="D137" s="3">
        <v>16.732826471328735</v>
      </c>
      <c r="E137" s="3" t="s">
        <v>10</v>
      </c>
      <c r="F137" s="3" t="s">
        <v>21</v>
      </c>
      <c r="G137" s="3">
        <v>6.8</v>
      </c>
    </row>
    <row r="138" spans="1:7" x14ac:dyDescent="0.25">
      <c r="A138" t="s">
        <v>3</v>
      </c>
      <c r="B138">
        <v>136</v>
      </c>
      <c r="C138">
        <v>0</v>
      </c>
      <c r="D138" s="2">
        <v>16.838583469390869</v>
      </c>
      <c r="E138" s="2" t="s">
        <v>10</v>
      </c>
      <c r="F138" s="2" t="s">
        <v>21</v>
      </c>
      <c r="G138" s="2">
        <v>6.8</v>
      </c>
    </row>
    <row r="139" spans="1:7" x14ac:dyDescent="0.25">
      <c r="A139" t="s">
        <v>3</v>
      </c>
      <c r="B139">
        <v>137</v>
      </c>
      <c r="C139">
        <v>100</v>
      </c>
      <c r="D139" s="3">
        <v>26.357975244522095</v>
      </c>
      <c r="E139" s="3" t="s">
        <v>10</v>
      </c>
      <c r="F139" s="3" t="s">
        <v>21</v>
      </c>
      <c r="G139" s="3">
        <v>9.3000000000000007</v>
      </c>
    </row>
    <row r="140" spans="1:7" x14ac:dyDescent="0.25">
      <c r="A140" t="s">
        <v>3</v>
      </c>
      <c r="B140">
        <v>138</v>
      </c>
      <c r="C140">
        <v>100</v>
      </c>
      <c r="D140" s="2">
        <v>35.42101526260376</v>
      </c>
      <c r="E140" s="2" t="s">
        <v>10</v>
      </c>
      <c r="F140" s="2" t="s">
        <v>23</v>
      </c>
      <c r="G140" s="2">
        <v>6.8</v>
      </c>
    </row>
    <row r="141" spans="1:7" x14ac:dyDescent="0.25">
      <c r="A141" t="s">
        <v>3</v>
      </c>
      <c r="B141">
        <v>139</v>
      </c>
      <c r="C141">
        <v>100</v>
      </c>
      <c r="D141" s="3">
        <v>34.530929088592529</v>
      </c>
      <c r="E141" s="3" t="s">
        <v>10</v>
      </c>
      <c r="F141" s="3" t="s">
        <v>23</v>
      </c>
      <c r="G141" s="3">
        <v>6.8</v>
      </c>
    </row>
    <row r="142" spans="1:7" x14ac:dyDescent="0.25">
      <c r="A142" t="s">
        <v>3</v>
      </c>
      <c r="B142">
        <v>140</v>
      </c>
      <c r="C142">
        <v>25</v>
      </c>
      <c r="D142" s="2">
        <v>11.945372581481934</v>
      </c>
      <c r="E142" s="2" t="s">
        <v>10</v>
      </c>
      <c r="F142" s="2" t="s">
        <v>22</v>
      </c>
      <c r="G142" s="2">
        <v>6.8</v>
      </c>
    </row>
    <row r="143" spans="1:7" x14ac:dyDescent="0.25">
      <c r="A143" t="s">
        <v>3</v>
      </c>
      <c r="B143">
        <v>141</v>
      </c>
      <c r="C143">
        <v>0</v>
      </c>
      <c r="D143" s="3">
        <v>16.719557762145996</v>
      </c>
      <c r="E143" s="3" t="s">
        <v>10</v>
      </c>
      <c r="F143" s="3" t="s">
        <v>22</v>
      </c>
      <c r="G143" s="3">
        <v>6.8</v>
      </c>
    </row>
    <row r="144" spans="1:7" x14ac:dyDescent="0.25">
      <c r="A144" t="s">
        <v>3</v>
      </c>
      <c r="B144">
        <v>142</v>
      </c>
      <c r="C144">
        <v>100</v>
      </c>
      <c r="D144" s="2">
        <v>25.238003492355347</v>
      </c>
      <c r="E144" s="2" t="s">
        <v>10</v>
      </c>
      <c r="F144" s="2" t="s">
        <v>20</v>
      </c>
      <c r="G144" s="2">
        <v>7.7</v>
      </c>
    </row>
    <row r="145" spans="1:7" x14ac:dyDescent="0.25">
      <c r="A145" t="s">
        <v>3</v>
      </c>
      <c r="B145">
        <v>143</v>
      </c>
      <c r="C145">
        <v>100</v>
      </c>
      <c r="D145" s="3">
        <v>33.373621702194214</v>
      </c>
      <c r="E145" s="3" t="s">
        <v>10</v>
      </c>
      <c r="F145" s="3" t="s">
        <v>20</v>
      </c>
      <c r="G145" s="3">
        <v>7.7</v>
      </c>
    </row>
    <row r="146" spans="1:7" x14ac:dyDescent="0.25">
      <c r="A146" t="s">
        <v>3</v>
      </c>
      <c r="B146">
        <v>144</v>
      </c>
      <c r="C146">
        <v>100</v>
      </c>
      <c r="D146" s="2">
        <v>32.803269863128662</v>
      </c>
      <c r="E146" s="2" t="s">
        <v>10</v>
      </c>
      <c r="F146" s="2" t="s">
        <v>11</v>
      </c>
      <c r="G146" s="2">
        <v>6.8</v>
      </c>
    </row>
    <row r="147" spans="1:7" x14ac:dyDescent="0.25">
      <c r="A147" t="s">
        <v>3</v>
      </c>
      <c r="B147">
        <v>145</v>
      </c>
      <c r="C147">
        <v>100</v>
      </c>
      <c r="D147" s="3">
        <v>21.516478776931763</v>
      </c>
      <c r="E147" s="3" t="s">
        <v>10</v>
      </c>
      <c r="F147" s="3" t="s">
        <v>15</v>
      </c>
      <c r="G147" s="3">
        <v>4.9000000000000004</v>
      </c>
    </row>
    <row r="148" spans="1:7" x14ac:dyDescent="0.25">
      <c r="A148" t="s">
        <v>3</v>
      </c>
      <c r="B148">
        <v>146</v>
      </c>
      <c r="C148">
        <v>100</v>
      </c>
      <c r="D148" s="2">
        <v>35.173812389373779</v>
      </c>
      <c r="E148" s="2" t="s">
        <v>10</v>
      </c>
      <c r="F148" s="2" t="s">
        <v>18</v>
      </c>
      <c r="G148" s="2">
        <v>6.8</v>
      </c>
    </row>
    <row r="149" spans="1:7" x14ac:dyDescent="0.25">
      <c r="A149" t="s">
        <v>3</v>
      </c>
      <c r="B149">
        <v>147</v>
      </c>
      <c r="C149">
        <v>100</v>
      </c>
      <c r="D149" s="3">
        <v>30.087366580963135</v>
      </c>
      <c r="E149" s="3" t="s">
        <v>10</v>
      </c>
      <c r="F149" s="3" t="s">
        <v>13</v>
      </c>
      <c r="G149" s="3">
        <v>5.8</v>
      </c>
    </row>
    <row r="150" spans="1:7" x14ac:dyDescent="0.25">
      <c r="A150" t="s">
        <v>3</v>
      </c>
      <c r="B150">
        <v>148</v>
      </c>
      <c r="C150">
        <v>100</v>
      </c>
      <c r="D150" s="2">
        <v>24.302037477493286</v>
      </c>
      <c r="E150" s="2" t="s">
        <v>10</v>
      </c>
      <c r="F150" s="2" t="s">
        <v>13</v>
      </c>
      <c r="G150" s="2">
        <v>5.8</v>
      </c>
    </row>
    <row r="151" spans="1:7" x14ac:dyDescent="0.25">
      <c r="A151" t="s">
        <v>3</v>
      </c>
      <c r="B151">
        <v>149</v>
      </c>
      <c r="C151">
        <v>65</v>
      </c>
      <c r="D151" s="3">
        <v>22.010825872421265</v>
      </c>
      <c r="E151" s="3" t="s">
        <v>10</v>
      </c>
      <c r="F151" s="3" t="s">
        <v>13</v>
      </c>
      <c r="G151" s="3">
        <v>5.8</v>
      </c>
    </row>
    <row r="152" spans="1:7" x14ac:dyDescent="0.25">
      <c r="A152" t="s">
        <v>3</v>
      </c>
      <c r="B152">
        <v>150</v>
      </c>
      <c r="C152">
        <v>0</v>
      </c>
      <c r="D152" s="2">
        <v>30.392086505889893</v>
      </c>
      <c r="E152" s="2" t="s">
        <v>10</v>
      </c>
      <c r="F152" s="2" t="s">
        <v>26</v>
      </c>
      <c r="G152" s="2">
        <v>5</v>
      </c>
    </row>
    <row r="153" spans="1:7" x14ac:dyDescent="0.25">
      <c r="A153" t="s">
        <v>3</v>
      </c>
      <c r="B153">
        <v>151</v>
      </c>
      <c r="C153">
        <v>30</v>
      </c>
      <c r="D153" s="3">
        <v>34.344996452331543</v>
      </c>
      <c r="E153" s="3" t="s">
        <v>10</v>
      </c>
      <c r="F153" s="3" t="s">
        <v>14</v>
      </c>
      <c r="G153" s="3">
        <v>6.8</v>
      </c>
    </row>
    <row r="154" spans="1:7" x14ac:dyDescent="0.25">
      <c r="A154" t="s">
        <v>3</v>
      </c>
      <c r="B154">
        <v>152</v>
      </c>
      <c r="C154">
        <v>0</v>
      </c>
      <c r="D154" s="2">
        <v>26.333565473556519</v>
      </c>
      <c r="E154" s="2" t="s">
        <v>10</v>
      </c>
      <c r="F154" s="2" t="s">
        <v>14</v>
      </c>
      <c r="G154" s="2">
        <v>2.6</v>
      </c>
    </row>
    <row r="155" spans="1:7" x14ac:dyDescent="0.25">
      <c r="A155" t="s">
        <v>3</v>
      </c>
      <c r="B155">
        <v>153</v>
      </c>
      <c r="C155">
        <v>0</v>
      </c>
      <c r="D155" s="3">
        <v>12.69010066986084</v>
      </c>
      <c r="E155" s="3" t="s">
        <v>10</v>
      </c>
      <c r="F155" s="3" t="s">
        <v>15</v>
      </c>
      <c r="G155" s="3">
        <v>4.3</v>
      </c>
    </row>
    <row r="156" spans="1:7" x14ac:dyDescent="0.25">
      <c r="A156" t="s">
        <v>3</v>
      </c>
      <c r="B156">
        <v>154</v>
      </c>
      <c r="C156">
        <v>100</v>
      </c>
      <c r="D156" s="2">
        <v>12.162656545639038</v>
      </c>
      <c r="E156" s="2" t="s">
        <v>10</v>
      </c>
      <c r="F156" s="2" t="s">
        <v>17</v>
      </c>
      <c r="G156" s="2">
        <v>5</v>
      </c>
    </row>
    <row r="157" spans="1:7" x14ac:dyDescent="0.25">
      <c r="A157" t="s">
        <v>3</v>
      </c>
      <c r="B157">
        <v>155</v>
      </c>
      <c r="C157">
        <v>40</v>
      </c>
      <c r="D157" s="3">
        <v>23.321075201034546</v>
      </c>
      <c r="E157" s="3" t="s">
        <v>10</v>
      </c>
      <c r="F157" s="3" t="s">
        <v>15</v>
      </c>
      <c r="G157" s="3">
        <v>5</v>
      </c>
    </row>
    <row r="158" spans="1:7" x14ac:dyDescent="0.25">
      <c r="A158" t="s">
        <v>3</v>
      </c>
      <c r="B158">
        <v>156</v>
      </c>
      <c r="C158">
        <v>100</v>
      </c>
      <c r="D158" s="2">
        <v>14.34637451171875</v>
      </c>
      <c r="E158" s="2" t="s">
        <v>10</v>
      </c>
      <c r="F158" s="2" t="s">
        <v>15</v>
      </c>
      <c r="G158" s="2">
        <v>5</v>
      </c>
    </row>
    <row r="159" spans="1:7" x14ac:dyDescent="0.25">
      <c r="A159" t="s">
        <v>3</v>
      </c>
      <c r="B159">
        <v>157</v>
      </c>
      <c r="C159">
        <v>0</v>
      </c>
      <c r="D159" s="3">
        <v>28.336302518844604</v>
      </c>
      <c r="E159" s="3" t="s">
        <v>10</v>
      </c>
      <c r="F159" s="3" t="s">
        <v>17</v>
      </c>
      <c r="G159" s="3">
        <v>5</v>
      </c>
    </row>
    <row r="160" spans="1:7" x14ac:dyDescent="0.25">
      <c r="A160" t="s">
        <v>3</v>
      </c>
      <c r="B160">
        <v>158</v>
      </c>
      <c r="C160">
        <v>0</v>
      </c>
      <c r="D160" s="2">
        <v>13.408435106277466</v>
      </c>
      <c r="E160" s="2" t="s">
        <v>10</v>
      </c>
      <c r="F160" s="2" t="s">
        <v>22</v>
      </c>
      <c r="G160" s="2">
        <v>5</v>
      </c>
    </row>
    <row r="161" spans="1:7" x14ac:dyDescent="0.25">
      <c r="A161" t="s">
        <v>3</v>
      </c>
      <c r="B161">
        <v>159</v>
      </c>
      <c r="C161">
        <v>100</v>
      </c>
      <c r="D161" s="3">
        <v>34.123764991760254</v>
      </c>
      <c r="E161" s="3" t="s">
        <v>10</v>
      </c>
      <c r="F161" s="3" t="s">
        <v>15</v>
      </c>
      <c r="G161" s="3">
        <v>1.9</v>
      </c>
    </row>
    <row r="162" spans="1:7" x14ac:dyDescent="0.25">
      <c r="A162" t="s">
        <v>3</v>
      </c>
      <c r="B162">
        <v>160</v>
      </c>
      <c r="C162">
        <v>35</v>
      </c>
      <c r="D162" s="2">
        <v>27.116918563842773</v>
      </c>
      <c r="E162" s="2" t="s">
        <v>10</v>
      </c>
      <c r="F162" s="2" t="s">
        <v>13</v>
      </c>
      <c r="G162" s="2">
        <v>6.9</v>
      </c>
    </row>
    <row r="163" spans="1:7" x14ac:dyDescent="0.25">
      <c r="A163" t="s">
        <v>3</v>
      </c>
      <c r="B163">
        <v>161</v>
      </c>
      <c r="C163">
        <v>100</v>
      </c>
      <c r="D163" s="3">
        <v>23.748962879180908</v>
      </c>
      <c r="E163" s="3" t="s">
        <v>10</v>
      </c>
      <c r="F163" s="3" t="s">
        <v>17</v>
      </c>
      <c r="G163" s="3">
        <v>4.3</v>
      </c>
    </row>
    <row r="164" spans="1:7" x14ac:dyDescent="0.25">
      <c r="A164" t="s">
        <v>3</v>
      </c>
      <c r="B164">
        <v>162</v>
      </c>
      <c r="C164">
        <v>85</v>
      </c>
      <c r="D164" s="2">
        <v>25.046660423278809</v>
      </c>
      <c r="E164" s="2" t="s">
        <v>10</v>
      </c>
      <c r="F164" s="2" t="s">
        <v>17</v>
      </c>
      <c r="G164" s="2">
        <v>4.3</v>
      </c>
    </row>
    <row r="165" spans="1:7" x14ac:dyDescent="0.25">
      <c r="A165" t="s">
        <v>3</v>
      </c>
      <c r="B165">
        <v>163</v>
      </c>
      <c r="C165">
        <v>50</v>
      </c>
      <c r="D165" s="3">
        <v>21.786252737045288</v>
      </c>
      <c r="E165" s="3" t="s">
        <v>10</v>
      </c>
      <c r="F165" s="3" t="s">
        <v>17</v>
      </c>
      <c r="G165" s="3">
        <v>4.3</v>
      </c>
    </row>
    <row r="166" spans="1:7" x14ac:dyDescent="0.25">
      <c r="A166" t="s">
        <v>3</v>
      </c>
      <c r="B166">
        <v>164</v>
      </c>
      <c r="C166">
        <v>100</v>
      </c>
      <c r="D166" s="2">
        <v>27.393009185791016</v>
      </c>
      <c r="E166" s="2" t="s">
        <v>10</v>
      </c>
      <c r="F166" s="2" t="s">
        <v>17</v>
      </c>
      <c r="G166" s="2">
        <v>4.3</v>
      </c>
    </row>
    <row r="167" spans="1:7" x14ac:dyDescent="0.25">
      <c r="A167" t="s">
        <v>3</v>
      </c>
      <c r="B167">
        <v>165</v>
      </c>
      <c r="C167">
        <v>0</v>
      </c>
      <c r="D167" s="3">
        <v>31.257875680923462</v>
      </c>
      <c r="E167" s="3" t="s">
        <v>10</v>
      </c>
      <c r="F167" s="3" t="s">
        <v>21</v>
      </c>
      <c r="G167" s="3">
        <v>10</v>
      </c>
    </row>
    <row r="168" spans="1:7" x14ac:dyDescent="0.25">
      <c r="A168" t="s">
        <v>3</v>
      </c>
      <c r="B168">
        <v>166</v>
      </c>
      <c r="C168">
        <v>0</v>
      </c>
      <c r="D168" s="2">
        <v>12.32485032081604</v>
      </c>
      <c r="E168" s="2" t="s">
        <v>19</v>
      </c>
      <c r="F168" s="2" t="s">
        <v>21</v>
      </c>
      <c r="G168" s="2">
        <v>6.8</v>
      </c>
    </row>
    <row r="169" spans="1:7" x14ac:dyDescent="0.25">
      <c r="A169" t="s">
        <v>3</v>
      </c>
      <c r="B169">
        <v>167</v>
      </c>
      <c r="C169">
        <v>0</v>
      </c>
      <c r="D169" s="3">
        <v>22.136653184890747</v>
      </c>
      <c r="E169" s="3" t="s">
        <v>19</v>
      </c>
      <c r="F169" s="3" t="s">
        <v>15</v>
      </c>
      <c r="G169" s="3">
        <v>4.3</v>
      </c>
    </row>
    <row r="170" spans="1:7" x14ac:dyDescent="0.25">
      <c r="A170" t="s">
        <v>3</v>
      </c>
      <c r="B170">
        <v>168</v>
      </c>
      <c r="C170">
        <v>100</v>
      </c>
      <c r="D170" s="2">
        <v>38.575860977172852</v>
      </c>
      <c r="E170" s="2" t="s">
        <v>19</v>
      </c>
      <c r="F170" s="2" t="s">
        <v>15</v>
      </c>
      <c r="G170" s="2">
        <v>4.3</v>
      </c>
    </row>
    <row r="171" spans="1:7" x14ac:dyDescent="0.25">
      <c r="A171" t="s">
        <v>3</v>
      </c>
      <c r="B171">
        <v>169</v>
      </c>
      <c r="C171">
        <v>100</v>
      </c>
      <c r="D171" s="3">
        <v>30.757663726806641</v>
      </c>
      <c r="E171" s="3" t="s">
        <v>19</v>
      </c>
      <c r="F171" s="3" t="s">
        <v>15</v>
      </c>
      <c r="G171" s="3">
        <v>4.3</v>
      </c>
    </row>
    <row r="172" spans="1:7" x14ac:dyDescent="0.25">
      <c r="A172" t="s">
        <v>3</v>
      </c>
      <c r="B172">
        <v>170</v>
      </c>
      <c r="C172">
        <v>100</v>
      </c>
      <c r="D172" s="2">
        <v>29.489933729171753</v>
      </c>
      <c r="E172" s="2" t="s">
        <v>19</v>
      </c>
      <c r="F172" s="2" t="s">
        <v>20</v>
      </c>
      <c r="G172" s="2">
        <v>6.8</v>
      </c>
    </row>
    <row r="173" spans="1:7" x14ac:dyDescent="0.25">
      <c r="A173" t="s">
        <v>3</v>
      </c>
      <c r="B173">
        <v>171</v>
      </c>
      <c r="C173">
        <v>100</v>
      </c>
      <c r="D173" s="3">
        <v>29.383745908737183</v>
      </c>
      <c r="E173" s="3" t="s">
        <v>19</v>
      </c>
      <c r="F173" s="3" t="s">
        <v>20</v>
      </c>
      <c r="G173" s="3">
        <v>6.8</v>
      </c>
    </row>
    <row r="174" spans="1:7" x14ac:dyDescent="0.25">
      <c r="A174" t="s">
        <v>3</v>
      </c>
      <c r="B174">
        <v>172</v>
      </c>
      <c r="C174">
        <v>100</v>
      </c>
      <c r="D174" s="2">
        <v>18.779036998748779</v>
      </c>
      <c r="E174" s="2" t="s">
        <v>19</v>
      </c>
      <c r="F174" s="2" t="s">
        <v>20</v>
      </c>
      <c r="G174" s="2">
        <v>6.8</v>
      </c>
    </row>
    <row r="175" spans="1:7" x14ac:dyDescent="0.25">
      <c r="A175" t="s">
        <v>3</v>
      </c>
      <c r="B175">
        <v>173</v>
      </c>
      <c r="C175">
        <v>98</v>
      </c>
      <c r="D175" s="3">
        <v>26.444127321243286</v>
      </c>
      <c r="E175" s="3" t="s">
        <v>19</v>
      </c>
      <c r="F175" s="3" t="s">
        <v>20</v>
      </c>
      <c r="G175" s="3">
        <v>6.8</v>
      </c>
    </row>
    <row r="176" spans="1:7" x14ac:dyDescent="0.25">
      <c r="A176" t="s">
        <v>3</v>
      </c>
      <c r="B176">
        <v>174</v>
      </c>
      <c r="C176">
        <v>100</v>
      </c>
      <c r="D176" s="2">
        <v>26.442341327667236</v>
      </c>
      <c r="E176" s="2" t="s">
        <v>10</v>
      </c>
      <c r="F176" s="2" t="s">
        <v>15</v>
      </c>
      <c r="G176" s="2">
        <v>6.8</v>
      </c>
    </row>
    <row r="177" spans="1:7" x14ac:dyDescent="0.25">
      <c r="A177" t="s">
        <v>3</v>
      </c>
      <c r="B177">
        <v>175</v>
      </c>
      <c r="C177">
        <v>100</v>
      </c>
      <c r="D177" s="3">
        <v>24.012901782989502</v>
      </c>
      <c r="E177" s="3" t="s">
        <v>10</v>
      </c>
      <c r="F177" s="3" t="s">
        <v>23</v>
      </c>
      <c r="G177" s="3">
        <v>10</v>
      </c>
    </row>
    <row r="178" spans="1:7" x14ac:dyDescent="0.25">
      <c r="A178" t="s">
        <v>3</v>
      </c>
      <c r="B178">
        <v>176</v>
      </c>
      <c r="C178">
        <v>0</v>
      </c>
      <c r="D178" s="2">
        <v>28.005485057830811</v>
      </c>
      <c r="E178" s="2" t="s">
        <v>10</v>
      </c>
      <c r="F178" s="2" t="s">
        <v>23</v>
      </c>
      <c r="G178" s="2">
        <v>10</v>
      </c>
    </row>
    <row r="179" spans="1:7" x14ac:dyDescent="0.25">
      <c r="A179" t="s">
        <v>3</v>
      </c>
      <c r="B179">
        <v>177</v>
      </c>
      <c r="C179">
        <v>0</v>
      </c>
      <c r="D179" s="3">
        <v>31.430089950561523</v>
      </c>
      <c r="E179" s="3" t="s">
        <v>10</v>
      </c>
      <c r="F179" s="3" t="s">
        <v>23</v>
      </c>
      <c r="G179" s="3">
        <v>10</v>
      </c>
    </row>
    <row r="180" spans="1:7" x14ac:dyDescent="0.25">
      <c r="A180" t="s">
        <v>3</v>
      </c>
      <c r="B180">
        <v>178</v>
      </c>
      <c r="C180">
        <v>0</v>
      </c>
      <c r="D180" s="2">
        <v>29.520441770553589</v>
      </c>
      <c r="E180" s="2" t="s">
        <v>10</v>
      </c>
      <c r="F180" s="2" t="s">
        <v>23</v>
      </c>
      <c r="G180" s="2">
        <v>10</v>
      </c>
    </row>
    <row r="181" spans="1:7" x14ac:dyDescent="0.25">
      <c r="A181" t="s">
        <v>3</v>
      </c>
      <c r="B181">
        <v>179</v>
      </c>
      <c r="C181">
        <v>100</v>
      </c>
      <c r="D181" s="3">
        <v>35.023330926895142</v>
      </c>
      <c r="E181" s="3" t="s">
        <v>10</v>
      </c>
      <c r="F181" s="3" t="s">
        <v>23</v>
      </c>
      <c r="G181" s="3">
        <v>10</v>
      </c>
    </row>
    <row r="182" spans="1:7" x14ac:dyDescent="0.25">
      <c r="A182" t="s">
        <v>3</v>
      </c>
      <c r="B182">
        <v>180</v>
      </c>
      <c r="C182">
        <v>0</v>
      </c>
      <c r="D182" s="2">
        <v>18.743978261947632</v>
      </c>
      <c r="E182" s="2" t="s">
        <v>10</v>
      </c>
      <c r="F182" s="2" t="s">
        <v>17</v>
      </c>
      <c r="G182" s="2">
        <v>5</v>
      </c>
    </row>
    <row r="183" spans="1:7" x14ac:dyDescent="0.25">
      <c r="A183" t="s">
        <v>3</v>
      </c>
      <c r="B183">
        <v>181</v>
      </c>
      <c r="C183">
        <v>100</v>
      </c>
      <c r="D183" s="3">
        <v>38.905555009841919</v>
      </c>
      <c r="E183" s="3" t="s">
        <v>10</v>
      </c>
      <c r="F183" s="3" t="s">
        <v>22</v>
      </c>
      <c r="G183" s="3">
        <v>7.5</v>
      </c>
    </row>
    <row r="184" spans="1:7" x14ac:dyDescent="0.25">
      <c r="A184" t="s">
        <v>3</v>
      </c>
      <c r="B184">
        <v>182</v>
      </c>
      <c r="C184">
        <v>0</v>
      </c>
      <c r="D184" s="2">
        <v>32.73389720916748</v>
      </c>
      <c r="E184" s="2" t="s">
        <v>10</v>
      </c>
      <c r="F184" s="2" t="s">
        <v>22</v>
      </c>
      <c r="G184" s="2">
        <v>7.5</v>
      </c>
    </row>
    <row r="185" spans="1:7" x14ac:dyDescent="0.25">
      <c r="A185" t="s">
        <v>3</v>
      </c>
      <c r="B185">
        <v>183</v>
      </c>
      <c r="C185">
        <v>0</v>
      </c>
      <c r="D185" s="3">
        <v>26.736780643463135</v>
      </c>
      <c r="E185" s="3" t="s">
        <v>10</v>
      </c>
      <c r="F185" s="3" t="s">
        <v>13</v>
      </c>
      <c r="G185" s="3">
        <v>7.5</v>
      </c>
    </row>
    <row r="186" spans="1:7" x14ac:dyDescent="0.25">
      <c r="A186" t="s">
        <v>3</v>
      </c>
      <c r="B186">
        <v>184</v>
      </c>
      <c r="C186">
        <v>0</v>
      </c>
      <c r="D186" s="2">
        <v>40.295751810073853</v>
      </c>
      <c r="E186" s="2" t="s">
        <v>10</v>
      </c>
      <c r="F186" s="2" t="s">
        <v>13</v>
      </c>
      <c r="G186" s="2">
        <v>7.5</v>
      </c>
    </row>
    <row r="187" spans="1:7" x14ac:dyDescent="0.25">
      <c r="A187" t="s">
        <v>3</v>
      </c>
      <c r="B187">
        <v>185</v>
      </c>
      <c r="C187">
        <v>50</v>
      </c>
      <c r="D187" s="3">
        <v>24.648111581802368</v>
      </c>
      <c r="E187" s="3" t="s">
        <v>10</v>
      </c>
      <c r="F187" s="3" t="s">
        <v>13</v>
      </c>
      <c r="G187" s="3">
        <v>7.5</v>
      </c>
    </row>
    <row r="188" spans="1:7" x14ac:dyDescent="0.25">
      <c r="A188" t="s">
        <v>3</v>
      </c>
      <c r="B188">
        <v>186</v>
      </c>
      <c r="C188">
        <v>75</v>
      </c>
      <c r="D188" s="2">
        <v>28.566667079925537</v>
      </c>
      <c r="E188" s="2" t="s">
        <v>10</v>
      </c>
      <c r="F188" s="2" t="s">
        <v>23</v>
      </c>
      <c r="G188" s="2">
        <v>4.3</v>
      </c>
    </row>
    <row r="189" spans="1:7" x14ac:dyDescent="0.25">
      <c r="A189" t="s">
        <v>3</v>
      </c>
      <c r="B189">
        <v>187</v>
      </c>
      <c r="C189">
        <v>100</v>
      </c>
      <c r="D189" s="3">
        <v>32.063300609588623</v>
      </c>
      <c r="E189" s="3" t="s">
        <v>10</v>
      </c>
      <c r="F189" s="3" t="s">
        <v>11</v>
      </c>
      <c r="G189" s="3">
        <v>5</v>
      </c>
    </row>
    <row r="190" spans="1:7" x14ac:dyDescent="0.25">
      <c r="A190" t="s">
        <v>3</v>
      </c>
      <c r="B190">
        <v>188</v>
      </c>
      <c r="C190">
        <v>70</v>
      </c>
      <c r="D190" s="2">
        <v>18.413068771362305</v>
      </c>
      <c r="E190" s="2" t="s">
        <v>10</v>
      </c>
      <c r="F190" s="2" t="s">
        <v>20</v>
      </c>
      <c r="G190" s="2">
        <v>7.5</v>
      </c>
    </row>
    <row r="191" spans="1:7" x14ac:dyDescent="0.25">
      <c r="A191" t="s">
        <v>3</v>
      </c>
      <c r="B191">
        <v>189</v>
      </c>
      <c r="C191">
        <v>0</v>
      </c>
      <c r="D191" s="3">
        <v>26.030999183654785</v>
      </c>
      <c r="E191" s="3" t="s">
        <v>10</v>
      </c>
      <c r="F191" s="3" t="s">
        <v>15</v>
      </c>
      <c r="G191" s="3">
        <v>7.5</v>
      </c>
    </row>
    <row r="192" spans="1:7" x14ac:dyDescent="0.25">
      <c r="A192" t="s">
        <v>3</v>
      </c>
      <c r="B192">
        <v>190</v>
      </c>
      <c r="C192">
        <v>20</v>
      </c>
      <c r="D192" s="2">
        <v>27.480226755142212</v>
      </c>
      <c r="E192" s="2" t="s">
        <v>10</v>
      </c>
      <c r="F192" s="2" t="s">
        <v>23</v>
      </c>
      <c r="G192" s="2">
        <v>7.5</v>
      </c>
    </row>
    <row r="193" spans="1:7" x14ac:dyDescent="0.25">
      <c r="A193" t="s">
        <v>3</v>
      </c>
      <c r="B193">
        <v>191</v>
      </c>
      <c r="C193">
        <v>100</v>
      </c>
      <c r="D193" s="3">
        <v>31.86585521697998</v>
      </c>
      <c r="E193" s="3" t="s">
        <v>10</v>
      </c>
      <c r="F193" s="3" t="s">
        <v>13</v>
      </c>
      <c r="G193" s="3">
        <v>5</v>
      </c>
    </row>
    <row r="194" spans="1:7" x14ac:dyDescent="0.25">
      <c r="A194" t="s">
        <v>3</v>
      </c>
      <c r="B194">
        <v>192</v>
      </c>
      <c r="C194">
        <v>100</v>
      </c>
      <c r="D194" s="2">
        <v>28.092140674591064</v>
      </c>
      <c r="E194" s="2" t="s">
        <v>10</v>
      </c>
      <c r="F194" s="2" t="s">
        <v>13</v>
      </c>
      <c r="G194" s="2">
        <v>5</v>
      </c>
    </row>
    <row r="195" spans="1:7" x14ac:dyDescent="0.25">
      <c r="A195" t="s">
        <v>3</v>
      </c>
      <c r="B195">
        <v>193</v>
      </c>
      <c r="C195">
        <v>100</v>
      </c>
      <c r="D195" s="3">
        <v>26.373791933059692</v>
      </c>
      <c r="E195" s="3" t="s">
        <v>10</v>
      </c>
      <c r="F195" s="3" t="s">
        <v>13</v>
      </c>
      <c r="G195" s="3">
        <v>5</v>
      </c>
    </row>
    <row r="196" spans="1:7" x14ac:dyDescent="0.25">
      <c r="A196" t="s">
        <v>3</v>
      </c>
      <c r="B196">
        <v>194</v>
      </c>
      <c r="C196">
        <v>57</v>
      </c>
      <c r="D196" s="2">
        <v>26.574953317642212</v>
      </c>
      <c r="E196" s="2" t="s">
        <v>10</v>
      </c>
      <c r="F196" s="2" t="s">
        <v>13</v>
      </c>
      <c r="G196" s="2">
        <v>5</v>
      </c>
    </row>
    <row r="197" spans="1:7" x14ac:dyDescent="0.25">
      <c r="A197" t="s">
        <v>3</v>
      </c>
      <c r="B197">
        <v>195</v>
      </c>
      <c r="C197">
        <v>100</v>
      </c>
      <c r="D197" s="3">
        <v>24.750789403915405</v>
      </c>
      <c r="E197" s="3" t="s">
        <v>10</v>
      </c>
      <c r="F197" s="3" t="s">
        <v>27</v>
      </c>
      <c r="G197" s="3">
        <v>4</v>
      </c>
    </row>
    <row r="198" spans="1:7" x14ac:dyDescent="0.25">
      <c r="A198" t="s">
        <v>3</v>
      </c>
      <c r="B198">
        <v>196</v>
      </c>
      <c r="C198">
        <v>100</v>
      </c>
      <c r="D198" s="2">
        <v>17.015651941299438</v>
      </c>
      <c r="E198" s="2" t="s">
        <v>10</v>
      </c>
      <c r="F198" s="2" t="s">
        <v>21</v>
      </c>
      <c r="G198" s="2">
        <v>7.5</v>
      </c>
    </row>
    <row r="199" spans="1:7" x14ac:dyDescent="0.25">
      <c r="A199" t="s">
        <v>3</v>
      </c>
      <c r="B199">
        <v>197</v>
      </c>
      <c r="C199">
        <v>20</v>
      </c>
      <c r="D199" s="3">
        <v>16.481141090393066</v>
      </c>
      <c r="E199" s="3" t="s">
        <v>10</v>
      </c>
      <c r="F199" s="3" t="s">
        <v>21</v>
      </c>
      <c r="G199" s="3">
        <v>7.5</v>
      </c>
    </row>
    <row r="200" spans="1:7" x14ac:dyDescent="0.25">
      <c r="A200" t="s">
        <v>3</v>
      </c>
      <c r="B200">
        <v>198</v>
      </c>
      <c r="C200">
        <v>70</v>
      </c>
      <c r="D200" s="2">
        <v>35.096543312072754</v>
      </c>
      <c r="E200" s="2" t="s">
        <v>10</v>
      </c>
      <c r="F200" s="2" t="s">
        <v>21</v>
      </c>
      <c r="G200" s="2">
        <v>7.5</v>
      </c>
    </row>
    <row r="201" spans="1:7" x14ac:dyDescent="0.25">
      <c r="A201" t="s">
        <v>3</v>
      </c>
      <c r="B201">
        <v>199</v>
      </c>
      <c r="C201">
        <v>0</v>
      </c>
      <c r="D201" s="3">
        <v>30.279938697814941</v>
      </c>
      <c r="E201" s="3" t="s">
        <v>10</v>
      </c>
      <c r="F201" s="3" t="s">
        <v>13</v>
      </c>
      <c r="G201" s="3">
        <v>4</v>
      </c>
    </row>
    <row r="202" spans="1:7" x14ac:dyDescent="0.25">
      <c r="A202" t="s">
        <v>3</v>
      </c>
      <c r="B202">
        <v>200</v>
      </c>
      <c r="C202">
        <v>50</v>
      </c>
      <c r="D202" s="2">
        <v>29.581764459609985</v>
      </c>
      <c r="E202" s="2" t="s">
        <v>10</v>
      </c>
      <c r="F202" s="2" t="s">
        <v>23</v>
      </c>
      <c r="G202" s="2">
        <v>6.5</v>
      </c>
    </row>
    <row r="203" spans="1:7" x14ac:dyDescent="0.25">
      <c r="A203" t="s">
        <v>3</v>
      </c>
      <c r="B203">
        <v>201</v>
      </c>
      <c r="C203">
        <v>100</v>
      </c>
      <c r="D203" s="3">
        <v>22.225742340087891</v>
      </c>
      <c r="E203" s="3" t="s">
        <v>10</v>
      </c>
      <c r="F203" s="3" t="s">
        <v>23</v>
      </c>
      <c r="G203" s="3">
        <v>6.5</v>
      </c>
    </row>
    <row r="204" spans="1:7" x14ac:dyDescent="0.25">
      <c r="A204" t="s">
        <v>3</v>
      </c>
      <c r="B204">
        <v>202</v>
      </c>
      <c r="C204">
        <v>100</v>
      </c>
      <c r="D204" s="2">
        <v>26.347089290618896</v>
      </c>
      <c r="E204" s="2" t="s">
        <v>10</v>
      </c>
      <c r="F204" s="2" t="s">
        <v>23</v>
      </c>
      <c r="G204" s="2">
        <v>9.3000000000000007</v>
      </c>
    </row>
    <row r="205" spans="1:7" x14ac:dyDescent="0.25">
      <c r="A205" t="s">
        <v>3</v>
      </c>
      <c r="B205">
        <v>203</v>
      </c>
      <c r="C205">
        <v>0</v>
      </c>
      <c r="D205" s="3">
        <v>26.316475868225098</v>
      </c>
      <c r="E205" s="3" t="s">
        <v>10</v>
      </c>
      <c r="F205" s="3" t="s">
        <v>13</v>
      </c>
      <c r="G205" s="3">
        <v>6.4</v>
      </c>
    </row>
    <row r="206" spans="1:7" x14ac:dyDescent="0.25">
      <c r="A206" t="s">
        <v>3</v>
      </c>
      <c r="B206">
        <v>204</v>
      </c>
      <c r="C206">
        <v>100</v>
      </c>
      <c r="D206" s="2">
        <v>12.327576637268066</v>
      </c>
      <c r="E206" s="2" t="s">
        <v>10</v>
      </c>
      <c r="F206" s="2" t="s">
        <v>15</v>
      </c>
      <c r="G206" s="2">
        <v>5</v>
      </c>
    </row>
    <row r="207" spans="1:7" x14ac:dyDescent="0.25">
      <c r="A207" t="s">
        <v>3</v>
      </c>
      <c r="B207">
        <v>205</v>
      </c>
      <c r="C207">
        <v>100</v>
      </c>
      <c r="D207" s="3">
        <v>25.659677982330322</v>
      </c>
      <c r="E207" s="3" t="s">
        <v>10</v>
      </c>
      <c r="F207" s="3" t="s">
        <v>15</v>
      </c>
      <c r="G207" s="3">
        <v>5</v>
      </c>
    </row>
    <row r="208" spans="1:7" x14ac:dyDescent="0.25">
      <c r="A208" t="s">
        <v>3</v>
      </c>
      <c r="B208">
        <v>206</v>
      </c>
      <c r="C208">
        <v>100</v>
      </c>
      <c r="D208" s="2">
        <v>29.416432857513428</v>
      </c>
      <c r="E208" s="2" t="s">
        <v>10</v>
      </c>
      <c r="F208" s="2" t="s">
        <v>15</v>
      </c>
      <c r="G208" s="2">
        <v>7.5</v>
      </c>
    </row>
    <row r="209" spans="1:7" x14ac:dyDescent="0.25">
      <c r="A209" t="s">
        <v>3</v>
      </c>
      <c r="B209">
        <v>207</v>
      </c>
      <c r="C209">
        <v>70</v>
      </c>
      <c r="D209" s="3">
        <v>30.794866323471069</v>
      </c>
      <c r="E209" s="3" t="s">
        <v>10</v>
      </c>
      <c r="F209" s="3" t="s">
        <v>14</v>
      </c>
      <c r="G209" s="3">
        <v>2.1</v>
      </c>
    </row>
    <row r="210" spans="1:7" x14ac:dyDescent="0.25">
      <c r="A210" t="s">
        <v>3</v>
      </c>
      <c r="B210">
        <v>208</v>
      </c>
      <c r="C210">
        <v>0</v>
      </c>
      <c r="D210" s="2">
        <v>12.43979024887085</v>
      </c>
      <c r="E210" s="2" t="s">
        <v>19</v>
      </c>
      <c r="F210" s="2" t="s">
        <v>18</v>
      </c>
      <c r="G210" s="2">
        <v>6.8</v>
      </c>
    </row>
    <row r="211" spans="1:7" x14ac:dyDescent="0.25">
      <c r="A211" t="s">
        <v>3</v>
      </c>
      <c r="B211">
        <v>209</v>
      </c>
      <c r="C211">
        <v>100</v>
      </c>
      <c r="D211" s="3">
        <v>19.249444484710693</v>
      </c>
      <c r="E211" s="3" t="s">
        <v>19</v>
      </c>
      <c r="F211" s="3" t="s">
        <v>18</v>
      </c>
      <c r="G211" s="3">
        <v>6.8</v>
      </c>
    </row>
    <row r="212" spans="1:7" x14ac:dyDescent="0.25">
      <c r="A212" t="s">
        <v>3</v>
      </c>
      <c r="B212">
        <v>210</v>
      </c>
      <c r="C212">
        <v>100</v>
      </c>
      <c r="D212" s="2">
        <v>32.857625007629395</v>
      </c>
      <c r="E212" s="2" t="s">
        <v>19</v>
      </c>
      <c r="F212" s="2" t="s">
        <v>18</v>
      </c>
      <c r="G212" s="2">
        <v>6.8</v>
      </c>
    </row>
    <row r="213" spans="1:7" x14ac:dyDescent="0.25">
      <c r="A213" t="s">
        <v>3</v>
      </c>
      <c r="B213">
        <v>211</v>
      </c>
      <c r="C213">
        <v>100</v>
      </c>
      <c r="D213" s="3">
        <v>15.446923732757568</v>
      </c>
      <c r="E213" s="3" t="s">
        <v>19</v>
      </c>
      <c r="F213" s="3" t="s">
        <v>18</v>
      </c>
      <c r="G213" s="3">
        <v>6.8</v>
      </c>
    </row>
    <row r="214" spans="1:7" x14ac:dyDescent="0.25">
      <c r="A214" t="s">
        <v>3</v>
      </c>
      <c r="B214">
        <v>212</v>
      </c>
      <c r="C214">
        <v>100</v>
      </c>
      <c r="D214" s="2">
        <v>33.944104433059692</v>
      </c>
      <c r="E214" s="2" t="s">
        <v>10</v>
      </c>
      <c r="F214" s="2" t="s">
        <v>13</v>
      </c>
      <c r="G214" s="2">
        <v>5</v>
      </c>
    </row>
    <row r="215" spans="1:7" x14ac:dyDescent="0.25">
      <c r="A215" t="s">
        <v>3</v>
      </c>
      <c r="B215">
        <v>213</v>
      </c>
      <c r="C215">
        <v>0</v>
      </c>
      <c r="D215" s="3">
        <v>30.741633415222168</v>
      </c>
      <c r="E215" s="3" t="s">
        <v>10</v>
      </c>
      <c r="F215" s="3" t="s">
        <v>15</v>
      </c>
      <c r="G215" s="3">
        <v>6.8</v>
      </c>
    </row>
    <row r="216" spans="1:7" x14ac:dyDescent="0.25">
      <c r="A216" t="s">
        <v>3</v>
      </c>
      <c r="B216">
        <v>214</v>
      </c>
      <c r="C216">
        <v>100</v>
      </c>
      <c r="D216" s="2">
        <v>16.019457578659058</v>
      </c>
      <c r="E216" s="2" t="s">
        <v>10</v>
      </c>
      <c r="F216" s="2" t="s">
        <v>15</v>
      </c>
      <c r="G216" s="2">
        <v>6.8</v>
      </c>
    </row>
    <row r="217" spans="1:7" x14ac:dyDescent="0.25">
      <c r="A217" t="s">
        <v>3</v>
      </c>
      <c r="B217">
        <v>215</v>
      </c>
      <c r="C217">
        <v>0</v>
      </c>
      <c r="D217" s="3">
        <v>23.20703911781311</v>
      </c>
      <c r="E217" s="3" t="s">
        <v>10</v>
      </c>
      <c r="F217" s="3" t="s">
        <v>15</v>
      </c>
      <c r="G217" s="3">
        <v>6.8</v>
      </c>
    </row>
    <row r="218" spans="1:7" x14ac:dyDescent="0.25">
      <c r="A218" t="s">
        <v>3</v>
      </c>
      <c r="B218">
        <v>216</v>
      </c>
      <c r="C218">
        <v>0</v>
      </c>
      <c r="D218" s="2">
        <v>41.378726243972778</v>
      </c>
      <c r="E218" s="2" t="s">
        <v>10</v>
      </c>
      <c r="F218" s="2" t="s">
        <v>15</v>
      </c>
      <c r="G218" s="2">
        <v>6.8</v>
      </c>
    </row>
    <row r="219" spans="1:7" x14ac:dyDescent="0.25">
      <c r="A219" t="s">
        <v>3</v>
      </c>
      <c r="B219">
        <v>217</v>
      </c>
      <c r="C219">
        <v>35</v>
      </c>
      <c r="D219" s="3">
        <v>42.869023561477661</v>
      </c>
      <c r="E219" s="3" t="s">
        <v>10</v>
      </c>
      <c r="F219" s="3" t="s">
        <v>28</v>
      </c>
      <c r="G219" s="3">
        <v>7.2</v>
      </c>
    </row>
    <row r="220" spans="1:7" x14ac:dyDescent="0.25">
      <c r="A220" t="s">
        <v>3</v>
      </c>
      <c r="B220">
        <v>218</v>
      </c>
      <c r="C220">
        <v>100</v>
      </c>
      <c r="D220" s="2">
        <v>20.887217283248901</v>
      </c>
      <c r="E220" s="2" t="s">
        <v>10</v>
      </c>
      <c r="F220" s="2" t="s">
        <v>15</v>
      </c>
      <c r="G220" s="2">
        <v>6.8</v>
      </c>
    </row>
    <row r="221" spans="1:7" x14ac:dyDescent="0.25">
      <c r="A221" t="s">
        <v>3</v>
      </c>
      <c r="B221">
        <v>219</v>
      </c>
      <c r="C221">
        <v>100</v>
      </c>
      <c r="D221" s="3">
        <v>30.976312160491943</v>
      </c>
      <c r="E221" s="3" t="s">
        <v>10</v>
      </c>
      <c r="F221" s="3" t="s">
        <v>15</v>
      </c>
      <c r="G221" s="3">
        <v>6.8</v>
      </c>
    </row>
    <row r="222" spans="1:7" x14ac:dyDescent="0.25">
      <c r="A222" t="s">
        <v>3</v>
      </c>
      <c r="B222">
        <v>220</v>
      </c>
      <c r="C222">
        <v>0</v>
      </c>
      <c r="D222" s="2">
        <v>23.622990608215332</v>
      </c>
      <c r="E222" s="2" t="s">
        <v>10</v>
      </c>
      <c r="F222" s="2" t="s">
        <v>14</v>
      </c>
      <c r="G222" s="2">
        <v>6.8</v>
      </c>
    </row>
    <row r="223" spans="1:7" x14ac:dyDescent="0.25">
      <c r="A223" t="s">
        <v>3</v>
      </c>
      <c r="B223">
        <v>221</v>
      </c>
      <c r="C223">
        <v>100</v>
      </c>
      <c r="D223" s="3">
        <v>30.363558053970337</v>
      </c>
      <c r="E223" s="3" t="s">
        <v>10</v>
      </c>
      <c r="F223" s="3" t="s">
        <v>14</v>
      </c>
      <c r="G223" s="3">
        <v>6.8</v>
      </c>
    </row>
    <row r="224" spans="1:7" x14ac:dyDescent="0.25">
      <c r="A224" t="s">
        <v>3</v>
      </c>
      <c r="B224">
        <v>222</v>
      </c>
      <c r="C224">
        <v>100</v>
      </c>
      <c r="D224" s="2">
        <v>28.720055103302002</v>
      </c>
      <c r="E224" s="2" t="s">
        <v>10</v>
      </c>
      <c r="F224" s="2" t="s">
        <v>14</v>
      </c>
      <c r="G224" s="2">
        <v>6.8</v>
      </c>
    </row>
    <row r="225" spans="1:7" x14ac:dyDescent="0.25">
      <c r="A225" t="s">
        <v>3</v>
      </c>
      <c r="B225">
        <v>223</v>
      </c>
      <c r="C225">
        <v>0</v>
      </c>
      <c r="D225" s="3">
        <v>29.628672361373901</v>
      </c>
      <c r="E225" s="3" t="s">
        <v>10</v>
      </c>
      <c r="F225" s="3" t="s">
        <v>15</v>
      </c>
      <c r="G225" s="3">
        <v>6.8</v>
      </c>
    </row>
    <row r="226" spans="1:7" x14ac:dyDescent="0.25">
      <c r="A226" t="s">
        <v>3</v>
      </c>
      <c r="B226">
        <v>224</v>
      </c>
      <c r="C226">
        <v>100</v>
      </c>
      <c r="D226" s="2">
        <v>39.005505084991455</v>
      </c>
      <c r="E226" s="2" t="s">
        <v>10</v>
      </c>
      <c r="F226" s="2" t="s">
        <v>15</v>
      </c>
      <c r="G226" s="2">
        <v>4.9000000000000004</v>
      </c>
    </row>
    <row r="227" spans="1:7" x14ac:dyDescent="0.25">
      <c r="A227" t="s">
        <v>3</v>
      </c>
      <c r="B227">
        <v>225</v>
      </c>
      <c r="C227">
        <v>100</v>
      </c>
      <c r="D227" s="3">
        <v>37.985549211502075</v>
      </c>
      <c r="E227" s="3" t="s">
        <v>10</v>
      </c>
      <c r="F227" s="3" t="s">
        <v>13</v>
      </c>
      <c r="G227" s="3">
        <v>4.9000000000000004</v>
      </c>
    </row>
    <row r="228" spans="1:7" x14ac:dyDescent="0.25">
      <c r="A228" t="s">
        <v>3</v>
      </c>
      <c r="B228">
        <v>226</v>
      </c>
      <c r="C228">
        <v>100</v>
      </c>
      <c r="D228" s="2">
        <v>27.919201850891113</v>
      </c>
      <c r="E228" s="2" t="s">
        <v>10</v>
      </c>
      <c r="F228" s="2" t="s">
        <v>17</v>
      </c>
      <c r="G228" s="2">
        <v>4.3</v>
      </c>
    </row>
    <row r="229" spans="1:7" x14ac:dyDescent="0.25">
      <c r="A229" t="s">
        <v>3</v>
      </c>
      <c r="B229">
        <v>227</v>
      </c>
      <c r="C229">
        <v>100</v>
      </c>
      <c r="D229" s="3">
        <v>34.363591194152832</v>
      </c>
      <c r="E229" s="3" t="s">
        <v>10</v>
      </c>
      <c r="F229" s="3" t="s">
        <v>15</v>
      </c>
      <c r="G229" s="3">
        <v>5</v>
      </c>
    </row>
    <row r="230" spans="1:7" x14ac:dyDescent="0.25">
      <c r="A230" t="s">
        <v>3</v>
      </c>
      <c r="B230">
        <v>228</v>
      </c>
      <c r="C230">
        <v>100</v>
      </c>
      <c r="D230" s="2">
        <v>21.889177322387695</v>
      </c>
      <c r="E230" s="2" t="s">
        <v>10</v>
      </c>
      <c r="F230" s="2" t="s">
        <v>15</v>
      </c>
      <c r="G230" s="2">
        <v>5</v>
      </c>
    </row>
    <row r="231" spans="1:7" x14ac:dyDescent="0.25">
      <c r="A231" t="s">
        <v>3</v>
      </c>
      <c r="B231">
        <v>229</v>
      </c>
      <c r="C231">
        <v>35</v>
      </c>
      <c r="D231" s="3">
        <v>37.948079586029053</v>
      </c>
      <c r="E231" s="3" t="s">
        <v>10</v>
      </c>
      <c r="F231" s="3" t="s">
        <v>15</v>
      </c>
      <c r="G231" s="3">
        <v>5</v>
      </c>
    </row>
    <row r="232" spans="1:7" x14ac:dyDescent="0.25">
      <c r="A232" t="s">
        <v>3</v>
      </c>
      <c r="B232">
        <v>230</v>
      </c>
      <c r="C232">
        <v>0</v>
      </c>
      <c r="D232" s="2">
        <v>19.720806121826172</v>
      </c>
      <c r="E232" s="2" t="s">
        <v>10</v>
      </c>
      <c r="F232" s="2" t="s">
        <v>15</v>
      </c>
      <c r="G232" s="2">
        <v>6.8</v>
      </c>
    </row>
    <row r="233" spans="1:7" x14ac:dyDescent="0.25">
      <c r="A233" t="s">
        <v>3</v>
      </c>
      <c r="B233">
        <v>231</v>
      </c>
      <c r="C233">
        <v>0</v>
      </c>
      <c r="D233" s="3">
        <v>16.004812479019165</v>
      </c>
      <c r="E233" s="3" t="s">
        <v>10</v>
      </c>
      <c r="F233" s="3" t="s">
        <v>15</v>
      </c>
      <c r="G233" s="3">
        <v>1.9</v>
      </c>
    </row>
    <row r="234" spans="1:7" x14ac:dyDescent="0.25">
      <c r="A234" t="s">
        <v>3</v>
      </c>
      <c r="B234">
        <v>232</v>
      </c>
      <c r="C234">
        <v>40</v>
      </c>
      <c r="D234" s="2">
        <v>59.564712285995483</v>
      </c>
      <c r="E234" s="2" t="s">
        <v>10</v>
      </c>
      <c r="F234" s="2" t="s">
        <v>15</v>
      </c>
      <c r="G234" s="2">
        <v>2.1</v>
      </c>
    </row>
    <row r="235" spans="1:7" x14ac:dyDescent="0.25">
      <c r="A235" t="s">
        <v>3</v>
      </c>
      <c r="B235">
        <v>233</v>
      </c>
      <c r="C235">
        <v>1</v>
      </c>
      <c r="D235" s="3">
        <v>10.173065423965454</v>
      </c>
      <c r="E235" s="3" t="s">
        <v>10</v>
      </c>
      <c r="F235" s="3" t="s">
        <v>15</v>
      </c>
      <c r="G235" s="3">
        <v>1.9</v>
      </c>
    </row>
    <row r="236" spans="1:7" x14ac:dyDescent="0.25">
      <c r="A236" t="s">
        <v>3</v>
      </c>
      <c r="B236">
        <v>234</v>
      </c>
      <c r="C236">
        <v>40</v>
      </c>
      <c r="D236" s="2">
        <v>21.934887647628784</v>
      </c>
      <c r="E236" s="2" t="s">
        <v>10</v>
      </c>
      <c r="F236" s="2" t="s">
        <v>15</v>
      </c>
      <c r="G236" s="2">
        <v>1.9</v>
      </c>
    </row>
    <row r="237" spans="1:7" x14ac:dyDescent="0.25">
      <c r="A237" t="s">
        <v>3</v>
      </c>
      <c r="B237">
        <v>235</v>
      </c>
      <c r="C237">
        <v>0</v>
      </c>
      <c r="D237" s="3">
        <v>20.468955755233765</v>
      </c>
      <c r="E237" s="3" t="s">
        <v>10</v>
      </c>
      <c r="F237" s="3" t="s">
        <v>15</v>
      </c>
      <c r="G237" s="3">
        <v>1.9</v>
      </c>
    </row>
    <row r="238" spans="1:7" x14ac:dyDescent="0.25">
      <c r="A238" t="s">
        <v>3</v>
      </c>
      <c r="B238">
        <v>236</v>
      </c>
      <c r="C238">
        <v>100</v>
      </c>
      <c r="D238" s="2">
        <v>32.173677444458008</v>
      </c>
      <c r="E238" s="2" t="s">
        <v>10</v>
      </c>
      <c r="F238" s="2" t="s">
        <v>15</v>
      </c>
      <c r="G238" s="2">
        <v>1.9</v>
      </c>
    </row>
    <row r="239" spans="1:7" x14ac:dyDescent="0.25">
      <c r="A239" t="s">
        <v>3</v>
      </c>
      <c r="B239">
        <v>237</v>
      </c>
      <c r="C239">
        <v>0</v>
      </c>
      <c r="D239" s="3">
        <v>39.071251153945923</v>
      </c>
      <c r="E239" s="3" t="s">
        <v>10</v>
      </c>
      <c r="F239" s="3" t="s">
        <v>15</v>
      </c>
      <c r="G239" s="3">
        <v>5</v>
      </c>
    </row>
    <row r="240" spans="1:7" x14ac:dyDescent="0.25">
      <c r="A240" t="s">
        <v>3</v>
      </c>
      <c r="B240">
        <v>238</v>
      </c>
      <c r="C240">
        <v>0</v>
      </c>
      <c r="D240" s="2">
        <v>26.341958522796631</v>
      </c>
      <c r="E240" s="2" t="s">
        <v>10</v>
      </c>
      <c r="F240" s="2" t="s">
        <v>15</v>
      </c>
      <c r="G240" s="2">
        <v>5</v>
      </c>
    </row>
    <row r="241" spans="1:7" x14ac:dyDescent="0.25">
      <c r="A241" t="s">
        <v>3</v>
      </c>
      <c r="B241">
        <v>239</v>
      </c>
      <c r="C241">
        <v>100</v>
      </c>
      <c r="D241" s="3">
        <v>31.912016630172729</v>
      </c>
      <c r="E241" s="3" t="s">
        <v>10</v>
      </c>
      <c r="F241" s="3" t="s">
        <v>29</v>
      </c>
      <c r="G241" s="3">
        <v>7.5</v>
      </c>
    </row>
    <row r="242" spans="1:7" x14ac:dyDescent="0.25">
      <c r="A242" t="s">
        <v>3</v>
      </c>
      <c r="B242">
        <v>240</v>
      </c>
      <c r="C242">
        <v>0</v>
      </c>
      <c r="D242" s="2">
        <v>21.982875347137451</v>
      </c>
      <c r="E242" s="2" t="s">
        <v>10</v>
      </c>
      <c r="F242" s="2" t="s">
        <v>15</v>
      </c>
      <c r="G242" s="2">
        <v>5</v>
      </c>
    </row>
    <row r="243" spans="1:7" x14ac:dyDescent="0.25">
      <c r="A243" t="s">
        <v>3</v>
      </c>
      <c r="B243">
        <v>241</v>
      </c>
      <c r="C243">
        <v>3</v>
      </c>
      <c r="D243" s="3">
        <v>36.024266481399536</v>
      </c>
      <c r="E243" s="3" t="s">
        <v>10</v>
      </c>
      <c r="F243" s="3" t="s">
        <v>17</v>
      </c>
      <c r="G243" s="3">
        <v>5</v>
      </c>
    </row>
    <row r="244" spans="1:7" x14ac:dyDescent="0.25">
      <c r="A244" t="s">
        <v>3</v>
      </c>
      <c r="B244">
        <v>242</v>
      </c>
      <c r="C244">
        <v>100</v>
      </c>
      <c r="D244" s="2">
        <v>25.636049747467041</v>
      </c>
      <c r="E244" s="2" t="s">
        <v>10</v>
      </c>
      <c r="F244" s="2" t="s">
        <v>15</v>
      </c>
      <c r="G244" s="2">
        <v>5</v>
      </c>
    </row>
    <row r="245" spans="1:7" x14ac:dyDescent="0.25">
      <c r="A245" t="s">
        <v>3</v>
      </c>
      <c r="B245">
        <v>243</v>
      </c>
      <c r="C245">
        <v>100</v>
      </c>
      <c r="D245" s="3">
        <v>25.676294565200806</v>
      </c>
      <c r="E245" s="3" t="s">
        <v>10</v>
      </c>
      <c r="F245" s="3" t="s">
        <v>15</v>
      </c>
      <c r="G245" s="3">
        <v>5</v>
      </c>
    </row>
    <row r="246" spans="1:7" x14ac:dyDescent="0.25">
      <c r="A246" t="s">
        <v>3</v>
      </c>
      <c r="B246">
        <v>244</v>
      </c>
      <c r="C246">
        <v>100</v>
      </c>
      <c r="D246" s="2">
        <v>24.232608079910278</v>
      </c>
      <c r="E246" s="2" t="s">
        <v>10</v>
      </c>
      <c r="F246" s="2" t="s">
        <v>15</v>
      </c>
      <c r="G246" s="2">
        <v>5</v>
      </c>
    </row>
    <row r="247" spans="1:7" x14ac:dyDescent="0.25">
      <c r="A247" t="s">
        <v>3</v>
      </c>
      <c r="B247">
        <v>245</v>
      </c>
      <c r="C247">
        <v>0</v>
      </c>
      <c r="D247" s="3">
        <v>30.574431896209717</v>
      </c>
      <c r="E247" s="3" t="s">
        <v>10</v>
      </c>
      <c r="F247" s="3" t="s">
        <v>15</v>
      </c>
      <c r="G247" s="3">
        <v>5</v>
      </c>
    </row>
    <row r="248" spans="1:7" x14ac:dyDescent="0.25">
      <c r="A248" t="s">
        <v>3</v>
      </c>
      <c r="B248">
        <v>246</v>
      </c>
      <c r="C248">
        <v>0</v>
      </c>
      <c r="D248" s="2">
        <v>17.538276433944702</v>
      </c>
      <c r="E248" s="2" t="s">
        <v>10</v>
      </c>
      <c r="F248" s="2" t="s">
        <v>30</v>
      </c>
      <c r="G248" s="2">
        <v>5</v>
      </c>
    </row>
    <row r="249" spans="1:7" x14ac:dyDescent="0.25">
      <c r="A249" t="s">
        <v>3</v>
      </c>
      <c r="B249">
        <v>247</v>
      </c>
      <c r="C249">
        <v>100</v>
      </c>
      <c r="D249" s="3">
        <v>31.962997913360596</v>
      </c>
      <c r="E249" s="3" t="s">
        <v>10</v>
      </c>
      <c r="F249" s="3" t="s">
        <v>15</v>
      </c>
      <c r="G249" s="3">
        <v>5</v>
      </c>
    </row>
    <row r="250" spans="1:7" x14ac:dyDescent="0.25">
      <c r="A250" t="s">
        <v>3</v>
      </c>
      <c r="B250">
        <v>248</v>
      </c>
      <c r="C250">
        <v>100</v>
      </c>
      <c r="D250" s="2">
        <v>29.011499881744385</v>
      </c>
      <c r="E250" s="2" t="s">
        <v>10</v>
      </c>
      <c r="F250" s="2" t="s">
        <v>13</v>
      </c>
      <c r="G250" s="2">
        <v>4.3</v>
      </c>
    </row>
    <row r="251" spans="1:7" x14ac:dyDescent="0.25">
      <c r="A251" t="s">
        <v>3</v>
      </c>
      <c r="B251">
        <v>249</v>
      </c>
      <c r="C251">
        <v>0</v>
      </c>
      <c r="D251" s="3">
        <v>28.356466293334961</v>
      </c>
      <c r="E251" s="3" t="s">
        <v>10</v>
      </c>
      <c r="F251" s="3" t="s">
        <v>15</v>
      </c>
      <c r="G251" s="3">
        <v>4.9000000000000004</v>
      </c>
    </row>
    <row r="252" spans="1:7" x14ac:dyDescent="0.25">
      <c r="A252" t="s">
        <v>3</v>
      </c>
      <c r="B252">
        <v>250</v>
      </c>
      <c r="C252">
        <v>100</v>
      </c>
      <c r="D252" s="2">
        <v>13.048662424087524</v>
      </c>
      <c r="E252" s="2" t="s">
        <v>10</v>
      </c>
      <c r="F252" s="2" t="s">
        <v>15</v>
      </c>
      <c r="G252" s="2">
        <v>5</v>
      </c>
    </row>
    <row r="253" spans="1:7" x14ac:dyDescent="0.25">
      <c r="A253" t="s">
        <v>3</v>
      </c>
      <c r="B253">
        <v>251</v>
      </c>
      <c r="C253">
        <v>25</v>
      </c>
      <c r="D253" s="3">
        <v>19.80875563621521</v>
      </c>
      <c r="E253" s="3" t="s">
        <v>10</v>
      </c>
      <c r="F253" s="3" t="s">
        <v>15</v>
      </c>
      <c r="G253" s="3">
        <v>5</v>
      </c>
    </row>
    <row r="254" spans="1:7" x14ac:dyDescent="0.25">
      <c r="A254" t="s">
        <v>3</v>
      </c>
      <c r="B254">
        <v>252</v>
      </c>
      <c r="C254">
        <v>100</v>
      </c>
      <c r="D254" s="2">
        <v>18.3187255859375</v>
      </c>
      <c r="E254" s="2" t="s">
        <v>10</v>
      </c>
      <c r="F254" s="2" t="s">
        <v>15</v>
      </c>
      <c r="G254" s="2">
        <v>2.1</v>
      </c>
    </row>
    <row r="255" spans="1:7" x14ac:dyDescent="0.25">
      <c r="A255" t="s">
        <v>3</v>
      </c>
      <c r="B255">
        <v>253</v>
      </c>
      <c r="C255">
        <v>5</v>
      </c>
      <c r="D255" s="3">
        <v>22.306575536727905</v>
      </c>
      <c r="E255" s="3" t="s">
        <v>10</v>
      </c>
      <c r="F255" s="3" t="s">
        <v>15</v>
      </c>
      <c r="G255" s="3">
        <v>2.1</v>
      </c>
    </row>
    <row r="256" spans="1:7" x14ac:dyDescent="0.25">
      <c r="A256" t="s">
        <v>3</v>
      </c>
      <c r="B256">
        <v>254</v>
      </c>
      <c r="C256">
        <v>100</v>
      </c>
      <c r="D256" s="2">
        <v>34.287631988525391</v>
      </c>
      <c r="E256" s="2" t="s">
        <v>10</v>
      </c>
      <c r="F256" s="2" t="s">
        <v>17</v>
      </c>
      <c r="G256" s="2">
        <v>1.9</v>
      </c>
    </row>
    <row r="257" spans="1:7" x14ac:dyDescent="0.25">
      <c r="A257" t="s">
        <v>3</v>
      </c>
      <c r="B257">
        <v>255</v>
      </c>
      <c r="C257">
        <v>80</v>
      </c>
      <c r="D257" s="3">
        <v>30.913867235183716</v>
      </c>
      <c r="E257" s="3" t="s">
        <v>10</v>
      </c>
      <c r="F257" s="3" t="s">
        <v>30</v>
      </c>
      <c r="G257" s="3">
        <v>6.8</v>
      </c>
    </row>
    <row r="258" spans="1:7" x14ac:dyDescent="0.25">
      <c r="A258" t="s">
        <v>3</v>
      </c>
      <c r="B258">
        <v>256</v>
      </c>
      <c r="C258">
        <v>70</v>
      </c>
      <c r="D258" s="2">
        <v>17.7271728515625</v>
      </c>
      <c r="E258" s="2" t="s">
        <v>10</v>
      </c>
      <c r="F258" s="2" t="s">
        <v>15</v>
      </c>
      <c r="G258" s="2">
        <v>4.3</v>
      </c>
    </row>
    <row r="259" spans="1:7" x14ac:dyDescent="0.25">
      <c r="A259" t="s">
        <v>3</v>
      </c>
      <c r="B259">
        <v>257</v>
      </c>
      <c r="C259">
        <v>100</v>
      </c>
      <c r="D259" s="3">
        <v>16.246528387069702</v>
      </c>
      <c r="E259" s="3" t="s">
        <v>10</v>
      </c>
      <c r="F259" s="3" t="s">
        <v>15</v>
      </c>
      <c r="G259" s="3">
        <v>5</v>
      </c>
    </row>
    <row r="260" spans="1:7" x14ac:dyDescent="0.25">
      <c r="A260" t="s">
        <v>3</v>
      </c>
      <c r="B260">
        <v>258</v>
      </c>
      <c r="C260">
        <v>0</v>
      </c>
      <c r="D260" s="2">
        <v>12.169240474700928</v>
      </c>
      <c r="E260" s="2" t="s">
        <v>10</v>
      </c>
      <c r="F260" s="2" t="s">
        <v>14</v>
      </c>
      <c r="G260" s="2">
        <v>4.3</v>
      </c>
    </row>
    <row r="261" spans="1:7" x14ac:dyDescent="0.25">
      <c r="A261" t="s">
        <v>3</v>
      </c>
      <c r="B261">
        <v>259</v>
      </c>
      <c r="C261">
        <v>100</v>
      </c>
      <c r="D261" s="3">
        <v>13.300485610961914</v>
      </c>
      <c r="E261" s="3" t="s">
        <v>10</v>
      </c>
      <c r="F261" s="3" t="s">
        <v>20</v>
      </c>
      <c r="G261" s="3">
        <v>4.3</v>
      </c>
    </row>
    <row r="262" spans="1:7" x14ac:dyDescent="0.25">
      <c r="A262" t="s">
        <v>3</v>
      </c>
      <c r="B262">
        <v>260</v>
      </c>
      <c r="C262">
        <v>35</v>
      </c>
      <c r="D262" s="2">
        <v>11.281480073928833</v>
      </c>
      <c r="E262" s="2" t="s">
        <v>10</v>
      </c>
      <c r="F262" s="2" t="s">
        <v>23</v>
      </c>
      <c r="G262" s="2">
        <v>4.4000000000000004</v>
      </c>
    </row>
    <row r="263" spans="1:7" x14ac:dyDescent="0.25">
      <c r="A263" t="s">
        <v>3</v>
      </c>
      <c r="B263">
        <v>261</v>
      </c>
      <c r="C263">
        <v>85</v>
      </c>
      <c r="D263" s="3">
        <v>24.886826992034912</v>
      </c>
      <c r="E263" s="3" t="s">
        <v>19</v>
      </c>
      <c r="F263" s="3" t="s">
        <v>28</v>
      </c>
      <c r="G263" s="3">
        <v>7.2</v>
      </c>
    </row>
    <row r="264" spans="1:7" x14ac:dyDescent="0.25">
      <c r="A264" t="s">
        <v>3</v>
      </c>
      <c r="B264">
        <v>262</v>
      </c>
      <c r="C264">
        <v>100</v>
      </c>
      <c r="D264" s="2">
        <v>28.397631168365479</v>
      </c>
      <c r="E264" s="2" t="s">
        <v>19</v>
      </c>
      <c r="F264" s="2" t="s">
        <v>28</v>
      </c>
      <c r="G264" s="2">
        <v>7.2</v>
      </c>
    </row>
    <row r="265" spans="1:7" x14ac:dyDescent="0.25">
      <c r="A265" t="s">
        <v>3</v>
      </c>
      <c r="B265">
        <v>263</v>
      </c>
      <c r="C265">
        <v>40</v>
      </c>
      <c r="D265" s="3">
        <v>27.868796825408936</v>
      </c>
      <c r="E265" s="3" t="s">
        <v>19</v>
      </c>
      <c r="F265" s="3" t="s">
        <v>28</v>
      </c>
      <c r="G265" s="3">
        <v>7.2</v>
      </c>
    </row>
    <row r="266" spans="1:7" x14ac:dyDescent="0.25">
      <c r="A266" t="s">
        <v>3</v>
      </c>
      <c r="B266">
        <v>264</v>
      </c>
      <c r="C266">
        <v>20</v>
      </c>
      <c r="D266" s="2">
        <v>15.099523067474365</v>
      </c>
      <c r="E266" s="2" t="s">
        <v>10</v>
      </c>
      <c r="F266" s="2" t="s">
        <v>17</v>
      </c>
      <c r="G266" s="2">
        <v>5</v>
      </c>
    </row>
    <row r="267" spans="1:7" x14ac:dyDescent="0.25">
      <c r="A267" t="s">
        <v>3</v>
      </c>
      <c r="B267">
        <v>265</v>
      </c>
      <c r="C267">
        <v>5</v>
      </c>
      <c r="D267" s="3">
        <v>25.83407735824585</v>
      </c>
      <c r="E267" s="3" t="s">
        <v>10</v>
      </c>
      <c r="F267" s="3" t="s">
        <v>17</v>
      </c>
      <c r="G267" s="3">
        <v>5</v>
      </c>
    </row>
    <row r="268" spans="1:7" x14ac:dyDescent="0.25">
      <c r="A268" t="s">
        <v>3</v>
      </c>
      <c r="B268">
        <v>266</v>
      </c>
      <c r="C268">
        <v>100</v>
      </c>
      <c r="D268" s="2">
        <v>21.792551517486572</v>
      </c>
      <c r="E268" s="2" t="s">
        <v>19</v>
      </c>
      <c r="F268" s="2" t="s">
        <v>15</v>
      </c>
      <c r="G268" s="2">
        <v>4.3</v>
      </c>
    </row>
    <row r="269" spans="1:7" x14ac:dyDescent="0.25">
      <c r="A269" t="s">
        <v>3</v>
      </c>
      <c r="B269">
        <v>267</v>
      </c>
      <c r="C269">
        <v>60</v>
      </c>
      <c r="D269" s="3">
        <v>18.830062627792358</v>
      </c>
      <c r="E269" s="3" t="s">
        <v>19</v>
      </c>
      <c r="F269" s="3" t="s">
        <v>15</v>
      </c>
      <c r="G269" s="3">
        <v>4.3</v>
      </c>
    </row>
    <row r="270" spans="1:7" x14ac:dyDescent="0.25">
      <c r="A270" t="s">
        <v>3</v>
      </c>
      <c r="B270">
        <v>268</v>
      </c>
      <c r="C270">
        <v>100</v>
      </c>
      <c r="D270" s="2">
        <v>16.799220085144043</v>
      </c>
      <c r="E270" s="2" t="s">
        <v>19</v>
      </c>
      <c r="F270" s="2" t="s">
        <v>15</v>
      </c>
      <c r="G270" s="2">
        <v>4.3</v>
      </c>
    </row>
    <row r="271" spans="1:7" x14ac:dyDescent="0.25">
      <c r="A271" t="s">
        <v>3</v>
      </c>
      <c r="B271">
        <v>269</v>
      </c>
      <c r="C271">
        <v>95</v>
      </c>
      <c r="D271" s="3">
        <v>20.004148244857788</v>
      </c>
      <c r="E271" s="3" t="s">
        <v>19</v>
      </c>
      <c r="F271" s="3" t="s">
        <v>15</v>
      </c>
      <c r="G271" s="3">
        <v>4.3</v>
      </c>
    </row>
    <row r="272" spans="1:7" x14ac:dyDescent="0.25">
      <c r="A272" t="s">
        <v>3</v>
      </c>
      <c r="B272">
        <v>270</v>
      </c>
      <c r="C272">
        <v>90</v>
      </c>
      <c r="D272" s="2">
        <v>21.926318168640137</v>
      </c>
      <c r="E272" s="2" t="s">
        <v>19</v>
      </c>
      <c r="F272" s="2" t="s">
        <v>15</v>
      </c>
      <c r="G272" s="2">
        <v>4.3</v>
      </c>
    </row>
    <row r="273" spans="1:7" x14ac:dyDescent="0.25">
      <c r="A273" t="s">
        <v>3</v>
      </c>
      <c r="B273">
        <v>271</v>
      </c>
      <c r="C273">
        <v>100</v>
      </c>
      <c r="D273" s="3">
        <v>33.605668544769287</v>
      </c>
      <c r="E273" s="3" t="s">
        <v>19</v>
      </c>
      <c r="F273" s="3" t="s">
        <v>15</v>
      </c>
      <c r="G273" s="3">
        <v>4.3</v>
      </c>
    </row>
    <row r="274" spans="1:7" x14ac:dyDescent="0.25">
      <c r="A274" t="s">
        <v>3</v>
      </c>
      <c r="B274">
        <v>272</v>
      </c>
      <c r="C274">
        <v>0</v>
      </c>
      <c r="D274" s="2">
        <v>18.104487180709839</v>
      </c>
      <c r="E274" s="2" t="s">
        <v>19</v>
      </c>
      <c r="F274" s="2" t="s">
        <v>15</v>
      </c>
      <c r="G274" s="2">
        <v>4.3</v>
      </c>
    </row>
    <row r="275" spans="1:7" x14ac:dyDescent="0.25">
      <c r="A275" t="s">
        <v>3</v>
      </c>
      <c r="B275">
        <v>273</v>
      </c>
      <c r="C275">
        <v>0</v>
      </c>
      <c r="D275" s="3">
        <v>37.256737232208252</v>
      </c>
      <c r="E275" s="3" t="s">
        <v>10</v>
      </c>
      <c r="F275" s="3" t="s">
        <v>15</v>
      </c>
      <c r="G275" s="3">
        <v>5</v>
      </c>
    </row>
    <row r="276" spans="1:7" x14ac:dyDescent="0.25">
      <c r="A276" t="s">
        <v>3</v>
      </c>
      <c r="B276">
        <v>274</v>
      </c>
      <c r="C276">
        <v>100</v>
      </c>
      <c r="D276" s="2">
        <v>552.04788446426392</v>
      </c>
      <c r="E276" s="2" t="s">
        <v>10</v>
      </c>
      <c r="F276" s="2" t="s">
        <v>15</v>
      </c>
      <c r="G276" s="2">
        <v>4.9000000000000004</v>
      </c>
    </row>
    <row r="277" spans="1:7" x14ac:dyDescent="0.25">
      <c r="A277" t="s">
        <v>3</v>
      </c>
      <c r="B277">
        <v>275</v>
      </c>
      <c r="C277">
        <v>0</v>
      </c>
      <c r="D277" s="3">
        <v>34.389475584030151</v>
      </c>
      <c r="E277" s="3" t="s">
        <v>10</v>
      </c>
      <c r="F277" s="3" t="s">
        <v>15</v>
      </c>
      <c r="G277" s="3">
        <v>4.9000000000000004</v>
      </c>
    </row>
    <row r="278" spans="1:7" x14ac:dyDescent="0.25">
      <c r="A278" t="s">
        <v>3</v>
      </c>
      <c r="B278">
        <v>276</v>
      </c>
      <c r="C278">
        <v>100</v>
      </c>
      <c r="D278" s="2">
        <v>15.759540796279907</v>
      </c>
      <c r="E278" s="2" t="s">
        <v>10</v>
      </c>
      <c r="F278" s="2" t="s">
        <v>15</v>
      </c>
      <c r="G278" s="2">
        <v>4.9000000000000004</v>
      </c>
    </row>
    <row r="279" spans="1:7" x14ac:dyDescent="0.25">
      <c r="A279" t="s">
        <v>3</v>
      </c>
      <c r="B279">
        <v>277</v>
      </c>
      <c r="C279">
        <v>100</v>
      </c>
      <c r="D279" s="3">
        <v>41.88817310333252</v>
      </c>
      <c r="E279" s="3" t="s">
        <v>10</v>
      </c>
      <c r="F279" s="3" t="s">
        <v>17</v>
      </c>
      <c r="G279" s="3">
        <v>4.3</v>
      </c>
    </row>
    <row r="280" spans="1:7" x14ac:dyDescent="0.25">
      <c r="A280" t="s">
        <v>3</v>
      </c>
      <c r="B280">
        <v>278</v>
      </c>
      <c r="C280">
        <v>100</v>
      </c>
      <c r="D280" s="2">
        <v>30.301294803619385</v>
      </c>
      <c r="E280" s="2" t="s">
        <v>10</v>
      </c>
      <c r="F280" s="2" t="s">
        <v>12</v>
      </c>
      <c r="G280" s="2">
        <v>5.8</v>
      </c>
    </row>
    <row r="281" spans="1:7" x14ac:dyDescent="0.25">
      <c r="A281" t="s">
        <v>3</v>
      </c>
      <c r="B281">
        <v>279</v>
      </c>
      <c r="C281">
        <v>100</v>
      </c>
      <c r="D281" s="3">
        <v>31.983922004699707</v>
      </c>
      <c r="E281" s="3" t="s">
        <v>10</v>
      </c>
      <c r="F281" s="3" t="s">
        <v>15</v>
      </c>
      <c r="G281" s="3">
        <v>4.3</v>
      </c>
    </row>
    <row r="282" spans="1:7" x14ac:dyDescent="0.25">
      <c r="A282" t="s">
        <v>3</v>
      </c>
      <c r="B282">
        <v>280</v>
      </c>
      <c r="C282">
        <v>0</v>
      </c>
      <c r="D282" s="2">
        <v>26.576456546783447</v>
      </c>
      <c r="E282" s="2" t="s">
        <v>10</v>
      </c>
      <c r="F282" s="2" t="s">
        <v>14</v>
      </c>
      <c r="G282" s="2">
        <v>4.3</v>
      </c>
    </row>
    <row r="283" spans="1:7" x14ac:dyDescent="0.25">
      <c r="A283" t="s">
        <v>3</v>
      </c>
      <c r="B283">
        <v>281</v>
      </c>
      <c r="C283">
        <v>100</v>
      </c>
      <c r="D283" s="3">
        <v>43.735462427139282</v>
      </c>
      <c r="E283" s="3" t="s">
        <v>10</v>
      </c>
      <c r="F283" s="3" t="s">
        <v>29</v>
      </c>
      <c r="G283" s="3">
        <v>6.8</v>
      </c>
    </row>
    <row r="284" spans="1:7" x14ac:dyDescent="0.25">
      <c r="A284" t="s">
        <v>3</v>
      </c>
      <c r="B284">
        <v>282</v>
      </c>
      <c r="C284">
        <v>12</v>
      </c>
      <c r="D284" s="2">
        <v>39.503116130828857</v>
      </c>
      <c r="E284" s="2" t="s">
        <v>10</v>
      </c>
      <c r="F284" s="2" t="s">
        <v>14</v>
      </c>
      <c r="G284" s="2">
        <v>6.8</v>
      </c>
    </row>
    <row r="285" spans="1:7" x14ac:dyDescent="0.25">
      <c r="A285" t="s">
        <v>3</v>
      </c>
      <c r="B285">
        <v>283</v>
      </c>
      <c r="C285">
        <v>100</v>
      </c>
      <c r="D285" s="3">
        <v>40.349249124526978</v>
      </c>
      <c r="E285" s="3" t="s">
        <v>10</v>
      </c>
      <c r="F285" s="3" t="s">
        <v>14</v>
      </c>
      <c r="G285" s="3">
        <v>7.5</v>
      </c>
    </row>
    <row r="286" spans="1:7" x14ac:dyDescent="0.25">
      <c r="A286" t="s">
        <v>3</v>
      </c>
      <c r="B286">
        <v>284</v>
      </c>
      <c r="C286">
        <v>8</v>
      </c>
      <c r="D286" s="2">
        <v>26.509515523910522</v>
      </c>
      <c r="E286" s="2" t="s">
        <v>10</v>
      </c>
      <c r="F286" s="2" t="s">
        <v>14</v>
      </c>
      <c r="G286" s="2">
        <v>7.5</v>
      </c>
    </row>
    <row r="287" spans="1:7" x14ac:dyDescent="0.25">
      <c r="A287" t="s">
        <v>3</v>
      </c>
      <c r="B287">
        <v>285</v>
      </c>
      <c r="C287">
        <v>100</v>
      </c>
      <c r="D287" s="3">
        <v>28.6970374584198</v>
      </c>
      <c r="E287" s="3" t="s">
        <v>10</v>
      </c>
      <c r="F287" s="3" t="s">
        <v>14</v>
      </c>
      <c r="G287" s="3">
        <v>7.5</v>
      </c>
    </row>
    <row r="288" spans="1:7" x14ac:dyDescent="0.25">
      <c r="A288" t="s">
        <v>3</v>
      </c>
      <c r="B288">
        <v>286</v>
      </c>
      <c r="C288">
        <v>100</v>
      </c>
      <c r="D288" s="2">
        <v>30.199586153030396</v>
      </c>
      <c r="E288" s="2" t="s">
        <v>10</v>
      </c>
      <c r="F288" s="2" t="s">
        <v>14</v>
      </c>
      <c r="G288" s="2">
        <v>7.5</v>
      </c>
    </row>
    <row r="289" spans="1:7" x14ac:dyDescent="0.25">
      <c r="A289" t="s">
        <v>3</v>
      </c>
      <c r="B289">
        <v>287</v>
      </c>
      <c r="C289">
        <v>100</v>
      </c>
      <c r="D289" s="3">
        <v>30.067941904067993</v>
      </c>
      <c r="E289" s="3" t="s">
        <v>10</v>
      </c>
      <c r="F289" s="3" t="s">
        <v>14</v>
      </c>
      <c r="G289" s="3">
        <v>7.5</v>
      </c>
    </row>
    <row r="290" spans="1:7" x14ac:dyDescent="0.25">
      <c r="A290" t="s">
        <v>3</v>
      </c>
      <c r="B290">
        <v>288</v>
      </c>
      <c r="C290">
        <v>100</v>
      </c>
      <c r="D290" s="2">
        <v>31.967729330062866</v>
      </c>
      <c r="E290" s="2" t="s">
        <v>10</v>
      </c>
      <c r="F290" s="2" t="s">
        <v>14</v>
      </c>
      <c r="G290" s="2">
        <v>7.5</v>
      </c>
    </row>
    <row r="291" spans="1:7" x14ac:dyDescent="0.25">
      <c r="A291" t="s">
        <v>3</v>
      </c>
      <c r="B291">
        <v>289</v>
      </c>
      <c r="C291">
        <v>100</v>
      </c>
      <c r="D291" s="3">
        <v>28.124130964279175</v>
      </c>
      <c r="E291" s="3" t="s">
        <v>10</v>
      </c>
      <c r="F291" s="3" t="s">
        <v>14</v>
      </c>
      <c r="G291" s="3">
        <v>7.5</v>
      </c>
    </row>
    <row r="292" spans="1:7" x14ac:dyDescent="0.25">
      <c r="A292" t="s">
        <v>3</v>
      </c>
      <c r="B292">
        <v>290</v>
      </c>
      <c r="C292">
        <v>100</v>
      </c>
      <c r="D292" s="2">
        <v>25.435257434844971</v>
      </c>
      <c r="E292" s="2" t="s">
        <v>10</v>
      </c>
      <c r="F292" s="2" t="s">
        <v>14</v>
      </c>
      <c r="G292" s="2">
        <v>7.5</v>
      </c>
    </row>
    <row r="293" spans="1:7" x14ac:dyDescent="0.25">
      <c r="A293" t="s">
        <v>3</v>
      </c>
      <c r="B293">
        <v>291</v>
      </c>
      <c r="C293">
        <v>100</v>
      </c>
      <c r="D293" s="3">
        <v>21.416043519973755</v>
      </c>
      <c r="E293" s="3" t="s">
        <v>10</v>
      </c>
      <c r="F293" s="3" t="s">
        <v>14</v>
      </c>
      <c r="G293" s="3">
        <v>6.8</v>
      </c>
    </row>
    <row r="294" spans="1:7" x14ac:dyDescent="0.25">
      <c r="A294" t="s">
        <v>3</v>
      </c>
      <c r="B294">
        <v>292</v>
      </c>
      <c r="C294">
        <v>100</v>
      </c>
      <c r="D294" s="2">
        <v>25.634887933731079</v>
      </c>
      <c r="E294" s="2" t="s">
        <v>10</v>
      </c>
      <c r="F294" s="2" t="s">
        <v>14</v>
      </c>
      <c r="G294" s="2">
        <v>6.8</v>
      </c>
    </row>
    <row r="295" spans="1:7" x14ac:dyDescent="0.25">
      <c r="A295" t="s">
        <v>3</v>
      </c>
      <c r="B295">
        <v>293</v>
      </c>
      <c r="C295">
        <v>100</v>
      </c>
      <c r="D295" s="3">
        <v>34.725804805755615</v>
      </c>
      <c r="E295" s="3" t="s">
        <v>10</v>
      </c>
      <c r="F295" s="3" t="s">
        <v>14</v>
      </c>
      <c r="G295" s="3">
        <v>6.8</v>
      </c>
    </row>
    <row r="296" spans="1:7" x14ac:dyDescent="0.25">
      <c r="A296" t="s">
        <v>3</v>
      </c>
      <c r="B296">
        <v>294</v>
      </c>
      <c r="C296">
        <v>100</v>
      </c>
      <c r="D296" s="2">
        <v>31.693547487258911</v>
      </c>
      <c r="E296" s="2" t="s">
        <v>10</v>
      </c>
      <c r="F296" s="2" t="s">
        <v>14</v>
      </c>
      <c r="G296" s="2">
        <v>6.8</v>
      </c>
    </row>
    <row r="297" spans="1:7" x14ac:dyDescent="0.25">
      <c r="A297" t="s">
        <v>3</v>
      </c>
      <c r="B297">
        <v>295</v>
      </c>
      <c r="C297">
        <v>100</v>
      </c>
      <c r="D297" s="3">
        <v>31.459887742996216</v>
      </c>
      <c r="E297" s="3" t="s">
        <v>10</v>
      </c>
      <c r="F297" s="3" t="s">
        <v>14</v>
      </c>
      <c r="G297" s="3">
        <v>7.5</v>
      </c>
    </row>
    <row r="298" spans="1:7" x14ac:dyDescent="0.25">
      <c r="A298" t="s">
        <v>3</v>
      </c>
      <c r="B298">
        <v>296</v>
      </c>
      <c r="C298">
        <v>100</v>
      </c>
      <c r="D298" s="2">
        <v>30.509637355804443</v>
      </c>
      <c r="E298" s="2" t="s">
        <v>10</v>
      </c>
      <c r="F298" s="2" t="s">
        <v>15</v>
      </c>
      <c r="G298" s="2">
        <v>7.5</v>
      </c>
    </row>
    <row r="299" spans="1:7" x14ac:dyDescent="0.25">
      <c r="A299" t="s">
        <v>3</v>
      </c>
      <c r="B299">
        <v>297</v>
      </c>
      <c r="C299">
        <v>100</v>
      </c>
      <c r="D299" s="3">
        <v>32.094347476959229</v>
      </c>
      <c r="E299" s="3" t="s">
        <v>10</v>
      </c>
      <c r="F299" s="3" t="s">
        <v>15</v>
      </c>
      <c r="G299" s="3">
        <v>7.5</v>
      </c>
    </row>
    <row r="300" spans="1:7" x14ac:dyDescent="0.25">
      <c r="A300" t="s">
        <v>3</v>
      </c>
      <c r="B300">
        <v>298</v>
      </c>
      <c r="C300">
        <v>100</v>
      </c>
      <c r="D300" s="2">
        <v>34.033747434616089</v>
      </c>
      <c r="E300" s="2" t="s">
        <v>10</v>
      </c>
      <c r="F300" s="2" t="s">
        <v>15</v>
      </c>
      <c r="G300" s="2">
        <v>7.5</v>
      </c>
    </row>
    <row r="301" spans="1:7" x14ac:dyDescent="0.25">
      <c r="A301" t="s">
        <v>3</v>
      </c>
      <c r="B301">
        <v>299</v>
      </c>
      <c r="C301">
        <v>100</v>
      </c>
      <c r="D301" s="3">
        <v>28.1854248046875</v>
      </c>
      <c r="E301" s="3" t="s">
        <v>10</v>
      </c>
      <c r="F301" s="3" t="s">
        <v>20</v>
      </c>
      <c r="G301" s="3">
        <v>7.5</v>
      </c>
    </row>
    <row r="302" spans="1:7" x14ac:dyDescent="0.25">
      <c r="A302" t="s">
        <v>3</v>
      </c>
      <c r="B302">
        <v>300</v>
      </c>
      <c r="C302">
        <v>100</v>
      </c>
      <c r="D302" s="2">
        <v>13.063070058822632</v>
      </c>
      <c r="E302" s="2" t="s">
        <v>10</v>
      </c>
      <c r="F302" s="2" t="s">
        <v>20</v>
      </c>
      <c r="G302" s="2">
        <v>7.5</v>
      </c>
    </row>
    <row r="303" spans="1:7" x14ac:dyDescent="0.25">
      <c r="A303" t="s">
        <v>3</v>
      </c>
      <c r="B303">
        <v>301</v>
      </c>
      <c r="C303">
        <v>90</v>
      </c>
      <c r="D303" s="3">
        <v>39.830297231674194</v>
      </c>
      <c r="E303" s="3" t="s">
        <v>10</v>
      </c>
      <c r="F303" s="3" t="s">
        <v>15</v>
      </c>
      <c r="G303" s="3">
        <v>7.5</v>
      </c>
    </row>
    <row r="304" spans="1:7" x14ac:dyDescent="0.25">
      <c r="A304" t="s">
        <v>3</v>
      </c>
      <c r="B304">
        <v>302</v>
      </c>
      <c r="C304">
        <v>0</v>
      </c>
      <c r="D304" s="2">
        <v>26.933182239532471</v>
      </c>
      <c r="E304" s="2" t="s">
        <v>10</v>
      </c>
      <c r="F304" s="2" t="s">
        <v>14</v>
      </c>
      <c r="G304" s="2">
        <v>7.5</v>
      </c>
    </row>
    <row r="305" spans="1:7" x14ac:dyDescent="0.25">
      <c r="A305" t="s">
        <v>3</v>
      </c>
      <c r="B305">
        <v>303</v>
      </c>
      <c r="C305">
        <v>100</v>
      </c>
      <c r="D305" s="3">
        <v>28.06430721282959</v>
      </c>
      <c r="E305" s="3" t="s">
        <v>10</v>
      </c>
      <c r="F305" s="3" t="s">
        <v>15</v>
      </c>
      <c r="G305" s="3">
        <v>5</v>
      </c>
    </row>
    <row r="306" spans="1:7" x14ac:dyDescent="0.25">
      <c r="A306" t="s">
        <v>3</v>
      </c>
      <c r="B306">
        <v>304</v>
      </c>
      <c r="C306">
        <v>100</v>
      </c>
      <c r="D306" s="2">
        <v>22.179725170135498</v>
      </c>
      <c r="E306" s="2" t="s">
        <v>10</v>
      </c>
      <c r="F306" s="2" t="s">
        <v>15</v>
      </c>
      <c r="G306" s="2">
        <v>5</v>
      </c>
    </row>
    <row r="307" spans="1:7" x14ac:dyDescent="0.25">
      <c r="A307" t="s">
        <v>3</v>
      </c>
      <c r="B307">
        <v>305</v>
      </c>
      <c r="C307">
        <v>100</v>
      </c>
      <c r="D307" s="3">
        <v>35.151318311691284</v>
      </c>
      <c r="E307" s="3" t="s">
        <v>10</v>
      </c>
      <c r="F307" s="3" t="s">
        <v>15</v>
      </c>
      <c r="G307" s="3">
        <v>5</v>
      </c>
    </row>
    <row r="308" spans="1:7" x14ac:dyDescent="0.25">
      <c r="A308" t="s">
        <v>3</v>
      </c>
      <c r="B308">
        <v>306</v>
      </c>
      <c r="C308">
        <v>100</v>
      </c>
      <c r="D308" s="2">
        <v>29.225878000259399</v>
      </c>
      <c r="E308" s="2" t="s">
        <v>10</v>
      </c>
      <c r="F308" s="2" t="s">
        <v>13</v>
      </c>
      <c r="G308" s="2">
        <v>6.8</v>
      </c>
    </row>
    <row r="309" spans="1:7" x14ac:dyDescent="0.25">
      <c r="A309" t="s">
        <v>3</v>
      </c>
      <c r="B309">
        <v>307</v>
      </c>
      <c r="C309">
        <v>100</v>
      </c>
      <c r="D309" s="3">
        <v>20.655661344528198</v>
      </c>
      <c r="E309" s="3" t="s">
        <v>10</v>
      </c>
      <c r="F309" s="3" t="s">
        <v>13</v>
      </c>
      <c r="G309" s="3">
        <v>6.8</v>
      </c>
    </row>
    <row r="310" spans="1:7" x14ac:dyDescent="0.25">
      <c r="A310" t="s">
        <v>3</v>
      </c>
      <c r="B310">
        <v>308</v>
      </c>
      <c r="C310">
        <v>100</v>
      </c>
      <c r="D310" s="2">
        <v>29.166295528411865</v>
      </c>
      <c r="E310" s="2" t="s">
        <v>10</v>
      </c>
      <c r="F310" s="2" t="s">
        <v>13</v>
      </c>
      <c r="G310" s="2">
        <v>6.8</v>
      </c>
    </row>
    <row r="311" spans="1:7" x14ac:dyDescent="0.25">
      <c r="A311" t="s">
        <v>3</v>
      </c>
      <c r="B311">
        <v>309</v>
      </c>
      <c r="C311">
        <v>100</v>
      </c>
      <c r="D311" s="3">
        <v>28.661493062973022</v>
      </c>
      <c r="E311" s="3" t="s">
        <v>10</v>
      </c>
      <c r="F311" s="3" t="s">
        <v>13</v>
      </c>
      <c r="G311" s="3">
        <v>6.8</v>
      </c>
    </row>
    <row r="312" spans="1:7" x14ac:dyDescent="0.25">
      <c r="A312" t="s">
        <v>3</v>
      </c>
      <c r="B312">
        <v>310</v>
      </c>
      <c r="C312">
        <v>100</v>
      </c>
      <c r="D312" s="2">
        <v>12.592156410217285</v>
      </c>
      <c r="E312" s="2" t="s">
        <v>10</v>
      </c>
      <c r="F312" s="2" t="s">
        <v>31</v>
      </c>
      <c r="G312" s="2">
        <v>7.5</v>
      </c>
    </row>
    <row r="313" spans="1:7" x14ac:dyDescent="0.25">
      <c r="A313" t="s">
        <v>3</v>
      </c>
      <c r="B313">
        <v>311</v>
      </c>
      <c r="C313">
        <v>100</v>
      </c>
      <c r="D313" s="3">
        <v>10.928955316543579</v>
      </c>
      <c r="E313" s="3" t="s">
        <v>10</v>
      </c>
      <c r="F313" s="3" t="s">
        <v>21</v>
      </c>
      <c r="G313" s="3">
        <v>7.5</v>
      </c>
    </row>
    <row r="314" spans="1:7" x14ac:dyDescent="0.25">
      <c r="A314" t="s">
        <v>3</v>
      </c>
      <c r="B314">
        <v>312</v>
      </c>
      <c r="C314">
        <v>100</v>
      </c>
      <c r="D314" s="2">
        <v>18.775438547134399</v>
      </c>
      <c r="E314" s="2" t="s">
        <v>19</v>
      </c>
      <c r="F314" s="2" t="s">
        <v>15</v>
      </c>
      <c r="G314" s="2">
        <v>5</v>
      </c>
    </row>
    <row r="315" spans="1:7" x14ac:dyDescent="0.25">
      <c r="A315" t="s">
        <v>3</v>
      </c>
      <c r="B315">
        <v>313</v>
      </c>
      <c r="C315">
        <v>15</v>
      </c>
      <c r="D315" s="3">
        <v>14.348667860031128</v>
      </c>
      <c r="E315" s="3" t="s">
        <v>19</v>
      </c>
      <c r="F315" s="3" t="s">
        <v>15</v>
      </c>
      <c r="G315" s="3">
        <v>5</v>
      </c>
    </row>
    <row r="316" spans="1:7" x14ac:dyDescent="0.25">
      <c r="A316" t="s">
        <v>3</v>
      </c>
      <c r="B316">
        <v>314</v>
      </c>
      <c r="C316">
        <v>45</v>
      </c>
      <c r="D316" s="2">
        <v>18.378576278686523</v>
      </c>
      <c r="E316" s="2" t="s">
        <v>19</v>
      </c>
      <c r="F316" s="2" t="s">
        <v>15</v>
      </c>
      <c r="G316" s="2">
        <v>5</v>
      </c>
    </row>
    <row r="317" spans="1:7" x14ac:dyDescent="0.25">
      <c r="A317" t="s">
        <v>3</v>
      </c>
      <c r="B317">
        <v>315</v>
      </c>
      <c r="C317">
        <v>100</v>
      </c>
      <c r="D317" s="3">
        <v>16.321961402893066</v>
      </c>
      <c r="E317" s="3" t="s">
        <v>19</v>
      </c>
      <c r="F317" s="3" t="s">
        <v>15</v>
      </c>
      <c r="G317" s="3">
        <v>5</v>
      </c>
    </row>
    <row r="318" spans="1:7" x14ac:dyDescent="0.25">
      <c r="A318" t="s">
        <v>3</v>
      </c>
      <c r="B318">
        <v>316</v>
      </c>
      <c r="C318">
        <v>100</v>
      </c>
      <c r="D318" s="2">
        <v>15.954530477523804</v>
      </c>
      <c r="E318" s="2" t="s">
        <v>19</v>
      </c>
      <c r="F318" s="2" t="s">
        <v>15</v>
      </c>
      <c r="G318" s="2">
        <v>5</v>
      </c>
    </row>
    <row r="319" spans="1:7" x14ac:dyDescent="0.25">
      <c r="A319" t="s">
        <v>3</v>
      </c>
      <c r="B319">
        <v>317</v>
      </c>
      <c r="C319">
        <v>100</v>
      </c>
      <c r="D319" s="3">
        <v>36.370551824569702</v>
      </c>
      <c r="E319" s="3" t="s">
        <v>19</v>
      </c>
      <c r="F319" s="3" t="s">
        <v>15</v>
      </c>
      <c r="G319" s="3">
        <v>5</v>
      </c>
    </row>
    <row r="320" spans="1:7" x14ac:dyDescent="0.25">
      <c r="A320" t="s">
        <v>3</v>
      </c>
      <c r="B320">
        <v>318</v>
      </c>
      <c r="C320">
        <v>70</v>
      </c>
      <c r="D320" s="2">
        <v>34.619680881500244</v>
      </c>
      <c r="E320" s="2" t="s">
        <v>10</v>
      </c>
      <c r="F320" s="2" t="s">
        <v>30</v>
      </c>
      <c r="G320" s="2">
        <v>7.5</v>
      </c>
    </row>
    <row r="321" spans="1:7" x14ac:dyDescent="0.25">
      <c r="A321" t="s">
        <v>3</v>
      </c>
      <c r="B321">
        <v>319</v>
      </c>
      <c r="C321">
        <v>100</v>
      </c>
      <c r="D321" s="3">
        <v>12.354836225509644</v>
      </c>
      <c r="E321" s="3" t="s">
        <v>10</v>
      </c>
      <c r="F321" s="3" t="s">
        <v>15</v>
      </c>
      <c r="G321" s="3">
        <v>7.5</v>
      </c>
    </row>
    <row r="322" spans="1:7" x14ac:dyDescent="0.25">
      <c r="A322" t="s">
        <v>3</v>
      </c>
      <c r="B322">
        <v>320</v>
      </c>
      <c r="C322">
        <v>100</v>
      </c>
      <c r="D322" s="2">
        <v>12.714785099029541</v>
      </c>
      <c r="E322" s="2" t="s">
        <v>10</v>
      </c>
      <c r="F322" s="2" t="s">
        <v>21</v>
      </c>
      <c r="G322" s="2">
        <v>7.5</v>
      </c>
    </row>
    <row r="323" spans="1:7" x14ac:dyDescent="0.25">
      <c r="A323" t="s">
        <v>3</v>
      </c>
      <c r="B323">
        <v>321</v>
      </c>
      <c r="C323">
        <v>5</v>
      </c>
      <c r="D323" s="3">
        <v>35.121334075927734</v>
      </c>
      <c r="E323" s="3" t="s">
        <v>10</v>
      </c>
      <c r="F323" s="3" t="s">
        <v>15</v>
      </c>
      <c r="G323" s="3">
        <v>4.9000000000000004</v>
      </c>
    </row>
    <row r="324" spans="1:7" x14ac:dyDescent="0.25">
      <c r="A324" t="s">
        <v>3</v>
      </c>
      <c r="B324">
        <v>322</v>
      </c>
      <c r="C324">
        <v>100</v>
      </c>
      <c r="D324" s="2">
        <v>22.41240382194519</v>
      </c>
      <c r="E324" s="2" t="s">
        <v>10</v>
      </c>
      <c r="F324" s="2" t="s">
        <v>15</v>
      </c>
      <c r="G324" s="2">
        <v>2.1</v>
      </c>
    </row>
    <row r="325" spans="1:7" x14ac:dyDescent="0.25">
      <c r="A325" t="s">
        <v>3</v>
      </c>
      <c r="B325">
        <v>323</v>
      </c>
      <c r="C325">
        <v>100</v>
      </c>
      <c r="D325" s="3">
        <v>35.196993112564087</v>
      </c>
      <c r="E325" s="3" t="s">
        <v>10</v>
      </c>
      <c r="F325" s="3" t="s">
        <v>21</v>
      </c>
      <c r="G325" s="3">
        <v>7.5</v>
      </c>
    </row>
    <row r="326" spans="1:7" x14ac:dyDescent="0.25">
      <c r="A326" t="s">
        <v>3</v>
      </c>
      <c r="B326">
        <v>324</v>
      </c>
      <c r="C326">
        <v>0</v>
      </c>
      <c r="D326" s="2">
        <v>561.74999666213989</v>
      </c>
      <c r="E326" s="2" t="s">
        <v>10</v>
      </c>
      <c r="F326" s="2" t="s">
        <v>21</v>
      </c>
      <c r="G326" s="2">
        <v>7.5</v>
      </c>
    </row>
    <row r="327" spans="1:7" x14ac:dyDescent="0.25">
      <c r="A327" t="s">
        <v>3</v>
      </c>
      <c r="B327">
        <v>325</v>
      </c>
      <c r="C327">
        <v>0</v>
      </c>
      <c r="D327" s="3">
        <v>19.994257926940918</v>
      </c>
      <c r="E327" s="3" t="s">
        <v>10</v>
      </c>
      <c r="F327" s="3" t="s">
        <v>20</v>
      </c>
      <c r="G327" s="3">
        <v>7.5</v>
      </c>
    </row>
    <row r="328" spans="1:7" x14ac:dyDescent="0.25">
      <c r="A328" t="s">
        <v>3</v>
      </c>
      <c r="B328">
        <v>326</v>
      </c>
      <c r="C328">
        <v>0</v>
      </c>
      <c r="D328" s="2">
        <v>23.722840547561646</v>
      </c>
      <c r="E328" s="2" t="s">
        <v>19</v>
      </c>
      <c r="F328" s="2" t="s">
        <v>13</v>
      </c>
      <c r="G328" s="2">
        <v>4.3</v>
      </c>
    </row>
    <row r="329" spans="1:7" x14ac:dyDescent="0.25">
      <c r="A329" t="s">
        <v>3</v>
      </c>
      <c r="B329">
        <v>327</v>
      </c>
      <c r="C329">
        <v>100</v>
      </c>
      <c r="D329" s="3">
        <v>10.646628379821777</v>
      </c>
      <c r="E329" s="3" t="s">
        <v>10</v>
      </c>
      <c r="F329" s="3" t="s">
        <v>21</v>
      </c>
      <c r="G329" s="3">
        <v>7.5</v>
      </c>
    </row>
    <row r="330" spans="1:7" x14ac:dyDescent="0.25">
      <c r="A330" t="s">
        <v>3</v>
      </c>
      <c r="B330">
        <v>328</v>
      </c>
      <c r="C330">
        <v>100</v>
      </c>
      <c r="D330" s="2">
        <v>32.3248291015625</v>
      </c>
      <c r="E330" s="2" t="s">
        <v>10</v>
      </c>
      <c r="F330" s="2" t="s">
        <v>22</v>
      </c>
      <c r="G330" s="2">
        <v>7.5</v>
      </c>
    </row>
    <row r="331" spans="1:7" x14ac:dyDescent="0.25">
      <c r="A331" t="s">
        <v>3</v>
      </c>
      <c r="B331">
        <v>329</v>
      </c>
      <c r="C331">
        <v>0</v>
      </c>
      <c r="D331" s="3">
        <v>33.600199699401855</v>
      </c>
      <c r="E331" s="3" t="s">
        <v>10</v>
      </c>
      <c r="F331" s="3" t="s">
        <v>22</v>
      </c>
      <c r="G331" s="3">
        <v>7.5</v>
      </c>
    </row>
    <row r="332" spans="1:7" x14ac:dyDescent="0.25">
      <c r="A332" t="s">
        <v>3</v>
      </c>
      <c r="B332">
        <v>330</v>
      </c>
      <c r="C332">
        <v>100</v>
      </c>
      <c r="D332" s="2">
        <v>14.7419753074646</v>
      </c>
      <c r="E332" s="2" t="s">
        <v>10</v>
      </c>
      <c r="F332" s="2" t="s">
        <v>23</v>
      </c>
      <c r="G332" s="2">
        <v>4.5999999999999996</v>
      </c>
    </row>
    <row r="333" spans="1:7" x14ac:dyDescent="0.25">
      <c r="A333" t="s">
        <v>3</v>
      </c>
      <c r="B333">
        <v>331</v>
      </c>
      <c r="C333">
        <v>100</v>
      </c>
      <c r="D333" s="3">
        <v>30.084873914718628</v>
      </c>
      <c r="E333" s="3" t="s">
        <v>10</v>
      </c>
      <c r="F333" s="3" t="s">
        <v>15</v>
      </c>
      <c r="G333" s="3">
        <v>4.9000000000000004</v>
      </c>
    </row>
    <row r="334" spans="1:7" x14ac:dyDescent="0.25">
      <c r="A334" t="s">
        <v>3</v>
      </c>
      <c r="B334">
        <v>332</v>
      </c>
      <c r="C334">
        <v>20</v>
      </c>
      <c r="D334" s="2">
        <v>15.078898906707764</v>
      </c>
      <c r="E334" s="2" t="s">
        <v>10</v>
      </c>
      <c r="F334" s="2" t="s">
        <v>15</v>
      </c>
      <c r="G334" s="2">
        <v>4.9000000000000004</v>
      </c>
    </row>
    <row r="335" spans="1:7" x14ac:dyDescent="0.25">
      <c r="A335" t="s">
        <v>3</v>
      </c>
      <c r="B335">
        <v>333</v>
      </c>
      <c r="C335">
        <v>70</v>
      </c>
      <c r="D335" s="3">
        <v>26.988947868347168</v>
      </c>
      <c r="E335" s="3" t="s">
        <v>10</v>
      </c>
      <c r="F335" s="3" t="s">
        <v>20</v>
      </c>
      <c r="G335" s="3">
        <v>6.8</v>
      </c>
    </row>
    <row r="336" spans="1:7" x14ac:dyDescent="0.25">
      <c r="A336" t="s">
        <v>3</v>
      </c>
      <c r="B336">
        <v>334</v>
      </c>
      <c r="C336">
        <v>5</v>
      </c>
      <c r="D336" s="2">
        <v>24.182995319366455</v>
      </c>
      <c r="E336" s="2" t="s">
        <v>10</v>
      </c>
      <c r="F336" s="2" t="s">
        <v>14</v>
      </c>
      <c r="G336" s="2">
        <v>6.8</v>
      </c>
    </row>
    <row r="337" spans="1:7" x14ac:dyDescent="0.25">
      <c r="A337" t="s">
        <v>3</v>
      </c>
      <c r="B337">
        <v>335</v>
      </c>
      <c r="C337">
        <v>100</v>
      </c>
      <c r="D337" s="3">
        <v>17.548297882080078</v>
      </c>
      <c r="E337" s="3" t="s">
        <v>10</v>
      </c>
      <c r="F337" s="3" t="s">
        <v>23</v>
      </c>
      <c r="G337" s="3">
        <v>5</v>
      </c>
    </row>
    <row r="338" spans="1:7" x14ac:dyDescent="0.25">
      <c r="A338" t="s">
        <v>3</v>
      </c>
      <c r="B338">
        <v>336</v>
      </c>
      <c r="C338">
        <v>100</v>
      </c>
      <c r="D338" s="2">
        <v>32.652097225189209</v>
      </c>
      <c r="E338" s="2" t="s">
        <v>10</v>
      </c>
      <c r="F338" s="2" t="s">
        <v>22</v>
      </c>
      <c r="G338" s="2">
        <v>7.5</v>
      </c>
    </row>
    <row r="339" spans="1:7" x14ac:dyDescent="0.25">
      <c r="A339" t="s">
        <v>3</v>
      </c>
      <c r="B339">
        <v>337</v>
      </c>
      <c r="C339">
        <v>0</v>
      </c>
      <c r="D339" s="3">
        <v>33.025890111923218</v>
      </c>
      <c r="E339" s="3" t="s">
        <v>10</v>
      </c>
      <c r="F339" s="3" t="s">
        <v>15</v>
      </c>
      <c r="G339" s="3">
        <v>5</v>
      </c>
    </row>
    <row r="340" spans="1:7" x14ac:dyDescent="0.25">
      <c r="A340" t="s">
        <v>3</v>
      </c>
      <c r="B340">
        <v>338</v>
      </c>
      <c r="C340">
        <v>100</v>
      </c>
      <c r="D340" s="2">
        <v>25.011737585067749</v>
      </c>
      <c r="E340" s="2" t="s">
        <v>10</v>
      </c>
      <c r="F340" s="2" t="s">
        <v>15</v>
      </c>
      <c r="G340" s="2">
        <v>5</v>
      </c>
    </row>
    <row r="341" spans="1:7" x14ac:dyDescent="0.25">
      <c r="A341" t="s">
        <v>3</v>
      </c>
      <c r="B341">
        <v>339</v>
      </c>
      <c r="C341">
        <v>100</v>
      </c>
      <c r="D341" s="3">
        <v>32.934688091278076</v>
      </c>
      <c r="E341" s="3" t="s">
        <v>19</v>
      </c>
      <c r="F341" s="3" t="s">
        <v>32</v>
      </c>
      <c r="G341" s="3">
        <v>6.8</v>
      </c>
    </row>
    <row r="342" spans="1:7" x14ac:dyDescent="0.25">
      <c r="A342" t="s">
        <v>3</v>
      </c>
      <c r="B342">
        <v>340</v>
      </c>
      <c r="C342">
        <v>100</v>
      </c>
      <c r="D342" s="2">
        <v>26.361797094345093</v>
      </c>
      <c r="E342" s="2" t="s">
        <v>19</v>
      </c>
      <c r="F342" s="2" t="s">
        <v>15</v>
      </c>
      <c r="G342" s="2">
        <v>6.8</v>
      </c>
    </row>
    <row r="343" spans="1:7" x14ac:dyDescent="0.25">
      <c r="A343" t="s">
        <v>3</v>
      </c>
      <c r="B343">
        <v>341</v>
      </c>
      <c r="C343">
        <v>100</v>
      </c>
      <c r="D343" s="3">
        <v>19.664682388305664</v>
      </c>
      <c r="E343" s="3" t="s">
        <v>19</v>
      </c>
      <c r="F343" s="3" t="s">
        <v>15</v>
      </c>
      <c r="G343" s="3">
        <v>6.8</v>
      </c>
    </row>
    <row r="344" spans="1:7" x14ac:dyDescent="0.25">
      <c r="A344" t="s">
        <v>3</v>
      </c>
      <c r="B344">
        <v>342</v>
      </c>
      <c r="C344">
        <v>100</v>
      </c>
      <c r="D344" s="2">
        <v>31.135799646377563</v>
      </c>
      <c r="E344" s="2" t="s">
        <v>10</v>
      </c>
      <c r="F344" s="2" t="s">
        <v>15</v>
      </c>
      <c r="G344" s="2">
        <v>2.1</v>
      </c>
    </row>
    <row r="345" spans="1:7" x14ac:dyDescent="0.25">
      <c r="A345" t="s">
        <v>3</v>
      </c>
      <c r="B345">
        <v>343</v>
      </c>
      <c r="C345">
        <v>100</v>
      </c>
      <c r="D345" s="3">
        <v>38.778611660003662</v>
      </c>
      <c r="E345" s="3" t="s">
        <v>10</v>
      </c>
      <c r="F345" s="3" t="s">
        <v>15</v>
      </c>
      <c r="G345" s="3">
        <v>2.1</v>
      </c>
    </row>
    <row r="346" spans="1:7" x14ac:dyDescent="0.25">
      <c r="A346" t="s">
        <v>3</v>
      </c>
      <c r="B346">
        <v>344</v>
      </c>
      <c r="C346">
        <v>100</v>
      </c>
      <c r="D346" s="2">
        <v>27.883169651031494</v>
      </c>
      <c r="E346" s="2" t="s">
        <v>10</v>
      </c>
      <c r="F346" s="2" t="s">
        <v>26</v>
      </c>
      <c r="G346" s="2">
        <v>2.1</v>
      </c>
    </row>
    <row r="347" spans="1:7" x14ac:dyDescent="0.25">
      <c r="A347" t="s">
        <v>3</v>
      </c>
      <c r="B347">
        <v>345</v>
      </c>
      <c r="C347">
        <v>100</v>
      </c>
      <c r="D347" s="3">
        <v>29.804819583892822</v>
      </c>
      <c r="E347" s="3" t="s">
        <v>10</v>
      </c>
      <c r="F347" s="3" t="s">
        <v>15</v>
      </c>
      <c r="G347" s="3">
        <v>2.1</v>
      </c>
    </row>
    <row r="348" spans="1:7" x14ac:dyDescent="0.25">
      <c r="A348" t="s">
        <v>3</v>
      </c>
      <c r="B348">
        <v>346</v>
      </c>
      <c r="C348">
        <v>100</v>
      </c>
      <c r="D348" s="2">
        <v>23.293773651123047</v>
      </c>
      <c r="E348" s="2" t="s">
        <v>10</v>
      </c>
      <c r="F348" s="2" t="s">
        <v>15</v>
      </c>
      <c r="G348" s="2">
        <v>1.9</v>
      </c>
    </row>
    <row r="349" spans="1:7" x14ac:dyDescent="0.25">
      <c r="A349" t="s">
        <v>3</v>
      </c>
      <c r="B349">
        <v>347</v>
      </c>
      <c r="C349">
        <v>15</v>
      </c>
      <c r="D349" s="3">
        <v>39.475630283355713</v>
      </c>
      <c r="E349" s="3" t="s">
        <v>10</v>
      </c>
      <c r="F349" s="3" t="s">
        <v>15</v>
      </c>
      <c r="G349" s="3">
        <v>1.9</v>
      </c>
    </row>
    <row r="350" spans="1:7" x14ac:dyDescent="0.25">
      <c r="A350" t="s">
        <v>3</v>
      </c>
      <c r="B350">
        <v>348</v>
      </c>
      <c r="C350">
        <v>0</v>
      </c>
      <c r="D350" s="2">
        <v>42.18797492980957</v>
      </c>
      <c r="E350" s="2" t="s">
        <v>10</v>
      </c>
      <c r="F350" s="2" t="s">
        <v>15</v>
      </c>
      <c r="G350" s="2">
        <v>2.1</v>
      </c>
    </row>
    <row r="351" spans="1:7" x14ac:dyDescent="0.25">
      <c r="A351" t="s">
        <v>3</v>
      </c>
      <c r="B351">
        <v>349</v>
      </c>
      <c r="C351">
        <v>100</v>
      </c>
      <c r="D351" s="3">
        <v>45.158066987991333</v>
      </c>
      <c r="E351" s="3" t="s">
        <v>10</v>
      </c>
      <c r="F351" s="3" t="s">
        <v>21</v>
      </c>
      <c r="G351" s="3">
        <v>7.5</v>
      </c>
    </row>
    <row r="352" spans="1:7" x14ac:dyDescent="0.25">
      <c r="A352" t="s">
        <v>3</v>
      </c>
      <c r="B352">
        <v>350</v>
      </c>
      <c r="C352">
        <v>0</v>
      </c>
      <c r="D352" s="2">
        <v>30.132950782775879</v>
      </c>
      <c r="E352" s="2" t="s">
        <v>10</v>
      </c>
      <c r="F352" s="2" t="s">
        <v>13</v>
      </c>
      <c r="G352" s="2">
        <v>7.5</v>
      </c>
    </row>
    <row r="353" spans="1:7" x14ac:dyDescent="0.25">
      <c r="A353" t="s">
        <v>3</v>
      </c>
      <c r="B353">
        <v>351</v>
      </c>
      <c r="C353">
        <v>100</v>
      </c>
      <c r="D353" s="3">
        <v>27.112833738327026</v>
      </c>
      <c r="E353" s="3" t="s">
        <v>10</v>
      </c>
      <c r="F353" s="3" t="s">
        <v>13</v>
      </c>
      <c r="G353" s="3">
        <v>7.5</v>
      </c>
    </row>
    <row r="354" spans="1:7" x14ac:dyDescent="0.25">
      <c r="A354" t="s">
        <v>3</v>
      </c>
      <c r="B354">
        <v>352</v>
      </c>
      <c r="C354">
        <v>70</v>
      </c>
      <c r="D354" s="2">
        <v>38.787289381027222</v>
      </c>
      <c r="E354" s="2" t="s">
        <v>10</v>
      </c>
      <c r="F354" s="2" t="s">
        <v>13</v>
      </c>
      <c r="G354" s="2">
        <v>7.5</v>
      </c>
    </row>
    <row r="355" spans="1:7" x14ac:dyDescent="0.25">
      <c r="A355" t="s">
        <v>3</v>
      </c>
      <c r="B355">
        <v>353</v>
      </c>
      <c r="C355">
        <v>100</v>
      </c>
      <c r="D355" s="3">
        <v>27.156451940536499</v>
      </c>
      <c r="E355" s="3" t="s">
        <v>10</v>
      </c>
      <c r="F355" s="3" t="s">
        <v>15</v>
      </c>
      <c r="G355" s="3">
        <v>5</v>
      </c>
    </row>
    <row r="356" spans="1:7" x14ac:dyDescent="0.25">
      <c r="A356" t="s">
        <v>3</v>
      </c>
      <c r="B356">
        <v>354</v>
      </c>
      <c r="C356">
        <v>0</v>
      </c>
      <c r="D356" s="2">
        <v>30.332464456558228</v>
      </c>
      <c r="E356" s="2" t="s">
        <v>10</v>
      </c>
      <c r="F356" s="2" t="s">
        <v>15</v>
      </c>
      <c r="G356" s="2">
        <v>5</v>
      </c>
    </row>
    <row r="357" spans="1:7" x14ac:dyDescent="0.25">
      <c r="A357" t="s">
        <v>3</v>
      </c>
      <c r="B357">
        <v>355</v>
      </c>
      <c r="C357">
        <v>100</v>
      </c>
      <c r="D357" s="3">
        <v>35.839689493179321</v>
      </c>
      <c r="E357" s="3" t="s">
        <v>10</v>
      </c>
      <c r="F357" s="3" t="s">
        <v>15</v>
      </c>
      <c r="G357" s="3">
        <v>5</v>
      </c>
    </row>
    <row r="358" spans="1:7" x14ac:dyDescent="0.25">
      <c r="A358" t="s">
        <v>3</v>
      </c>
      <c r="B358">
        <v>356</v>
      </c>
      <c r="C358">
        <v>100</v>
      </c>
      <c r="D358" s="2">
        <v>27.821405649185181</v>
      </c>
      <c r="E358" s="2" t="s">
        <v>10</v>
      </c>
      <c r="F358" s="2" t="s">
        <v>15</v>
      </c>
      <c r="G358" s="2">
        <v>5</v>
      </c>
    </row>
    <row r="359" spans="1:7" x14ac:dyDescent="0.25">
      <c r="A359" t="s">
        <v>3</v>
      </c>
      <c r="B359">
        <v>357</v>
      </c>
      <c r="C359">
        <v>0</v>
      </c>
      <c r="D359" s="3">
        <v>20.392229080200195</v>
      </c>
      <c r="E359" s="3" t="s">
        <v>10</v>
      </c>
      <c r="F359" s="3" t="s">
        <v>15</v>
      </c>
      <c r="G359" s="3">
        <v>5</v>
      </c>
    </row>
    <row r="360" spans="1:7" x14ac:dyDescent="0.25">
      <c r="A360" t="s">
        <v>3</v>
      </c>
      <c r="B360">
        <v>358</v>
      </c>
      <c r="C360">
        <v>100</v>
      </c>
      <c r="D360" s="2">
        <v>18.534363031387329</v>
      </c>
      <c r="E360" s="2" t="s">
        <v>10</v>
      </c>
      <c r="F360" s="2" t="s">
        <v>33</v>
      </c>
      <c r="G360" s="2">
        <v>7.5</v>
      </c>
    </row>
    <row r="361" spans="1:7" x14ac:dyDescent="0.25">
      <c r="A361" t="s">
        <v>3</v>
      </c>
      <c r="B361">
        <v>359</v>
      </c>
      <c r="C361">
        <v>90</v>
      </c>
      <c r="D361" s="3">
        <v>28.363948822021484</v>
      </c>
      <c r="E361" s="3" t="s">
        <v>10</v>
      </c>
      <c r="F361" s="3" t="s">
        <v>28</v>
      </c>
      <c r="G361" s="3">
        <v>7.5</v>
      </c>
    </row>
    <row r="362" spans="1:7" x14ac:dyDescent="0.25">
      <c r="A362" t="s">
        <v>3</v>
      </c>
      <c r="B362">
        <v>360</v>
      </c>
      <c r="C362">
        <v>20</v>
      </c>
      <c r="D362" s="2">
        <v>23.35044264793396</v>
      </c>
      <c r="E362" s="2" t="s">
        <v>10</v>
      </c>
      <c r="F362" s="2" t="s">
        <v>28</v>
      </c>
      <c r="G362" s="2">
        <v>7.5</v>
      </c>
    </row>
    <row r="363" spans="1:7" x14ac:dyDescent="0.25">
      <c r="A363" t="s">
        <v>3</v>
      </c>
      <c r="B363">
        <v>361</v>
      </c>
      <c r="C363">
        <v>0</v>
      </c>
      <c r="D363" s="3">
        <v>22.849946975708008</v>
      </c>
      <c r="E363" s="3" t="s">
        <v>10</v>
      </c>
      <c r="F363" s="3" t="s">
        <v>15</v>
      </c>
      <c r="G363" s="3">
        <v>2.1</v>
      </c>
    </row>
    <row r="364" spans="1:7" x14ac:dyDescent="0.25">
      <c r="A364" t="s">
        <v>3</v>
      </c>
      <c r="B364">
        <v>362</v>
      </c>
      <c r="C364">
        <v>100</v>
      </c>
      <c r="D364" s="2">
        <v>18.497961759567261</v>
      </c>
      <c r="E364" s="2" t="s">
        <v>10</v>
      </c>
      <c r="F364" s="2" t="s">
        <v>15</v>
      </c>
      <c r="G364" s="2">
        <v>2.1</v>
      </c>
    </row>
    <row r="365" spans="1:7" x14ac:dyDescent="0.25">
      <c r="A365" t="s">
        <v>3</v>
      </c>
      <c r="B365">
        <v>363</v>
      </c>
      <c r="C365">
        <v>100</v>
      </c>
      <c r="D365" s="3">
        <v>29.271381855010986</v>
      </c>
      <c r="E365" s="3" t="s">
        <v>10</v>
      </c>
      <c r="F365" s="3" t="s">
        <v>15</v>
      </c>
      <c r="G365" s="3">
        <v>4.3</v>
      </c>
    </row>
    <row r="366" spans="1:7" x14ac:dyDescent="0.25">
      <c r="A366" t="s">
        <v>3</v>
      </c>
      <c r="B366">
        <v>364</v>
      </c>
      <c r="C366">
        <v>10</v>
      </c>
      <c r="D366" s="2">
        <v>32.898255825042725</v>
      </c>
      <c r="E366" s="2" t="s">
        <v>10</v>
      </c>
      <c r="F366" s="2" t="s">
        <v>15</v>
      </c>
      <c r="G366" s="2">
        <v>2.1</v>
      </c>
    </row>
    <row r="367" spans="1:7" x14ac:dyDescent="0.25">
      <c r="A367" t="s">
        <v>3</v>
      </c>
      <c r="B367">
        <v>365</v>
      </c>
      <c r="C367">
        <v>100</v>
      </c>
      <c r="D367" s="3">
        <v>18.527912139892578</v>
      </c>
      <c r="E367" s="3" t="s">
        <v>10</v>
      </c>
      <c r="F367" s="3" t="s">
        <v>15</v>
      </c>
      <c r="G367" s="3">
        <v>2.1</v>
      </c>
    </row>
    <row r="368" spans="1:7" x14ac:dyDescent="0.25">
      <c r="A368" t="s">
        <v>3</v>
      </c>
      <c r="B368">
        <v>366</v>
      </c>
      <c r="C368">
        <v>0</v>
      </c>
      <c r="D368" s="2">
        <v>11.177423477172852</v>
      </c>
      <c r="E368" s="2" t="s">
        <v>19</v>
      </c>
      <c r="F368" s="2" t="s">
        <v>23</v>
      </c>
      <c r="G368" s="2">
        <v>5.0999999999999996</v>
      </c>
    </row>
    <row r="369" spans="1:7" x14ac:dyDescent="0.25">
      <c r="A369" t="s">
        <v>3</v>
      </c>
      <c r="B369">
        <v>367</v>
      </c>
      <c r="C369">
        <v>0</v>
      </c>
      <c r="D369" s="3">
        <v>12.262713670730591</v>
      </c>
      <c r="E369" s="3" t="s">
        <v>10</v>
      </c>
      <c r="F369" s="3" t="s">
        <v>21</v>
      </c>
      <c r="G369" s="3">
        <v>7.5</v>
      </c>
    </row>
    <row r="370" spans="1:7" x14ac:dyDescent="0.25">
      <c r="A370" t="s">
        <v>3</v>
      </c>
      <c r="B370">
        <v>368</v>
      </c>
      <c r="C370">
        <v>65</v>
      </c>
      <c r="D370" s="2">
        <v>31.243530035018921</v>
      </c>
      <c r="E370" s="2" t="s">
        <v>10</v>
      </c>
      <c r="F370" s="2" t="s">
        <v>15</v>
      </c>
      <c r="G370" s="2">
        <v>2.1</v>
      </c>
    </row>
    <row r="371" spans="1:7" x14ac:dyDescent="0.25">
      <c r="A371" t="s">
        <v>3</v>
      </c>
      <c r="B371">
        <v>369</v>
      </c>
      <c r="C371">
        <v>0</v>
      </c>
      <c r="D371" s="3">
        <v>31.099089622497559</v>
      </c>
      <c r="E371" s="3" t="s">
        <v>10</v>
      </c>
      <c r="F371" s="3" t="s">
        <v>23</v>
      </c>
      <c r="G371" s="3">
        <v>10</v>
      </c>
    </row>
    <row r="372" spans="1:7" x14ac:dyDescent="0.25">
      <c r="A372" t="s">
        <v>3</v>
      </c>
      <c r="B372">
        <v>370</v>
      </c>
      <c r="C372">
        <v>0</v>
      </c>
      <c r="D372" s="2">
        <v>22.962052583694458</v>
      </c>
      <c r="E372" s="2" t="s">
        <v>10</v>
      </c>
      <c r="F372" s="2" t="s">
        <v>15</v>
      </c>
      <c r="G372" s="2">
        <v>2.1</v>
      </c>
    </row>
    <row r="373" spans="1:7" x14ac:dyDescent="0.25">
      <c r="A373" t="s">
        <v>3</v>
      </c>
      <c r="B373">
        <v>371</v>
      </c>
      <c r="C373">
        <v>5</v>
      </c>
      <c r="D373" s="3">
        <v>18.666947841644287</v>
      </c>
      <c r="E373" s="3" t="s">
        <v>10</v>
      </c>
      <c r="F373" s="3" t="s">
        <v>15</v>
      </c>
      <c r="G373" s="3">
        <v>2.1</v>
      </c>
    </row>
    <row r="374" spans="1:7" x14ac:dyDescent="0.25">
      <c r="A374" t="s">
        <v>3</v>
      </c>
      <c r="B374">
        <v>372</v>
      </c>
      <c r="C374">
        <v>100</v>
      </c>
      <c r="D374" s="2">
        <v>24.234814167022705</v>
      </c>
      <c r="E374" s="2" t="s">
        <v>10</v>
      </c>
      <c r="F374" s="2" t="s">
        <v>15</v>
      </c>
      <c r="G374" s="2">
        <v>2.1</v>
      </c>
    </row>
    <row r="375" spans="1:7" x14ac:dyDescent="0.25">
      <c r="A375" t="s">
        <v>3</v>
      </c>
      <c r="B375">
        <v>373</v>
      </c>
      <c r="C375">
        <v>100</v>
      </c>
      <c r="D375" s="3">
        <v>26.299398183822632</v>
      </c>
      <c r="E375" s="3" t="s">
        <v>10</v>
      </c>
      <c r="F375" s="3" t="s">
        <v>15</v>
      </c>
      <c r="G375" s="3">
        <v>2.1</v>
      </c>
    </row>
    <row r="376" spans="1:7" x14ac:dyDescent="0.25">
      <c r="A376" t="s">
        <v>3</v>
      </c>
      <c r="B376">
        <v>374</v>
      </c>
      <c r="C376">
        <v>100</v>
      </c>
      <c r="D376" s="2">
        <v>29.964261054992676</v>
      </c>
      <c r="E376" s="2" t="s">
        <v>10</v>
      </c>
      <c r="F376" s="2" t="s">
        <v>27</v>
      </c>
      <c r="G376" s="2">
        <v>2.1</v>
      </c>
    </row>
    <row r="377" spans="1:7" x14ac:dyDescent="0.25">
      <c r="A377" t="s">
        <v>3</v>
      </c>
      <c r="B377">
        <v>375</v>
      </c>
      <c r="C377">
        <v>45</v>
      </c>
      <c r="D377" s="3">
        <v>32.154515266418457</v>
      </c>
      <c r="E377" s="3" t="s">
        <v>10</v>
      </c>
      <c r="F377" s="3" t="s">
        <v>27</v>
      </c>
      <c r="G377" s="3">
        <v>2.1</v>
      </c>
    </row>
    <row r="378" spans="1:7" x14ac:dyDescent="0.25">
      <c r="A378" t="s">
        <v>3</v>
      </c>
      <c r="B378">
        <v>376</v>
      </c>
      <c r="C378">
        <v>100</v>
      </c>
      <c r="D378" s="2">
        <v>38.922427177429199</v>
      </c>
      <c r="E378" s="2" t="s">
        <v>10</v>
      </c>
      <c r="F378" s="2" t="s">
        <v>15</v>
      </c>
      <c r="G378" s="2">
        <v>5</v>
      </c>
    </row>
    <row r="379" spans="1:7" x14ac:dyDescent="0.25">
      <c r="A379" t="s">
        <v>3</v>
      </c>
      <c r="B379">
        <v>377</v>
      </c>
      <c r="C379">
        <v>100</v>
      </c>
      <c r="D379" s="3">
        <v>18.880213499069214</v>
      </c>
      <c r="E379" s="3" t="s">
        <v>10</v>
      </c>
      <c r="F379" s="3" t="s">
        <v>15</v>
      </c>
      <c r="G379" s="3">
        <v>4.9000000000000004</v>
      </c>
    </row>
    <row r="380" spans="1:7" x14ac:dyDescent="0.25">
      <c r="A380" t="s">
        <v>3</v>
      </c>
      <c r="B380">
        <v>378</v>
      </c>
      <c r="C380">
        <v>100</v>
      </c>
      <c r="D380" s="2">
        <v>16.231034278869629</v>
      </c>
      <c r="E380" s="2" t="s">
        <v>10</v>
      </c>
      <c r="F380" s="2" t="s">
        <v>17</v>
      </c>
      <c r="G380" s="2">
        <v>5</v>
      </c>
    </row>
    <row r="381" spans="1:7" x14ac:dyDescent="0.25">
      <c r="A381" t="s">
        <v>3</v>
      </c>
      <c r="B381">
        <v>379</v>
      </c>
      <c r="C381">
        <v>100</v>
      </c>
      <c r="D381" s="3">
        <v>29.805950880050659</v>
      </c>
      <c r="E381" s="3" t="s">
        <v>10</v>
      </c>
      <c r="F381" s="3" t="s">
        <v>17</v>
      </c>
      <c r="G381" s="3">
        <v>5</v>
      </c>
    </row>
    <row r="382" spans="1:7" x14ac:dyDescent="0.25">
      <c r="A382" t="s">
        <v>3</v>
      </c>
      <c r="B382">
        <v>380</v>
      </c>
      <c r="C382">
        <v>10</v>
      </c>
      <c r="D382" s="2">
        <v>30.980181694030762</v>
      </c>
      <c r="E382" s="2" t="s">
        <v>10</v>
      </c>
      <c r="F382" s="2" t="s">
        <v>15</v>
      </c>
      <c r="G382" s="2">
        <v>4.9000000000000004</v>
      </c>
    </row>
    <row r="383" spans="1:7" x14ac:dyDescent="0.25">
      <c r="A383" t="s">
        <v>3</v>
      </c>
      <c r="B383">
        <v>381</v>
      </c>
      <c r="C383">
        <v>5</v>
      </c>
      <c r="D383" s="3">
        <v>30.405275821685791</v>
      </c>
      <c r="E383" s="3" t="s">
        <v>10</v>
      </c>
      <c r="F383" s="3" t="s">
        <v>14</v>
      </c>
      <c r="G383" s="3">
        <v>2.1</v>
      </c>
    </row>
    <row r="384" spans="1:7" x14ac:dyDescent="0.25">
      <c r="A384" t="s">
        <v>3</v>
      </c>
      <c r="B384">
        <v>382</v>
      </c>
      <c r="C384">
        <v>80</v>
      </c>
      <c r="D384" s="2">
        <v>22.187758445739746</v>
      </c>
      <c r="E384" s="2" t="s">
        <v>10</v>
      </c>
      <c r="F384" s="2" t="s">
        <v>15</v>
      </c>
      <c r="G384" s="2">
        <v>4.9000000000000004</v>
      </c>
    </row>
    <row r="385" spans="1:7" x14ac:dyDescent="0.25">
      <c r="A385" t="s">
        <v>3</v>
      </c>
      <c r="B385">
        <v>383</v>
      </c>
      <c r="C385">
        <v>85</v>
      </c>
      <c r="D385" s="3">
        <v>21.506479978561401</v>
      </c>
      <c r="E385" s="3" t="s">
        <v>10</v>
      </c>
      <c r="F385" s="3" t="s">
        <v>14</v>
      </c>
      <c r="G385" s="3">
        <v>2.1</v>
      </c>
    </row>
    <row r="386" spans="1:7" x14ac:dyDescent="0.25">
      <c r="A386" t="s">
        <v>3</v>
      </c>
      <c r="B386">
        <v>384</v>
      </c>
      <c r="C386">
        <v>100</v>
      </c>
      <c r="D386" s="2">
        <v>25.55212926864624</v>
      </c>
      <c r="E386" s="2" t="s">
        <v>10</v>
      </c>
      <c r="F386" s="2" t="s">
        <v>17</v>
      </c>
      <c r="G386" s="2">
        <v>2.1</v>
      </c>
    </row>
    <row r="387" spans="1:7" x14ac:dyDescent="0.25">
      <c r="A387" t="s">
        <v>3</v>
      </c>
      <c r="B387">
        <v>385</v>
      </c>
      <c r="C387">
        <v>0</v>
      </c>
      <c r="D387" s="3">
        <v>21.235290765762329</v>
      </c>
      <c r="E387" s="3" t="s">
        <v>10</v>
      </c>
      <c r="F387" s="3" t="s">
        <v>15</v>
      </c>
      <c r="G387" s="3">
        <v>2.1</v>
      </c>
    </row>
    <row r="388" spans="1:7" x14ac:dyDescent="0.25">
      <c r="A388" t="s">
        <v>3</v>
      </c>
      <c r="B388">
        <v>386</v>
      </c>
      <c r="C388">
        <v>100</v>
      </c>
      <c r="D388" s="2">
        <v>30.15483546257019</v>
      </c>
      <c r="E388" s="2" t="s">
        <v>10</v>
      </c>
      <c r="F388" s="2" t="s">
        <v>14</v>
      </c>
      <c r="G388" s="2">
        <v>2.1</v>
      </c>
    </row>
    <row r="389" spans="1:7" x14ac:dyDescent="0.25">
      <c r="A389" t="s">
        <v>3</v>
      </c>
      <c r="B389">
        <v>387</v>
      </c>
      <c r="C389">
        <v>100</v>
      </c>
      <c r="D389" s="3">
        <v>10.848299980163574</v>
      </c>
      <c r="E389" s="3" t="s">
        <v>10</v>
      </c>
      <c r="F389" s="3" t="s">
        <v>14</v>
      </c>
      <c r="G389" s="3">
        <v>2.1</v>
      </c>
    </row>
    <row r="390" spans="1:7" x14ac:dyDescent="0.25">
      <c r="A390" t="s">
        <v>3</v>
      </c>
      <c r="B390">
        <v>388</v>
      </c>
      <c r="C390">
        <v>100</v>
      </c>
      <c r="D390" s="2">
        <v>34.395361661911011</v>
      </c>
      <c r="E390" s="2" t="s">
        <v>10</v>
      </c>
      <c r="F390" s="2" t="s">
        <v>15</v>
      </c>
      <c r="G390" s="2">
        <v>2.1</v>
      </c>
    </row>
    <row r="391" spans="1:7" x14ac:dyDescent="0.25">
      <c r="A391" t="s">
        <v>3</v>
      </c>
      <c r="B391">
        <v>389</v>
      </c>
      <c r="C391">
        <v>100</v>
      </c>
      <c r="D391" s="3">
        <v>21.228148698806763</v>
      </c>
      <c r="E391" s="3" t="s">
        <v>10</v>
      </c>
      <c r="F391" s="3" t="s">
        <v>15</v>
      </c>
      <c r="G391" s="3">
        <v>2.1</v>
      </c>
    </row>
    <row r="392" spans="1:7" x14ac:dyDescent="0.25">
      <c r="A392" t="s">
        <v>3</v>
      </c>
      <c r="B392">
        <v>390</v>
      </c>
      <c r="C392">
        <v>100</v>
      </c>
      <c r="D392" s="2">
        <v>41.230578184127808</v>
      </c>
      <c r="E392" s="2" t="s">
        <v>10</v>
      </c>
      <c r="F392" s="2" t="s">
        <v>14</v>
      </c>
      <c r="G392" s="2">
        <v>2.1</v>
      </c>
    </row>
    <row r="393" spans="1:7" x14ac:dyDescent="0.25">
      <c r="A393" t="s">
        <v>3</v>
      </c>
      <c r="B393">
        <v>391</v>
      </c>
      <c r="C393">
        <v>80</v>
      </c>
      <c r="D393" s="3">
        <v>33.40947437286377</v>
      </c>
      <c r="E393" s="3" t="s">
        <v>10</v>
      </c>
      <c r="F393" s="3" t="s">
        <v>15</v>
      </c>
      <c r="G393" s="3">
        <v>4.9000000000000004</v>
      </c>
    </row>
    <row r="394" spans="1:7" x14ac:dyDescent="0.25">
      <c r="A394" t="s">
        <v>3</v>
      </c>
      <c r="B394">
        <v>392</v>
      </c>
      <c r="C394">
        <v>0</v>
      </c>
      <c r="D394" s="2">
        <v>37.953345060348511</v>
      </c>
      <c r="E394" s="2" t="s">
        <v>10</v>
      </c>
      <c r="F394" s="2" t="s">
        <v>15</v>
      </c>
      <c r="G394" s="2">
        <v>2.1</v>
      </c>
    </row>
    <row r="395" spans="1:7" x14ac:dyDescent="0.25">
      <c r="A395" t="s">
        <v>3</v>
      </c>
      <c r="B395">
        <v>393</v>
      </c>
      <c r="C395">
        <v>100</v>
      </c>
      <c r="D395" s="3">
        <v>22.682210445404053</v>
      </c>
      <c r="E395" s="3" t="s">
        <v>10</v>
      </c>
      <c r="F395" s="3" t="s">
        <v>15</v>
      </c>
      <c r="G395" s="3">
        <v>2.1</v>
      </c>
    </row>
    <row r="396" spans="1:7" x14ac:dyDescent="0.25">
      <c r="A396" t="s">
        <v>3</v>
      </c>
      <c r="B396">
        <v>394</v>
      </c>
      <c r="C396">
        <v>0</v>
      </c>
      <c r="D396" s="2">
        <v>31.126681566238403</v>
      </c>
      <c r="E396" s="2" t="s">
        <v>10</v>
      </c>
      <c r="F396" s="2" t="s">
        <v>15</v>
      </c>
      <c r="G396" s="2">
        <v>2.1</v>
      </c>
    </row>
    <row r="397" spans="1:7" x14ac:dyDescent="0.25">
      <c r="A397" t="s">
        <v>3</v>
      </c>
      <c r="B397">
        <v>395</v>
      </c>
      <c r="C397">
        <v>100</v>
      </c>
      <c r="D397" s="3">
        <v>33.904546737670898</v>
      </c>
      <c r="E397" s="3" t="s">
        <v>10</v>
      </c>
      <c r="F397" s="3" t="s">
        <v>15</v>
      </c>
      <c r="G397" s="3">
        <v>2.1</v>
      </c>
    </row>
    <row r="398" spans="1:7" x14ac:dyDescent="0.25">
      <c r="A398" t="s">
        <v>3</v>
      </c>
      <c r="B398">
        <v>396</v>
      </c>
      <c r="C398">
        <v>60</v>
      </c>
      <c r="D398" s="2">
        <v>29.892333745956421</v>
      </c>
      <c r="E398" s="2" t="s">
        <v>10</v>
      </c>
      <c r="F398" s="2" t="s">
        <v>14</v>
      </c>
      <c r="G398" s="2">
        <v>7.8</v>
      </c>
    </row>
    <row r="399" spans="1:7" x14ac:dyDescent="0.25">
      <c r="A399" t="s">
        <v>3</v>
      </c>
      <c r="B399">
        <v>397</v>
      </c>
      <c r="C399">
        <v>100</v>
      </c>
      <c r="D399" s="3">
        <v>21.21576976776123</v>
      </c>
      <c r="E399" s="3" t="s">
        <v>10</v>
      </c>
      <c r="F399" s="3" t="s">
        <v>18</v>
      </c>
      <c r="G399" s="3">
        <v>7.2</v>
      </c>
    </row>
    <row r="400" spans="1:7" x14ac:dyDescent="0.25">
      <c r="A400" t="s">
        <v>3</v>
      </c>
      <c r="B400">
        <v>398</v>
      </c>
      <c r="C400">
        <v>100</v>
      </c>
      <c r="D400" s="2">
        <v>27.205409049987793</v>
      </c>
      <c r="E400" s="2" t="s">
        <v>10</v>
      </c>
      <c r="F400" s="2" t="s">
        <v>15</v>
      </c>
      <c r="G400" s="2">
        <v>4.3</v>
      </c>
    </row>
    <row r="401" spans="1:7" x14ac:dyDescent="0.25">
      <c r="A401" t="s">
        <v>3</v>
      </c>
      <c r="B401">
        <v>399</v>
      </c>
      <c r="C401">
        <v>100</v>
      </c>
      <c r="D401" s="3">
        <v>28.485061168670654</v>
      </c>
      <c r="E401" s="3" t="s">
        <v>10</v>
      </c>
      <c r="F401" s="3" t="s">
        <v>15</v>
      </c>
      <c r="G401" s="3">
        <v>4.3</v>
      </c>
    </row>
    <row r="402" spans="1:7" x14ac:dyDescent="0.25">
      <c r="A402" t="s">
        <v>3</v>
      </c>
      <c r="B402">
        <v>400</v>
      </c>
      <c r="C402">
        <v>100</v>
      </c>
      <c r="D402" s="2">
        <v>13.643012046813965</v>
      </c>
      <c r="E402" s="2" t="s">
        <v>10</v>
      </c>
      <c r="F402" s="2" t="s">
        <v>15</v>
      </c>
      <c r="G402" s="2">
        <v>7.8</v>
      </c>
    </row>
    <row r="403" spans="1:7" x14ac:dyDescent="0.25">
      <c r="A403" t="s">
        <v>3</v>
      </c>
      <c r="B403">
        <v>401</v>
      </c>
      <c r="C403">
        <v>0</v>
      </c>
      <c r="D403" s="3">
        <v>30.909076690673828</v>
      </c>
      <c r="E403" s="3" t="s">
        <v>10</v>
      </c>
      <c r="F403" s="3" t="s">
        <v>14</v>
      </c>
      <c r="G403" s="3">
        <v>7.5</v>
      </c>
    </row>
    <row r="404" spans="1:7" x14ac:dyDescent="0.25">
      <c r="A404" t="s">
        <v>3</v>
      </c>
      <c r="B404">
        <v>402</v>
      </c>
      <c r="C404">
        <v>100</v>
      </c>
      <c r="D404" s="2">
        <v>32.205632448196411</v>
      </c>
      <c r="E404" s="2" t="s">
        <v>10</v>
      </c>
      <c r="F404" s="2" t="s">
        <v>15</v>
      </c>
      <c r="G404" s="2">
        <v>5</v>
      </c>
    </row>
    <row r="405" spans="1:7" x14ac:dyDescent="0.25">
      <c r="A405" t="s">
        <v>3</v>
      </c>
      <c r="B405">
        <v>403</v>
      </c>
      <c r="C405">
        <v>100</v>
      </c>
      <c r="D405" s="3">
        <v>29.565286874771118</v>
      </c>
      <c r="E405" s="3" t="s">
        <v>10</v>
      </c>
      <c r="F405" s="3" t="s">
        <v>15</v>
      </c>
      <c r="G405" s="3">
        <v>7.8</v>
      </c>
    </row>
    <row r="406" spans="1:7" x14ac:dyDescent="0.25">
      <c r="A406" t="s">
        <v>3</v>
      </c>
      <c r="B406">
        <v>404</v>
      </c>
      <c r="C406">
        <v>100</v>
      </c>
      <c r="D406" s="2">
        <v>24.33134937286377</v>
      </c>
      <c r="E406" s="2" t="s">
        <v>10</v>
      </c>
      <c r="F406" s="2" t="s">
        <v>14</v>
      </c>
      <c r="G406" s="2">
        <v>6.8</v>
      </c>
    </row>
    <row r="407" spans="1:7" x14ac:dyDescent="0.25">
      <c r="A407" t="s">
        <v>3</v>
      </c>
      <c r="B407">
        <v>405</v>
      </c>
      <c r="C407">
        <v>100</v>
      </c>
      <c r="D407" s="3">
        <v>40.464934587478638</v>
      </c>
      <c r="E407" s="3" t="s">
        <v>10</v>
      </c>
      <c r="F407" s="3" t="s">
        <v>14</v>
      </c>
      <c r="G407" s="3">
        <v>6.8</v>
      </c>
    </row>
    <row r="408" spans="1:7" x14ac:dyDescent="0.25">
      <c r="A408" t="s">
        <v>3</v>
      </c>
      <c r="B408">
        <v>406</v>
      </c>
      <c r="C408">
        <v>100</v>
      </c>
      <c r="D408" s="2">
        <v>25.13407826423645</v>
      </c>
      <c r="E408" s="2" t="s">
        <v>10</v>
      </c>
      <c r="F408" s="2" t="s">
        <v>15</v>
      </c>
      <c r="G408" s="2">
        <v>7.5</v>
      </c>
    </row>
    <row r="409" spans="1:7" x14ac:dyDescent="0.25">
      <c r="A409" t="s">
        <v>3</v>
      </c>
      <c r="B409">
        <v>407</v>
      </c>
      <c r="C409">
        <v>100</v>
      </c>
      <c r="D409" s="3">
        <v>29.303780317306519</v>
      </c>
      <c r="E409" s="3" t="s">
        <v>10</v>
      </c>
      <c r="F409" s="3" t="s">
        <v>15</v>
      </c>
      <c r="G409" s="3">
        <v>7.5</v>
      </c>
    </row>
    <row r="410" spans="1:7" x14ac:dyDescent="0.25">
      <c r="A410" t="s">
        <v>3</v>
      </c>
      <c r="B410">
        <v>408</v>
      </c>
      <c r="C410">
        <v>20</v>
      </c>
      <c r="D410" s="2">
        <v>29.459182500839233</v>
      </c>
      <c r="E410" s="2" t="s">
        <v>10</v>
      </c>
      <c r="F410" s="2" t="s">
        <v>15</v>
      </c>
      <c r="G410" s="2">
        <v>7.5</v>
      </c>
    </row>
    <row r="411" spans="1:7" x14ac:dyDescent="0.25">
      <c r="A411" t="s">
        <v>3</v>
      </c>
      <c r="B411">
        <v>409</v>
      </c>
      <c r="C411">
        <v>100</v>
      </c>
      <c r="D411" s="3">
        <v>21.614120721817017</v>
      </c>
      <c r="E411" s="3" t="s">
        <v>10</v>
      </c>
      <c r="F411" s="3" t="s">
        <v>15</v>
      </c>
      <c r="G411" s="3">
        <v>7.5</v>
      </c>
    </row>
    <row r="412" spans="1:7" x14ac:dyDescent="0.25">
      <c r="A412" t="s">
        <v>3</v>
      </c>
      <c r="B412">
        <v>410</v>
      </c>
      <c r="C412">
        <v>100</v>
      </c>
      <c r="D412" s="2">
        <v>38.56262993812561</v>
      </c>
      <c r="E412" s="2" t="s">
        <v>10</v>
      </c>
      <c r="F412" s="2" t="s">
        <v>15</v>
      </c>
      <c r="G412" s="2">
        <v>7.5</v>
      </c>
    </row>
    <row r="413" spans="1:7" x14ac:dyDescent="0.25">
      <c r="A413" t="s">
        <v>3</v>
      </c>
      <c r="B413">
        <v>411</v>
      </c>
      <c r="C413">
        <v>6</v>
      </c>
      <c r="D413" s="3">
        <v>30.460749864578247</v>
      </c>
      <c r="E413" s="3" t="s">
        <v>10</v>
      </c>
      <c r="F413" s="3" t="s">
        <v>15</v>
      </c>
      <c r="G413" s="3">
        <v>7.5</v>
      </c>
    </row>
    <row r="414" spans="1:7" x14ac:dyDescent="0.25">
      <c r="A414" t="s">
        <v>3</v>
      </c>
      <c r="B414">
        <v>412</v>
      </c>
      <c r="C414">
        <v>0</v>
      </c>
      <c r="D414" s="2">
        <v>17.452422618865967</v>
      </c>
      <c r="E414" s="2" t="s">
        <v>10</v>
      </c>
      <c r="F414" s="2" t="s">
        <v>15</v>
      </c>
      <c r="G414" s="2">
        <v>7.5</v>
      </c>
    </row>
    <row r="415" spans="1:7" x14ac:dyDescent="0.25">
      <c r="A415" t="s">
        <v>3</v>
      </c>
      <c r="B415">
        <v>413</v>
      </c>
      <c r="C415">
        <v>100</v>
      </c>
      <c r="D415" s="3">
        <v>20.485161542892456</v>
      </c>
      <c r="E415" s="3" t="s">
        <v>10</v>
      </c>
      <c r="F415" s="3" t="s">
        <v>15</v>
      </c>
      <c r="G415" s="3">
        <v>7.5</v>
      </c>
    </row>
    <row r="416" spans="1:7" x14ac:dyDescent="0.25">
      <c r="A416" t="s">
        <v>3</v>
      </c>
      <c r="B416">
        <v>414</v>
      </c>
      <c r="C416">
        <v>100</v>
      </c>
      <c r="D416" s="2">
        <v>13.24644923210144</v>
      </c>
      <c r="E416" s="2" t="s">
        <v>10</v>
      </c>
      <c r="F416" s="2" t="s">
        <v>15</v>
      </c>
      <c r="G416" s="2">
        <v>7.5</v>
      </c>
    </row>
    <row r="417" spans="1:7" x14ac:dyDescent="0.25">
      <c r="A417" t="s">
        <v>3</v>
      </c>
      <c r="B417">
        <v>415</v>
      </c>
      <c r="C417">
        <v>100</v>
      </c>
      <c r="D417" s="3">
        <v>32.796196699142456</v>
      </c>
      <c r="E417" s="3" t="s">
        <v>10</v>
      </c>
      <c r="F417" s="3" t="s">
        <v>15</v>
      </c>
      <c r="G417" s="3">
        <v>7.5</v>
      </c>
    </row>
    <row r="418" spans="1:7" x14ac:dyDescent="0.25">
      <c r="A418" t="s">
        <v>3</v>
      </c>
      <c r="B418">
        <v>416</v>
      </c>
      <c r="C418">
        <v>100</v>
      </c>
      <c r="D418" s="2">
        <v>29.601809740066528</v>
      </c>
      <c r="E418" s="2" t="s">
        <v>10</v>
      </c>
      <c r="F418" s="2" t="s">
        <v>15</v>
      </c>
      <c r="G418" s="2">
        <v>7.5</v>
      </c>
    </row>
    <row r="419" spans="1:7" x14ac:dyDescent="0.25">
      <c r="A419" t="s">
        <v>3</v>
      </c>
      <c r="B419">
        <v>417</v>
      </c>
      <c r="C419">
        <v>100</v>
      </c>
      <c r="D419" s="3">
        <v>34.492650508880615</v>
      </c>
      <c r="E419" s="3" t="s">
        <v>10</v>
      </c>
      <c r="F419" s="3" t="s">
        <v>15</v>
      </c>
      <c r="G419" s="3">
        <v>7.5</v>
      </c>
    </row>
    <row r="420" spans="1:7" x14ac:dyDescent="0.25">
      <c r="A420" t="s">
        <v>3</v>
      </c>
      <c r="B420">
        <v>418</v>
      </c>
      <c r="C420">
        <v>100</v>
      </c>
      <c r="D420" s="2">
        <v>27.036346912384033</v>
      </c>
      <c r="E420" s="2" t="s">
        <v>10</v>
      </c>
      <c r="F420" s="2" t="s">
        <v>14</v>
      </c>
      <c r="G420" s="2">
        <v>6.8</v>
      </c>
    </row>
    <row r="421" spans="1:7" x14ac:dyDescent="0.25">
      <c r="A421" t="s">
        <v>3</v>
      </c>
      <c r="B421">
        <v>419</v>
      </c>
      <c r="C421">
        <v>100</v>
      </c>
      <c r="D421" s="3">
        <v>37.705240964889526</v>
      </c>
      <c r="E421" s="3" t="s">
        <v>10</v>
      </c>
      <c r="F421" s="3" t="s">
        <v>14</v>
      </c>
      <c r="G421" s="3">
        <v>6.8</v>
      </c>
    </row>
    <row r="422" spans="1:7" x14ac:dyDescent="0.25">
      <c r="A422" t="s">
        <v>3</v>
      </c>
      <c r="B422">
        <v>420</v>
      </c>
      <c r="C422">
        <v>0</v>
      </c>
      <c r="D422" s="2">
        <v>21.650006294250488</v>
      </c>
      <c r="E422" s="2" t="s">
        <v>10</v>
      </c>
      <c r="F422" s="2" t="s">
        <v>15</v>
      </c>
      <c r="G422" s="2">
        <v>5</v>
      </c>
    </row>
    <row r="423" spans="1:7" x14ac:dyDescent="0.25">
      <c r="A423" t="s">
        <v>3</v>
      </c>
      <c r="B423">
        <v>421</v>
      </c>
      <c r="C423">
        <v>100</v>
      </c>
      <c r="D423" s="3">
        <v>12.645959615707397</v>
      </c>
      <c r="E423" s="3" t="s">
        <v>10</v>
      </c>
      <c r="F423" s="3" t="s">
        <v>17</v>
      </c>
      <c r="G423" s="3">
        <v>5</v>
      </c>
    </row>
    <row r="424" spans="1:7" x14ac:dyDescent="0.25">
      <c r="A424" t="s">
        <v>3</v>
      </c>
      <c r="B424">
        <v>422</v>
      </c>
      <c r="C424">
        <v>100</v>
      </c>
      <c r="D424" s="2">
        <v>31.685266733169556</v>
      </c>
      <c r="E424" s="2" t="s">
        <v>10</v>
      </c>
      <c r="F424" s="2" t="s">
        <v>18</v>
      </c>
      <c r="G424" s="2">
        <v>6.8</v>
      </c>
    </row>
    <row r="425" spans="1:7" x14ac:dyDescent="0.25">
      <c r="A425" t="s">
        <v>3</v>
      </c>
      <c r="B425">
        <v>423</v>
      </c>
      <c r="C425">
        <v>70</v>
      </c>
      <c r="D425" s="3">
        <v>28.028810739517212</v>
      </c>
      <c r="E425" s="3" t="s">
        <v>10</v>
      </c>
      <c r="F425" s="3" t="s">
        <v>14</v>
      </c>
      <c r="G425" s="3">
        <v>2.1</v>
      </c>
    </row>
    <row r="426" spans="1:7" x14ac:dyDescent="0.25">
      <c r="A426" t="s">
        <v>3</v>
      </c>
      <c r="B426">
        <v>424</v>
      </c>
      <c r="C426">
        <v>100</v>
      </c>
      <c r="D426" s="2">
        <v>19.454715013504028</v>
      </c>
      <c r="E426" s="2" t="s">
        <v>10</v>
      </c>
      <c r="F426" s="2" t="s">
        <v>15</v>
      </c>
      <c r="G426" s="2">
        <v>4.9000000000000004</v>
      </c>
    </row>
    <row r="427" spans="1:7" x14ac:dyDescent="0.25">
      <c r="A427" t="s">
        <v>3</v>
      </c>
      <c r="B427">
        <v>425</v>
      </c>
      <c r="C427">
        <v>0</v>
      </c>
      <c r="D427" s="3">
        <v>30.569265127182007</v>
      </c>
      <c r="E427" s="3" t="s">
        <v>10</v>
      </c>
      <c r="F427" s="3" t="s">
        <v>14</v>
      </c>
      <c r="G427" s="3">
        <v>5</v>
      </c>
    </row>
    <row r="428" spans="1:7" x14ac:dyDescent="0.25">
      <c r="A428" t="s">
        <v>3</v>
      </c>
      <c r="B428">
        <v>426</v>
      </c>
      <c r="C428">
        <v>100</v>
      </c>
      <c r="D428" s="2">
        <v>17.062378883361816</v>
      </c>
      <c r="E428" s="2" t="s">
        <v>10</v>
      </c>
      <c r="F428" s="2" t="s">
        <v>14</v>
      </c>
      <c r="G428" s="2">
        <v>5</v>
      </c>
    </row>
    <row r="429" spans="1:7" x14ac:dyDescent="0.25">
      <c r="A429" t="s">
        <v>3</v>
      </c>
      <c r="B429">
        <v>427</v>
      </c>
      <c r="C429">
        <v>100</v>
      </c>
      <c r="D429" s="3">
        <v>34.587953329086304</v>
      </c>
      <c r="E429" s="3" t="s">
        <v>10</v>
      </c>
      <c r="F429" s="3" t="s">
        <v>14</v>
      </c>
      <c r="G429" s="3">
        <v>5</v>
      </c>
    </row>
    <row r="430" spans="1:7" x14ac:dyDescent="0.25">
      <c r="A430" t="s">
        <v>3</v>
      </c>
      <c r="B430">
        <v>428</v>
      </c>
      <c r="C430">
        <v>0</v>
      </c>
      <c r="D430" s="2">
        <v>22.491222381591797</v>
      </c>
      <c r="E430" s="2" t="s">
        <v>19</v>
      </c>
      <c r="F430" s="2" t="s">
        <v>22</v>
      </c>
      <c r="G430" s="2">
        <v>6.8</v>
      </c>
    </row>
    <row r="431" spans="1:7" x14ac:dyDescent="0.25">
      <c r="A431" t="s">
        <v>3</v>
      </c>
      <c r="B431">
        <v>429</v>
      </c>
      <c r="C431">
        <v>0</v>
      </c>
      <c r="D431" s="3">
        <v>27.463781356811523</v>
      </c>
      <c r="E431" s="3" t="s">
        <v>19</v>
      </c>
      <c r="F431" s="3" t="s">
        <v>13</v>
      </c>
      <c r="G431" s="3">
        <v>4.3</v>
      </c>
    </row>
    <row r="432" spans="1:7" x14ac:dyDescent="0.25">
      <c r="A432" t="s">
        <v>3</v>
      </c>
      <c r="B432">
        <v>430</v>
      </c>
      <c r="C432">
        <v>100</v>
      </c>
      <c r="D432" s="2">
        <v>29.872946262359619</v>
      </c>
      <c r="E432" s="2" t="s">
        <v>19</v>
      </c>
      <c r="F432" s="2" t="s">
        <v>13</v>
      </c>
      <c r="G432" s="2">
        <v>4.3</v>
      </c>
    </row>
    <row r="433" spans="1:7" x14ac:dyDescent="0.25">
      <c r="A433" t="s">
        <v>3</v>
      </c>
      <c r="B433">
        <v>431</v>
      </c>
      <c r="C433">
        <v>100</v>
      </c>
      <c r="D433" s="3">
        <v>25.528170824050903</v>
      </c>
      <c r="E433" s="3" t="s">
        <v>19</v>
      </c>
      <c r="F433" s="3" t="s">
        <v>13</v>
      </c>
      <c r="G433" s="3">
        <v>4.3</v>
      </c>
    </row>
    <row r="434" spans="1:7" x14ac:dyDescent="0.25">
      <c r="A434" t="s">
        <v>3</v>
      </c>
      <c r="B434">
        <v>432</v>
      </c>
      <c r="C434">
        <v>70</v>
      </c>
      <c r="D434" s="2">
        <v>31.351146221160889</v>
      </c>
      <c r="E434" s="2" t="s">
        <v>19</v>
      </c>
      <c r="F434" s="2" t="s">
        <v>13</v>
      </c>
      <c r="G434" s="2">
        <v>4.3</v>
      </c>
    </row>
    <row r="435" spans="1:7" x14ac:dyDescent="0.25">
      <c r="A435" t="s">
        <v>3</v>
      </c>
      <c r="B435">
        <v>433</v>
      </c>
      <c r="C435">
        <v>0</v>
      </c>
      <c r="D435" s="3">
        <v>26.48540210723877</v>
      </c>
      <c r="E435" s="3" t="s">
        <v>10</v>
      </c>
      <c r="F435" s="3" t="s">
        <v>20</v>
      </c>
      <c r="G435" s="3">
        <v>6.8</v>
      </c>
    </row>
    <row r="436" spans="1:7" x14ac:dyDescent="0.25">
      <c r="A436" t="s">
        <v>3</v>
      </c>
      <c r="B436">
        <v>434</v>
      </c>
      <c r="C436">
        <v>100</v>
      </c>
      <c r="D436" s="2">
        <v>58.617577791213989</v>
      </c>
      <c r="E436" s="2" t="s">
        <v>10</v>
      </c>
      <c r="F436" s="2" t="s">
        <v>20</v>
      </c>
      <c r="G436" s="2">
        <v>6.8</v>
      </c>
    </row>
    <row r="437" spans="1:7" x14ac:dyDescent="0.25">
      <c r="A437" t="s">
        <v>3</v>
      </c>
      <c r="B437">
        <v>435</v>
      </c>
      <c r="C437">
        <v>100</v>
      </c>
      <c r="D437" s="3">
        <v>32.812174558639526</v>
      </c>
      <c r="E437" s="3" t="s">
        <v>10</v>
      </c>
      <c r="F437" s="3" t="s">
        <v>20</v>
      </c>
      <c r="G437" s="3">
        <v>6.8</v>
      </c>
    </row>
    <row r="438" spans="1:7" x14ac:dyDescent="0.25">
      <c r="A438" t="s">
        <v>3</v>
      </c>
      <c r="B438">
        <v>436</v>
      </c>
      <c r="C438">
        <v>100</v>
      </c>
      <c r="D438" s="2">
        <v>31.512124300003052</v>
      </c>
      <c r="E438" s="2" t="s">
        <v>10</v>
      </c>
      <c r="F438" s="2" t="s">
        <v>20</v>
      </c>
      <c r="G438" s="2">
        <v>6.8</v>
      </c>
    </row>
    <row r="439" spans="1:7" x14ac:dyDescent="0.25">
      <c r="A439" t="s">
        <v>3</v>
      </c>
      <c r="B439">
        <v>437</v>
      </c>
      <c r="C439">
        <v>100</v>
      </c>
      <c r="D439" s="3">
        <v>35.108760833740234</v>
      </c>
      <c r="E439" s="3" t="s">
        <v>10</v>
      </c>
      <c r="F439" s="3" t="s">
        <v>20</v>
      </c>
      <c r="G439" s="3">
        <v>6.8</v>
      </c>
    </row>
    <row r="440" spans="1:7" x14ac:dyDescent="0.25">
      <c r="A440" t="s">
        <v>3</v>
      </c>
      <c r="B440">
        <v>438</v>
      </c>
      <c r="C440">
        <v>100</v>
      </c>
      <c r="D440" s="2">
        <v>29.75407886505127</v>
      </c>
      <c r="E440" s="2" t="s">
        <v>10</v>
      </c>
      <c r="F440" s="2" t="s">
        <v>20</v>
      </c>
      <c r="G440" s="2">
        <v>5.0999999999999996</v>
      </c>
    </row>
    <row r="441" spans="1:7" x14ac:dyDescent="0.25">
      <c r="A441" t="s">
        <v>3</v>
      </c>
      <c r="B441">
        <v>439</v>
      </c>
      <c r="C441">
        <v>20</v>
      </c>
      <c r="D441" s="3">
        <v>28.540919065475464</v>
      </c>
      <c r="E441" s="3" t="s">
        <v>10</v>
      </c>
      <c r="F441" s="3" t="s">
        <v>20</v>
      </c>
      <c r="G441" s="3">
        <v>6.8</v>
      </c>
    </row>
    <row r="442" spans="1:7" x14ac:dyDescent="0.25">
      <c r="A442" t="s">
        <v>3</v>
      </c>
      <c r="B442">
        <v>440</v>
      </c>
      <c r="C442">
        <v>100</v>
      </c>
      <c r="D442" s="2">
        <v>28.281455278396606</v>
      </c>
      <c r="E442" s="2" t="s">
        <v>10</v>
      </c>
      <c r="F442" s="2" t="s">
        <v>20</v>
      </c>
      <c r="G442" s="2">
        <v>6.8</v>
      </c>
    </row>
    <row r="443" spans="1:7" x14ac:dyDescent="0.25">
      <c r="A443" t="s">
        <v>3</v>
      </c>
      <c r="B443">
        <v>441</v>
      </c>
      <c r="C443">
        <v>100</v>
      </c>
      <c r="D443" s="3">
        <v>28.161130666732788</v>
      </c>
      <c r="E443" s="3" t="s">
        <v>10</v>
      </c>
      <c r="F443" s="3" t="s">
        <v>20</v>
      </c>
      <c r="G443" s="3">
        <v>6.8</v>
      </c>
    </row>
    <row r="444" spans="1:7" x14ac:dyDescent="0.25">
      <c r="A444" t="s">
        <v>3</v>
      </c>
      <c r="B444">
        <v>442</v>
      </c>
      <c r="C444">
        <v>0</v>
      </c>
      <c r="D444" s="2">
        <v>30.778919219970703</v>
      </c>
      <c r="E444" s="2" t="s">
        <v>10</v>
      </c>
      <c r="F444" s="2" t="s">
        <v>20</v>
      </c>
      <c r="G444" s="2">
        <v>6.8</v>
      </c>
    </row>
    <row r="445" spans="1:7" x14ac:dyDescent="0.25">
      <c r="A445" t="s">
        <v>3</v>
      </c>
      <c r="B445">
        <v>443</v>
      </c>
      <c r="C445">
        <v>0</v>
      </c>
      <c r="D445" s="3">
        <v>26.896494626998901</v>
      </c>
      <c r="E445" s="3" t="s">
        <v>10</v>
      </c>
      <c r="F445" s="3" t="s">
        <v>34</v>
      </c>
      <c r="G445" s="3">
        <v>6.8</v>
      </c>
    </row>
    <row r="446" spans="1:7" x14ac:dyDescent="0.25">
      <c r="A446" t="s">
        <v>3</v>
      </c>
      <c r="B446">
        <v>444</v>
      </c>
      <c r="C446">
        <v>0</v>
      </c>
      <c r="D446" s="2">
        <v>11.737409353256226</v>
      </c>
      <c r="E446" s="2" t="s">
        <v>10</v>
      </c>
      <c r="F446" s="2" t="s">
        <v>18</v>
      </c>
      <c r="G446" s="2">
        <v>6.8</v>
      </c>
    </row>
    <row r="447" spans="1:7" x14ac:dyDescent="0.25">
      <c r="A447" t="s">
        <v>3</v>
      </c>
      <c r="B447">
        <v>445</v>
      </c>
      <c r="C447">
        <v>100</v>
      </c>
      <c r="D447" s="3">
        <v>15.716124534606934</v>
      </c>
      <c r="E447" s="3" t="s">
        <v>10</v>
      </c>
      <c r="F447" s="3" t="s">
        <v>13</v>
      </c>
      <c r="G447" s="3">
        <v>7.5</v>
      </c>
    </row>
    <row r="448" spans="1:7" x14ac:dyDescent="0.25">
      <c r="A448" t="s">
        <v>3</v>
      </c>
      <c r="B448">
        <v>446</v>
      </c>
      <c r="C448">
        <v>65</v>
      </c>
      <c r="D448" s="2">
        <v>27.443440914154053</v>
      </c>
      <c r="E448" s="2" t="s">
        <v>10</v>
      </c>
      <c r="F448" s="2" t="s">
        <v>13</v>
      </c>
      <c r="G448" s="2">
        <v>1.9</v>
      </c>
    </row>
    <row r="449" spans="1:7" x14ac:dyDescent="0.25">
      <c r="A449" t="s">
        <v>3</v>
      </c>
      <c r="B449">
        <v>447</v>
      </c>
      <c r="C449">
        <v>15</v>
      </c>
      <c r="D449" s="3">
        <v>22.475729465484619</v>
      </c>
      <c r="E449" s="3" t="s">
        <v>10</v>
      </c>
      <c r="F449" s="3" t="s">
        <v>13</v>
      </c>
      <c r="G449" s="3">
        <v>1.9</v>
      </c>
    </row>
    <row r="450" spans="1:7" x14ac:dyDescent="0.25">
      <c r="A450" t="s">
        <v>3</v>
      </c>
      <c r="B450">
        <v>448</v>
      </c>
      <c r="C450">
        <v>100</v>
      </c>
      <c r="D450" s="2">
        <v>27.856894254684448</v>
      </c>
      <c r="E450" s="2" t="s">
        <v>10</v>
      </c>
      <c r="F450" s="2" t="s">
        <v>18</v>
      </c>
      <c r="G450" s="2">
        <v>4.5999999999999996</v>
      </c>
    </row>
    <row r="451" spans="1:7" x14ac:dyDescent="0.25">
      <c r="A451" t="s">
        <v>3</v>
      </c>
      <c r="B451">
        <v>449</v>
      </c>
      <c r="C451">
        <v>100</v>
      </c>
      <c r="D451" s="3">
        <v>34.155472278594971</v>
      </c>
      <c r="E451" s="3" t="s">
        <v>10</v>
      </c>
      <c r="F451" s="3" t="s">
        <v>17</v>
      </c>
      <c r="G451" s="3">
        <v>2.1</v>
      </c>
    </row>
    <row r="452" spans="1:7" x14ac:dyDescent="0.25">
      <c r="A452" t="s">
        <v>3</v>
      </c>
      <c r="B452">
        <v>450</v>
      </c>
      <c r="C452">
        <v>10</v>
      </c>
      <c r="D452" s="2">
        <v>39.630610227584839</v>
      </c>
      <c r="E452" s="2" t="s">
        <v>10</v>
      </c>
      <c r="F452" s="2" t="s">
        <v>20</v>
      </c>
      <c r="G452" s="2">
        <v>4.5999999999999996</v>
      </c>
    </row>
    <row r="453" spans="1:7" x14ac:dyDescent="0.25">
      <c r="A453" t="s">
        <v>3</v>
      </c>
      <c r="B453">
        <v>451</v>
      </c>
      <c r="C453">
        <v>100</v>
      </c>
      <c r="D453" s="3">
        <v>18.190537452697754</v>
      </c>
      <c r="E453" s="3" t="s">
        <v>10</v>
      </c>
      <c r="F453" s="3" t="s">
        <v>13</v>
      </c>
      <c r="G453" s="3">
        <v>4.3</v>
      </c>
    </row>
    <row r="454" spans="1:7" x14ac:dyDescent="0.25">
      <c r="A454" t="s">
        <v>3</v>
      </c>
      <c r="B454">
        <v>452</v>
      </c>
      <c r="C454">
        <v>100</v>
      </c>
      <c r="D454" s="2">
        <v>22.761474609375</v>
      </c>
      <c r="E454" s="2" t="s">
        <v>10</v>
      </c>
      <c r="F454" s="2" t="s">
        <v>13</v>
      </c>
      <c r="G454" s="2">
        <v>4.3</v>
      </c>
    </row>
    <row r="455" spans="1:7" x14ac:dyDescent="0.25">
      <c r="A455" t="s">
        <v>3</v>
      </c>
      <c r="B455">
        <v>453</v>
      </c>
      <c r="C455">
        <v>0</v>
      </c>
      <c r="D455" s="3">
        <v>23.098913669586182</v>
      </c>
      <c r="E455" s="3" t="s">
        <v>10</v>
      </c>
      <c r="F455" s="3" t="s">
        <v>15</v>
      </c>
      <c r="G455" s="3">
        <v>4.9000000000000004</v>
      </c>
    </row>
    <row r="456" spans="1:7" x14ac:dyDescent="0.25">
      <c r="A456" t="s">
        <v>3</v>
      </c>
      <c r="B456">
        <v>454</v>
      </c>
      <c r="C456">
        <v>70</v>
      </c>
      <c r="D456" s="2">
        <v>10.84566330909729</v>
      </c>
      <c r="E456" s="2" t="s">
        <v>10</v>
      </c>
      <c r="F456" s="2" t="s">
        <v>20</v>
      </c>
      <c r="G456" s="2">
        <v>7.5</v>
      </c>
    </row>
    <row r="457" spans="1:7" x14ac:dyDescent="0.25">
      <c r="A457" t="s">
        <v>3</v>
      </c>
      <c r="B457">
        <v>455</v>
      </c>
      <c r="C457">
        <v>100</v>
      </c>
      <c r="D457" s="3">
        <v>23.920422554016113</v>
      </c>
      <c r="E457" s="3" t="s">
        <v>10</v>
      </c>
      <c r="F457" s="3" t="s">
        <v>35</v>
      </c>
      <c r="G457" s="3">
        <v>4.5999999999999996</v>
      </c>
    </row>
    <row r="458" spans="1:7" x14ac:dyDescent="0.25">
      <c r="A458" t="s">
        <v>3</v>
      </c>
      <c r="B458">
        <v>456</v>
      </c>
      <c r="C458">
        <v>40</v>
      </c>
      <c r="D458" s="2">
        <v>12.05354380607605</v>
      </c>
      <c r="E458" s="2" t="s">
        <v>10</v>
      </c>
      <c r="F458" s="2" t="s">
        <v>15</v>
      </c>
      <c r="G458" s="2">
        <v>5</v>
      </c>
    </row>
    <row r="459" spans="1:7" x14ac:dyDescent="0.25">
      <c r="A459" t="s">
        <v>3</v>
      </c>
      <c r="B459">
        <v>457</v>
      </c>
      <c r="C459">
        <v>100</v>
      </c>
      <c r="D459" s="3">
        <v>15.861514806747437</v>
      </c>
      <c r="E459" s="3" t="s">
        <v>10</v>
      </c>
      <c r="F459" s="3" t="s">
        <v>13</v>
      </c>
      <c r="G459" s="3">
        <v>4.3</v>
      </c>
    </row>
    <row r="460" spans="1:7" x14ac:dyDescent="0.25">
      <c r="A460" t="s">
        <v>3</v>
      </c>
      <c r="B460">
        <v>458</v>
      </c>
      <c r="C460">
        <v>30</v>
      </c>
      <c r="D460" s="2">
        <v>32.461874961853027</v>
      </c>
      <c r="E460" s="2" t="s">
        <v>10</v>
      </c>
      <c r="F460" s="2" t="s">
        <v>15</v>
      </c>
      <c r="G460" s="2">
        <v>4.3</v>
      </c>
    </row>
    <row r="461" spans="1:7" x14ac:dyDescent="0.25">
      <c r="A461" t="s">
        <v>3</v>
      </c>
      <c r="B461">
        <v>459</v>
      </c>
      <c r="C461">
        <v>100</v>
      </c>
      <c r="D461" s="3">
        <v>22.713133096694946</v>
      </c>
      <c r="E461" s="3" t="s">
        <v>10</v>
      </c>
      <c r="F461" s="3" t="s">
        <v>15</v>
      </c>
      <c r="G461" s="3">
        <v>4.3</v>
      </c>
    </row>
    <row r="462" spans="1:7" x14ac:dyDescent="0.25">
      <c r="A462" t="s">
        <v>3</v>
      </c>
      <c r="B462">
        <v>460</v>
      </c>
      <c r="C462">
        <v>0</v>
      </c>
      <c r="D462" s="2">
        <v>14.770476341247559</v>
      </c>
      <c r="E462" s="2" t="s">
        <v>19</v>
      </c>
      <c r="F462" s="2" t="s">
        <v>22</v>
      </c>
      <c r="G462" s="2">
        <v>7.2</v>
      </c>
    </row>
    <row r="463" spans="1:7" x14ac:dyDescent="0.25">
      <c r="A463" t="s">
        <v>3</v>
      </c>
      <c r="B463">
        <v>461</v>
      </c>
      <c r="C463">
        <v>100</v>
      </c>
      <c r="D463" s="3">
        <v>26.070960998535156</v>
      </c>
      <c r="E463" s="3" t="s">
        <v>19</v>
      </c>
      <c r="F463" s="3" t="s">
        <v>17</v>
      </c>
      <c r="G463" s="3">
        <v>5</v>
      </c>
    </row>
    <row r="464" spans="1:7" x14ac:dyDescent="0.25">
      <c r="A464" t="s">
        <v>3</v>
      </c>
      <c r="B464">
        <v>462</v>
      </c>
      <c r="C464">
        <v>100</v>
      </c>
      <c r="D464" s="2">
        <v>36.186482667922974</v>
      </c>
      <c r="E464" s="2" t="s">
        <v>19</v>
      </c>
      <c r="F464" s="2" t="s">
        <v>17</v>
      </c>
      <c r="G464" s="2">
        <v>5</v>
      </c>
    </row>
    <row r="465" spans="1:7" x14ac:dyDescent="0.25">
      <c r="A465" t="s">
        <v>3</v>
      </c>
      <c r="B465">
        <v>463</v>
      </c>
      <c r="C465">
        <v>100</v>
      </c>
      <c r="D465" s="3">
        <v>27.154449224472046</v>
      </c>
      <c r="E465" s="3" t="s">
        <v>10</v>
      </c>
      <c r="F465" s="3" t="s">
        <v>13</v>
      </c>
      <c r="G465" s="3">
        <v>4.3</v>
      </c>
    </row>
    <row r="466" spans="1:7" x14ac:dyDescent="0.25">
      <c r="A466" t="s">
        <v>3</v>
      </c>
      <c r="B466">
        <v>464</v>
      </c>
      <c r="C466">
        <v>100</v>
      </c>
      <c r="D466" s="2">
        <v>30.356716632843018</v>
      </c>
      <c r="E466" s="2" t="s">
        <v>10</v>
      </c>
      <c r="F466" s="2" t="s">
        <v>13</v>
      </c>
      <c r="G466" s="2">
        <v>4.3</v>
      </c>
    </row>
    <row r="467" spans="1:7" x14ac:dyDescent="0.25">
      <c r="A467" t="s">
        <v>3</v>
      </c>
      <c r="B467">
        <v>465</v>
      </c>
      <c r="C467">
        <v>40</v>
      </c>
      <c r="D467" s="3">
        <v>30.505668640136719</v>
      </c>
      <c r="E467" s="3" t="s">
        <v>10</v>
      </c>
      <c r="F467" s="3" t="s">
        <v>15</v>
      </c>
      <c r="G467" s="3">
        <v>5</v>
      </c>
    </row>
    <row r="468" spans="1:7" x14ac:dyDescent="0.25">
      <c r="A468" t="s">
        <v>3</v>
      </c>
      <c r="B468">
        <v>466</v>
      </c>
      <c r="C468">
        <v>100</v>
      </c>
      <c r="D468" s="2">
        <v>22.486540079116821</v>
      </c>
      <c r="E468" s="2" t="s">
        <v>10</v>
      </c>
      <c r="F468" s="2" t="s">
        <v>15</v>
      </c>
      <c r="G468" s="2">
        <v>5</v>
      </c>
    </row>
    <row r="469" spans="1:7" x14ac:dyDescent="0.25">
      <c r="A469" t="s">
        <v>3</v>
      </c>
      <c r="B469">
        <v>467</v>
      </c>
      <c r="C469">
        <v>100</v>
      </c>
      <c r="D469" s="3">
        <v>13.285834550857544</v>
      </c>
      <c r="E469" s="3" t="s">
        <v>10</v>
      </c>
      <c r="F469" s="3" t="s">
        <v>14</v>
      </c>
      <c r="G469" s="3">
        <v>7.5</v>
      </c>
    </row>
    <row r="470" spans="1:7" x14ac:dyDescent="0.25">
      <c r="A470" t="s">
        <v>3</v>
      </c>
      <c r="B470">
        <v>468</v>
      </c>
      <c r="C470">
        <v>0</v>
      </c>
      <c r="D470" s="2">
        <v>14.758409976959229</v>
      </c>
      <c r="E470" s="2" t="s">
        <v>10</v>
      </c>
      <c r="F470" s="2" t="s">
        <v>14</v>
      </c>
      <c r="G470" s="2">
        <v>7.5</v>
      </c>
    </row>
    <row r="471" spans="1:7" x14ac:dyDescent="0.25">
      <c r="A471" t="s">
        <v>3</v>
      </c>
      <c r="B471">
        <v>469</v>
      </c>
      <c r="C471">
        <v>100</v>
      </c>
      <c r="D471" s="3">
        <v>27.604096412658691</v>
      </c>
      <c r="E471" s="3" t="s">
        <v>10</v>
      </c>
      <c r="F471" s="3" t="s">
        <v>14</v>
      </c>
      <c r="G471" s="3">
        <v>7.5</v>
      </c>
    </row>
    <row r="472" spans="1:7" x14ac:dyDescent="0.25">
      <c r="A472" t="s">
        <v>3</v>
      </c>
      <c r="B472">
        <v>470</v>
      </c>
      <c r="C472">
        <v>0</v>
      </c>
      <c r="D472" s="2">
        <v>24.552602052688599</v>
      </c>
      <c r="E472" s="2" t="s">
        <v>10</v>
      </c>
      <c r="F472" s="2" t="s">
        <v>15</v>
      </c>
      <c r="G472" s="2">
        <v>7.5</v>
      </c>
    </row>
    <row r="473" spans="1:7" x14ac:dyDescent="0.25">
      <c r="A473" t="s">
        <v>3</v>
      </c>
      <c r="B473">
        <v>471</v>
      </c>
      <c r="C473">
        <v>70</v>
      </c>
      <c r="D473" s="3">
        <v>19.520825862884521</v>
      </c>
      <c r="E473" s="3" t="s">
        <v>10</v>
      </c>
      <c r="F473" s="3" t="s">
        <v>14</v>
      </c>
      <c r="G473" s="3">
        <v>7.5</v>
      </c>
    </row>
    <row r="474" spans="1:7" x14ac:dyDescent="0.25">
      <c r="A474" t="s">
        <v>3</v>
      </c>
      <c r="B474">
        <v>472</v>
      </c>
      <c r="C474">
        <v>100</v>
      </c>
      <c r="D474" s="2">
        <v>26.481759786605835</v>
      </c>
      <c r="E474" s="2" t="s">
        <v>10</v>
      </c>
      <c r="F474" s="2" t="s">
        <v>14</v>
      </c>
      <c r="G474" s="2">
        <v>7.5</v>
      </c>
    </row>
    <row r="475" spans="1:7" x14ac:dyDescent="0.25">
      <c r="A475" t="s">
        <v>3</v>
      </c>
      <c r="B475">
        <v>473</v>
      </c>
      <c r="C475">
        <v>100</v>
      </c>
      <c r="D475" s="3">
        <v>24.989702939987183</v>
      </c>
      <c r="E475" s="3" t="s">
        <v>10</v>
      </c>
      <c r="F475" s="3" t="s">
        <v>14</v>
      </c>
      <c r="G475" s="3">
        <v>7.5</v>
      </c>
    </row>
    <row r="476" spans="1:7" x14ac:dyDescent="0.25">
      <c r="A476" t="s">
        <v>3</v>
      </c>
      <c r="B476">
        <v>474</v>
      </c>
      <c r="C476">
        <v>100</v>
      </c>
      <c r="D476" s="2">
        <v>29.961684465408325</v>
      </c>
      <c r="E476" s="2" t="s">
        <v>10</v>
      </c>
      <c r="F476" s="2" t="s">
        <v>14</v>
      </c>
      <c r="G476" s="2">
        <v>7.5</v>
      </c>
    </row>
    <row r="477" spans="1:7" x14ac:dyDescent="0.25">
      <c r="A477" t="s">
        <v>3</v>
      </c>
      <c r="B477">
        <v>475</v>
      </c>
      <c r="C477">
        <v>100</v>
      </c>
      <c r="D477" s="3">
        <v>31.345253467559814</v>
      </c>
      <c r="E477" s="3" t="s">
        <v>10</v>
      </c>
      <c r="F477" s="3" t="s">
        <v>14</v>
      </c>
      <c r="G477" s="3">
        <v>7.5</v>
      </c>
    </row>
    <row r="478" spans="1:7" x14ac:dyDescent="0.25">
      <c r="A478" t="s">
        <v>3</v>
      </c>
      <c r="B478">
        <v>476</v>
      </c>
      <c r="C478">
        <v>100</v>
      </c>
      <c r="D478" s="2">
        <v>31.998450517654419</v>
      </c>
      <c r="E478" s="2" t="s">
        <v>10</v>
      </c>
      <c r="F478" s="2" t="s">
        <v>14</v>
      </c>
      <c r="G478" s="2">
        <v>7.5</v>
      </c>
    </row>
    <row r="479" spans="1:7" x14ac:dyDescent="0.25">
      <c r="A479" t="s">
        <v>3</v>
      </c>
      <c r="B479">
        <v>477</v>
      </c>
      <c r="C479">
        <v>100</v>
      </c>
      <c r="D479" s="3">
        <v>29.698323249816895</v>
      </c>
      <c r="E479" s="3" t="s">
        <v>10</v>
      </c>
      <c r="F479" s="3" t="s">
        <v>14</v>
      </c>
      <c r="G479" s="3">
        <v>7.5</v>
      </c>
    </row>
    <row r="480" spans="1:7" x14ac:dyDescent="0.25">
      <c r="A480" t="s">
        <v>3</v>
      </c>
      <c r="B480">
        <v>478</v>
      </c>
      <c r="C480">
        <v>100</v>
      </c>
      <c r="D480" s="2">
        <v>36.783860683441162</v>
      </c>
      <c r="E480" s="2" t="s">
        <v>10</v>
      </c>
      <c r="F480" s="2" t="s">
        <v>14</v>
      </c>
      <c r="G480" s="2">
        <v>7.5</v>
      </c>
    </row>
    <row r="481" spans="1:7" x14ac:dyDescent="0.25">
      <c r="A481" t="s">
        <v>3</v>
      </c>
      <c r="B481">
        <v>479</v>
      </c>
      <c r="C481">
        <v>70</v>
      </c>
      <c r="D481" s="3">
        <v>25.631236791610718</v>
      </c>
      <c r="E481" s="3" t="s">
        <v>10</v>
      </c>
      <c r="F481" s="3" t="s">
        <v>14</v>
      </c>
      <c r="G481" s="3">
        <v>7.5</v>
      </c>
    </row>
    <row r="482" spans="1:7" x14ac:dyDescent="0.25">
      <c r="A482" t="s">
        <v>3</v>
      </c>
      <c r="B482">
        <v>480</v>
      </c>
      <c r="C482">
        <v>100</v>
      </c>
      <c r="D482" s="2">
        <v>24.311212778091431</v>
      </c>
      <c r="E482" s="2" t="s">
        <v>10</v>
      </c>
      <c r="F482" s="2" t="s">
        <v>14</v>
      </c>
      <c r="G482" s="2">
        <v>7.5</v>
      </c>
    </row>
    <row r="483" spans="1:7" x14ac:dyDescent="0.25">
      <c r="A483" t="s">
        <v>3</v>
      </c>
      <c r="B483">
        <v>481</v>
      </c>
      <c r="C483">
        <v>100</v>
      </c>
      <c r="D483" s="3">
        <v>29.395999670028687</v>
      </c>
      <c r="E483" s="3" t="s">
        <v>10</v>
      </c>
      <c r="F483" s="3" t="s">
        <v>14</v>
      </c>
      <c r="G483" s="3">
        <v>7.5</v>
      </c>
    </row>
    <row r="484" spans="1:7" x14ac:dyDescent="0.25">
      <c r="A484" t="s">
        <v>3</v>
      </c>
      <c r="B484">
        <v>482</v>
      </c>
      <c r="C484">
        <v>100</v>
      </c>
      <c r="D484" s="2">
        <v>33.658721923828125</v>
      </c>
      <c r="E484" s="2" t="s">
        <v>10</v>
      </c>
      <c r="F484" s="2" t="s">
        <v>14</v>
      </c>
      <c r="G484" s="2">
        <v>7.5</v>
      </c>
    </row>
    <row r="485" spans="1:7" x14ac:dyDescent="0.25">
      <c r="A485" t="s">
        <v>3</v>
      </c>
      <c r="B485">
        <v>483</v>
      </c>
      <c r="C485">
        <v>100</v>
      </c>
      <c r="D485" s="3">
        <v>27.4992835521698</v>
      </c>
      <c r="E485" s="3" t="s">
        <v>10</v>
      </c>
      <c r="F485" s="3" t="s">
        <v>14</v>
      </c>
      <c r="G485" s="3">
        <v>7.5</v>
      </c>
    </row>
    <row r="486" spans="1:7" x14ac:dyDescent="0.25">
      <c r="A486" t="s">
        <v>3</v>
      </c>
      <c r="B486">
        <v>484</v>
      </c>
      <c r="C486">
        <v>70</v>
      </c>
      <c r="D486" s="2">
        <v>20.705949068069458</v>
      </c>
      <c r="E486" s="2" t="s">
        <v>10</v>
      </c>
      <c r="F486" s="2" t="s">
        <v>13</v>
      </c>
      <c r="G486" s="2">
        <v>4.3</v>
      </c>
    </row>
    <row r="487" spans="1:7" x14ac:dyDescent="0.25">
      <c r="A487" t="s">
        <v>3</v>
      </c>
      <c r="B487">
        <v>485</v>
      </c>
      <c r="C487">
        <v>100</v>
      </c>
      <c r="D487" s="3">
        <v>26.784770250320435</v>
      </c>
      <c r="E487" s="3" t="s">
        <v>10</v>
      </c>
      <c r="F487" s="3" t="s">
        <v>14</v>
      </c>
      <c r="G487" s="3">
        <v>5</v>
      </c>
    </row>
    <row r="488" spans="1:7" x14ac:dyDescent="0.25">
      <c r="A488" t="s">
        <v>3</v>
      </c>
      <c r="B488">
        <v>486</v>
      </c>
      <c r="C488">
        <v>100</v>
      </c>
      <c r="D488" s="2">
        <v>29.838724851608276</v>
      </c>
      <c r="E488" s="2" t="s">
        <v>10</v>
      </c>
      <c r="F488" s="2" t="s">
        <v>14</v>
      </c>
      <c r="G488" s="2">
        <v>5</v>
      </c>
    </row>
    <row r="489" spans="1:7" x14ac:dyDescent="0.25">
      <c r="A489" t="s">
        <v>3</v>
      </c>
      <c r="B489">
        <v>487</v>
      </c>
      <c r="C489">
        <v>65</v>
      </c>
      <c r="D489" s="3">
        <v>20.436174154281616</v>
      </c>
      <c r="E489" s="3" t="s">
        <v>10</v>
      </c>
      <c r="F489" s="3" t="s">
        <v>14</v>
      </c>
      <c r="G489" s="3">
        <v>5</v>
      </c>
    </row>
    <row r="490" spans="1:7" x14ac:dyDescent="0.25">
      <c r="A490" t="s">
        <v>3</v>
      </c>
      <c r="B490">
        <v>488</v>
      </c>
      <c r="C490">
        <v>100</v>
      </c>
      <c r="D490" s="2">
        <v>12.322366237640381</v>
      </c>
      <c r="E490" s="2" t="s">
        <v>10</v>
      </c>
      <c r="F490" s="2" t="s">
        <v>14</v>
      </c>
      <c r="G490" s="2">
        <v>5</v>
      </c>
    </row>
    <row r="491" spans="1:7" x14ac:dyDescent="0.25">
      <c r="A491" t="s">
        <v>3</v>
      </c>
      <c r="B491">
        <v>489</v>
      </c>
      <c r="C491">
        <v>100</v>
      </c>
      <c r="D491" s="3">
        <v>26.101085662841797</v>
      </c>
      <c r="E491" s="3" t="s">
        <v>10</v>
      </c>
      <c r="F491" s="3" t="s">
        <v>15</v>
      </c>
      <c r="G491" s="3">
        <v>5</v>
      </c>
    </row>
    <row r="492" spans="1:7" x14ac:dyDescent="0.25">
      <c r="A492" t="s">
        <v>3</v>
      </c>
      <c r="B492">
        <v>490</v>
      </c>
      <c r="C492">
        <v>0</v>
      </c>
      <c r="D492" s="2">
        <v>32.158297777175903</v>
      </c>
      <c r="E492" s="2" t="s">
        <v>10</v>
      </c>
      <c r="F492" s="2" t="s">
        <v>14</v>
      </c>
      <c r="G492" s="2">
        <v>5</v>
      </c>
    </row>
    <row r="493" spans="1:7" x14ac:dyDescent="0.25">
      <c r="A493" t="s">
        <v>3</v>
      </c>
      <c r="B493">
        <v>491</v>
      </c>
      <c r="C493">
        <v>15</v>
      </c>
      <c r="D493" s="3">
        <v>39.772146463394165</v>
      </c>
      <c r="E493" s="3" t="s">
        <v>10</v>
      </c>
      <c r="F493" s="3" t="s">
        <v>15</v>
      </c>
      <c r="G493" s="3">
        <v>5</v>
      </c>
    </row>
    <row r="494" spans="1:7" x14ac:dyDescent="0.25">
      <c r="A494" t="s">
        <v>3</v>
      </c>
      <c r="B494">
        <v>492</v>
      </c>
      <c r="C494">
        <v>100</v>
      </c>
      <c r="D494" s="2">
        <v>33.046019315719604</v>
      </c>
      <c r="E494" s="2" t="s">
        <v>10</v>
      </c>
      <c r="F494" s="2" t="s">
        <v>22</v>
      </c>
      <c r="G494" s="2">
        <v>7.5</v>
      </c>
    </row>
    <row r="495" spans="1:7" x14ac:dyDescent="0.25">
      <c r="A495" t="s">
        <v>3</v>
      </c>
      <c r="B495">
        <v>493</v>
      </c>
      <c r="C495">
        <v>100</v>
      </c>
      <c r="D495" s="3">
        <v>23.144423246383667</v>
      </c>
      <c r="E495" s="3" t="s">
        <v>10</v>
      </c>
      <c r="F495" s="3" t="s">
        <v>22</v>
      </c>
      <c r="G495" s="3">
        <v>7.5</v>
      </c>
    </row>
    <row r="496" spans="1:7" x14ac:dyDescent="0.25">
      <c r="A496" t="s">
        <v>3</v>
      </c>
      <c r="B496">
        <v>494</v>
      </c>
      <c r="C496">
        <v>100</v>
      </c>
      <c r="D496" s="2">
        <v>18.34388542175293</v>
      </c>
      <c r="E496" s="2" t="s">
        <v>10</v>
      </c>
      <c r="F496" s="2" t="s">
        <v>22</v>
      </c>
      <c r="G496" s="2">
        <v>7.5</v>
      </c>
    </row>
    <row r="497" spans="1:7" x14ac:dyDescent="0.25">
      <c r="A497" t="s">
        <v>3</v>
      </c>
      <c r="B497">
        <v>495</v>
      </c>
      <c r="C497">
        <v>100</v>
      </c>
      <c r="D497" s="3">
        <v>18.514151811599731</v>
      </c>
      <c r="E497" s="3" t="s">
        <v>10</v>
      </c>
      <c r="F497" s="3" t="s">
        <v>22</v>
      </c>
      <c r="G497" s="3">
        <v>7.5</v>
      </c>
    </row>
    <row r="498" spans="1:7" x14ac:dyDescent="0.25">
      <c r="A498" t="s">
        <v>3</v>
      </c>
      <c r="B498">
        <v>496</v>
      </c>
      <c r="C498">
        <v>100</v>
      </c>
      <c r="D498" s="2">
        <v>26.964101552963257</v>
      </c>
      <c r="E498" s="2" t="s">
        <v>10</v>
      </c>
      <c r="F498" s="2" t="s">
        <v>22</v>
      </c>
      <c r="G498" s="2">
        <v>7.5</v>
      </c>
    </row>
    <row r="499" spans="1:7" x14ac:dyDescent="0.25">
      <c r="A499" t="s">
        <v>3</v>
      </c>
      <c r="B499">
        <v>497</v>
      </c>
      <c r="C499">
        <v>0</v>
      </c>
      <c r="D499" s="3">
        <v>32.099747180938721</v>
      </c>
      <c r="E499" s="3" t="s">
        <v>10</v>
      </c>
      <c r="F499" s="3" t="s">
        <v>22</v>
      </c>
      <c r="G499" s="3">
        <v>7.5</v>
      </c>
    </row>
    <row r="500" spans="1:7" x14ac:dyDescent="0.25">
      <c r="A500" t="s">
        <v>3</v>
      </c>
      <c r="B500">
        <v>498</v>
      </c>
      <c r="C500">
        <v>100</v>
      </c>
      <c r="D500" s="2">
        <v>32.669939279556274</v>
      </c>
      <c r="E500" s="2" t="s">
        <v>10</v>
      </c>
      <c r="F500" s="2" t="s">
        <v>22</v>
      </c>
      <c r="G500" s="2">
        <v>7.5</v>
      </c>
    </row>
    <row r="501" spans="1:7" x14ac:dyDescent="0.25">
      <c r="A501" t="s">
        <v>3</v>
      </c>
      <c r="B501">
        <v>499</v>
      </c>
      <c r="C501">
        <v>100</v>
      </c>
      <c r="D501" s="3">
        <v>29.126936197280884</v>
      </c>
      <c r="E501" s="3" t="s">
        <v>10</v>
      </c>
      <c r="F501" s="3" t="s">
        <v>22</v>
      </c>
      <c r="G501" s="3">
        <v>7.5</v>
      </c>
    </row>
    <row r="502" spans="1:7" x14ac:dyDescent="0.25">
      <c r="A502" t="s">
        <v>3</v>
      </c>
      <c r="B502">
        <v>500</v>
      </c>
      <c r="C502">
        <v>100</v>
      </c>
      <c r="D502" s="2">
        <v>29.864137887954712</v>
      </c>
      <c r="E502" s="2" t="s">
        <v>10</v>
      </c>
      <c r="F502" s="2" t="s">
        <v>22</v>
      </c>
      <c r="G502" s="2">
        <v>7.5</v>
      </c>
    </row>
    <row r="503" spans="1:7" x14ac:dyDescent="0.25">
      <c r="A503" t="s">
        <v>3</v>
      </c>
      <c r="B503">
        <v>501</v>
      </c>
      <c r="C503">
        <v>100</v>
      </c>
      <c r="D503" s="3">
        <v>32.794890880584717</v>
      </c>
      <c r="E503" s="3" t="s">
        <v>10</v>
      </c>
      <c r="F503" s="3" t="s">
        <v>22</v>
      </c>
      <c r="G503" s="3">
        <v>7.5</v>
      </c>
    </row>
    <row r="504" spans="1:7" x14ac:dyDescent="0.25">
      <c r="A504" t="s">
        <v>3</v>
      </c>
      <c r="B504">
        <v>502</v>
      </c>
      <c r="C504">
        <v>100</v>
      </c>
      <c r="D504" s="2">
        <v>29.344761371612549</v>
      </c>
      <c r="E504" s="2" t="s">
        <v>10</v>
      </c>
      <c r="F504" s="2" t="s">
        <v>22</v>
      </c>
      <c r="G504" s="2">
        <v>7.5</v>
      </c>
    </row>
    <row r="505" spans="1:7" x14ac:dyDescent="0.25">
      <c r="A505" t="s">
        <v>3</v>
      </c>
      <c r="B505">
        <v>503</v>
      </c>
      <c r="C505">
        <v>0</v>
      </c>
      <c r="D505" s="3">
        <v>28.400270223617554</v>
      </c>
      <c r="E505" s="3" t="s">
        <v>10</v>
      </c>
      <c r="F505" s="3" t="s">
        <v>22</v>
      </c>
      <c r="G505" s="3">
        <v>7.5</v>
      </c>
    </row>
    <row r="506" spans="1:7" x14ac:dyDescent="0.25">
      <c r="A506" t="s">
        <v>3</v>
      </c>
      <c r="B506">
        <v>504</v>
      </c>
      <c r="C506">
        <v>100</v>
      </c>
      <c r="D506" s="2">
        <v>59.883882284164429</v>
      </c>
      <c r="E506" s="2" t="s">
        <v>10</v>
      </c>
      <c r="F506" s="2" t="s">
        <v>22</v>
      </c>
      <c r="G506" s="2">
        <v>7.5</v>
      </c>
    </row>
    <row r="507" spans="1:7" x14ac:dyDescent="0.25">
      <c r="A507" t="s">
        <v>3</v>
      </c>
      <c r="B507">
        <v>505</v>
      </c>
      <c r="C507">
        <v>100</v>
      </c>
      <c r="D507" s="3">
        <v>19.719385147094727</v>
      </c>
      <c r="E507" s="3" t="s">
        <v>10</v>
      </c>
      <c r="F507" s="3" t="s">
        <v>22</v>
      </c>
      <c r="G507" s="3">
        <v>7.5</v>
      </c>
    </row>
    <row r="508" spans="1:7" x14ac:dyDescent="0.25">
      <c r="A508" t="s">
        <v>3</v>
      </c>
      <c r="B508">
        <v>506</v>
      </c>
      <c r="C508">
        <v>0</v>
      </c>
      <c r="D508" s="2">
        <v>23.824279308319092</v>
      </c>
      <c r="E508" s="2" t="s">
        <v>10</v>
      </c>
      <c r="F508" s="2" t="s">
        <v>22</v>
      </c>
      <c r="G508" s="2">
        <v>7.5</v>
      </c>
    </row>
    <row r="509" spans="1:7" x14ac:dyDescent="0.25">
      <c r="A509" t="s">
        <v>3</v>
      </c>
      <c r="B509">
        <v>507</v>
      </c>
      <c r="C509">
        <v>100</v>
      </c>
      <c r="D509" s="3">
        <v>25.023462057113647</v>
      </c>
      <c r="E509" s="3" t="s">
        <v>10</v>
      </c>
      <c r="F509" s="3" t="s">
        <v>22</v>
      </c>
      <c r="G509" s="3">
        <v>7.5</v>
      </c>
    </row>
    <row r="510" spans="1:7" x14ac:dyDescent="0.25">
      <c r="A510" t="s">
        <v>3</v>
      </c>
      <c r="B510">
        <v>508</v>
      </c>
      <c r="C510">
        <v>100</v>
      </c>
      <c r="D510" s="2">
        <v>31.620716333389282</v>
      </c>
      <c r="E510" s="2" t="s">
        <v>10</v>
      </c>
      <c r="F510" s="2" t="s">
        <v>22</v>
      </c>
      <c r="G510" s="2">
        <v>7.5</v>
      </c>
    </row>
    <row r="511" spans="1:7" x14ac:dyDescent="0.25">
      <c r="A511" t="s">
        <v>3</v>
      </c>
      <c r="B511">
        <v>509</v>
      </c>
      <c r="C511">
        <v>100</v>
      </c>
      <c r="D511" s="3">
        <v>31.497885942459106</v>
      </c>
      <c r="E511" s="3" t="s">
        <v>10</v>
      </c>
      <c r="F511" s="3" t="s">
        <v>22</v>
      </c>
      <c r="G511" s="3">
        <v>7.5</v>
      </c>
    </row>
    <row r="512" spans="1:7" x14ac:dyDescent="0.25">
      <c r="A512" t="s">
        <v>3</v>
      </c>
      <c r="B512">
        <v>510</v>
      </c>
      <c r="C512">
        <v>100</v>
      </c>
      <c r="D512" s="2">
        <v>29.139994144439697</v>
      </c>
      <c r="E512" s="2" t="s">
        <v>10</v>
      </c>
      <c r="F512" s="2" t="s">
        <v>22</v>
      </c>
      <c r="G512" s="2">
        <v>7.5</v>
      </c>
    </row>
    <row r="513" spans="1:7" x14ac:dyDescent="0.25">
      <c r="A513" t="s">
        <v>3</v>
      </c>
      <c r="B513">
        <v>511</v>
      </c>
      <c r="C513">
        <v>100</v>
      </c>
      <c r="D513" s="3">
        <v>27.593404293060303</v>
      </c>
      <c r="E513" s="3" t="s">
        <v>10</v>
      </c>
      <c r="F513" s="3" t="s">
        <v>15</v>
      </c>
      <c r="G513" s="3">
        <v>4.9000000000000004</v>
      </c>
    </row>
    <row r="514" spans="1:7" x14ac:dyDescent="0.25">
      <c r="A514" t="s">
        <v>3</v>
      </c>
      <c r="B514">
        <v>512</v>
      </c>
      <c r="C514">
        <v>10</v>
      </c>
      <c r="D514" s="2">
        <v>38.250445604324341</v>
      </c>
      <c r="E514" s="2" t="s">
        <v>10</v>
      </c>
      <c r="F514" s="2" t="s">
        <v>17</v>
      </c>
      <c r="G514" s="2">
        <v>2.1</v>
      </c>
    </row>
    <row r="515" spans="1:7" x14ac:dyDescent="0.25">
      <c r="A515" t="s">
        <v>3</v>
      </c>
      <c r="B515">
        <v>513</v>
      </c>
      <c r="C515">
        <v>60</v>
      </c>
      <c r="D515" s="3">
        <v>31.575368165969849</v>
      </c>
      <c r="E515" s="3" t="s">
        <v>10</v>
      </c>
      <c r="F515" s="3" t="s">
        <v>15</v>
      </c>
      <c r="G515" s="3">
        <v>4.3</v>
      </c>
    </row>
    <row r="516" spans="1:7" x14ac:dyDescent="0.25">
      <c r="A516" t="s">
        <v>3</v>
      </c>
      <c r="B516">
        <v>514</v>
      </c>
      <c r="C516">
        <v>100</v>
      </c>
      <c r="D516" s="2">
        <v>34.292754650115967</v>
      </c>
      <c r="E516" s="2" t="s">
        <v>10</v>
      </c>
      <c r="F516" s="2" t="s">
        <v>14</v>
      </c>
      <c r="G516" s="2">
        <v>4.3</v>
      </c>
    </row>
    <row r="517" spans="1:7" x14ac:dyDescent="0.25">
      <c r="A517" t="s">
        <v>3</v>
      </c>
      <c r="B517">
        <v>515</v>
      </c>
      <c r="C517">
        <v>100</v>
      </c>
      <c r="D517" s="3">
        <v>34.612148284912109</v>
      </c>
      <c r="E517" s="3" t="s">
        <v>10</v>
      </c>
      <c r="F517" s="3" t="s">
        <v>12</v>
      </c>
      <c r="G517" s="3">
        <v>6.4</v>
      </c>
    </row>
    <row r="518" spans="1:7" x14ac:dyDescent="0.25">
      <c r="A518" t="s">
        <v>3</v>
      </c>
      <c r="B518">
        <v>516</v>
      </c>
      <c r="C518">
        <v>100</v>
      </c>
      <c r="D518" s="2">
        <v>32.961499929428101</v>
      </c>
      <c r="E518" s="2" t="s">
        <v>10</v>
      </c>
      <c r="F518" s="2" t="s">
        <v>14</v>
      </c>
      <c r="G518" s="2">
        <v>5</v>
      </c>
    </row>
    <row r="519" spans="1:7" x14ac:dyDescent="0.25">
      <c r="A519" t="s">
        <v>3</v>
      </c>
      <c r="B519">
        <v>517</v>
      </c>
      <c r="C519">
        <v>100</v>
      </c>
      <c r="D519" s="3">
        <v>32.980205535888672</v>
      </c>
      <c r="E519" s="3" t="s">
        <v>10</v>
      </c>
      <c r="F519" s="3" t="s">
        <v>30</v>
      </c>
      <c r="G519" s="3">
        <v>5</v>
      </c>
    </row>
    <row r="520" spans="1:7" x14ac:dyDescent="0.25">
      <c r="A520" t="s">
        <v>3</v>
      </c>
      <c r="B520">
        <v>518</v>
      </c>
      <c r="C520">
        <v>100</v>
      </c>
      <c r="D520" s="2">
        <v>14.204775094985962</v>
      </c>
      <c r="E520" s="2" t="s">
        <v>10</v>
      </c>
      <c r="F520" s="2" t="s">
        <v>36</v>
      </c>
      <c r="G520" s="2">
        <v>3.6</v>
      </c>
    </row>
    <row r="521" spans="1:7" x14ac:dyDescent="0.25">
      <c r="A521" t="s">
        <v>3</v>
      </c>
      <c r="B521">
        <v>519</v>
      </c>
      <c r="C521">
        <v>100</v>
      </c>
      <c r="D521" s="3">
        <v>18.137937784194946</v>
      </c>
      <c r="E521" s="3" t="s">
        <v>10</v>
      </c>
      <c r="F521" s="3" t="s">
        <v>36</v>
      </c>
      <c r="G521" s="3">
        <v>3.6</v>
      </c>
    </row>
    <row r="522" spans="1:7" x14ac:dyDescent="0.25">
      <c r="A522" t="s">
        <v>3</v>
      </c>
      <c r="B522">
        <v>520</v>
      </c>
      <c r="C522">
        <v>100</v>
      </c>
      <c r="D522" s="2">
        <v>14.564175844192505</v>
      </c>
      <c r="E522" s="2" t="s">
        <v>10</v>
      </c>
      <c r="F522" s="2" t="s">
        <v>36</v>
      </c>
      <c r="G522" s="2">
        <v>3.6</v>
      </c>
    </row>
    <row r="523" spans="1:7" x14ac:dyDescent="0.25">
      <c r="A523" t="s">
        <v>3</v>
      </c>
      <c r="B523">
        <v>521</v>
      </c>
      <c r="C523">
        <v>100</v>
      </c>
      <c r="D523" s="3">
        <v>24.532822847366333</v>
      </c>
      <c r="E523" s="3" t="s">
        <v>10</v>
      </c>
      <c r="F523" s="3" t="s">
        <v>36</v>
      </c>
      <c r="G523" s="3">
        <v>3.6</v>
      </c>
    </row>
    <row r="524" spans="1:7" x14ac:dyDescent="0.25">
      <c r="A524" t="s">
        <v>3</v>
      </c>
      <c r="B524">
        <v>522</v>
      </c>
      <c r="C524">
        <v>100</v>
      </c>
      <c r="D524" s="2">
        <v>20.333293914794922</v>
      </c>
      <c r="E524" s="2" t="s">
        <v>10</v>
      </c>
      <c r="F524" s="2" t="s">
        <v>36</v>
      </c>
      <c r="G524" s="2">
        <v>3.6</v>
      </c>
    </row>
    <row r="525" spans="1:7" x14ac:dyDescent="0.25">
      <c r="A525" t="s">
        <v>3</v>
      </c>
      <c r="B525">
        <v>523</v>
      </c>
      <c r="C525">
        <v>100</v>
      </c>
      <c r="D525" s="3">
        <v>18.700533866882324</v>
      </c>
      <c r="E525" s="3" t="s">
        <v>10</v>
      </c>
      <c r="F525" s="3" t="s">
        <v>36</v>
      </c>
      <c r="G525" s="3">
        <v>3.6</v>
      </c>
    </row>
    <row r="526" spans="1:7" x14ac:dyDescent="0.25">
      <c r="A526" t="s">
        <v>3</v>
      </c>
      <c r="B526">
        <v>524</v>
      </c>
      <c r="C526">
        <v>100</v>
      </c>
      <c r="D526" s="2">
        <v>14.399691581726074</v>
      </c>
      <c r="E526" s="2" t="s">
        <v>10</v>
      </c>
      <c r="F526" s="2" t="s">
        <v>36</v>
      </c>
      <c r="G526" s="2">
        <v>3.6</v>
      </c>
    </row>
    <row r="527" spans="1:7" x14ac:dyDescent="0.25">
      <c r="A527" t="s">
        <v>3</v>
      </c>
      <c r="B527">
        <v>525</v>
      </c>
      <c r="C527">
        <v>100</v>
      </c>
      <c r="D527" s="3">
        <v>16.161028861999512</v>
      </c>
      <c r="E527" s="3" t="s">
        <v>10</v>
      </c>
      <c r="F527" s="3" t="s">
        <v>36</v>
      </c>
      <c r="G527" s="3">
        <v>3.6</v>
      </c>
    </row>
    <row r="528" spans="1:7" x14ac:dyDescent="0.25">
      <c r="A528" t="s">
        <v>3</v>
      </c>
      <c r="B528">
        <v>526</v>
      </c>
      <c r="C528">
        <v>100</v>
      </c>
      <c r="D528" s="2">
        <v>33.314438343048096</v>
      </c>
      <c r="E528" s="2" t="s">
        <v>10</v>
      </c>
      <c r="F528" s="2" t="s">
        <v>36</v>
      </c>
      <c r="G528" s="2">
        <v>3.6</v>
      </c>
    </row>
    <row r="529" spans="1:7" x14ac:dyDescent="0.25">
      <c r="A529" t="s">
        <v>3</v>
      </c>
      <c r="B529">
        <v>527</v>
      </c>
      <c r="C529">
        <v>100</v>
      </c>
      <c r="D529" s="3">
        <v>25.001622200012207</v>
      </c>
      <c r="E529" s="3" t="s">
        <v>10</v>
      </c>
      <c r="F529" s="3" t="s">
        <v>36</v>
      </c>
      <c r="G529" s="3">
        <v>3.6</v>
      </c>
    </row>
    <row r="530" spans="1:7" x14ac:dyDescent="0.25">
      <c r="A530" t="s">
        <v>3</v>
      </c>
      <c r="B530">
        <v>528</v>
      </c>
      <c r="C530">
        <v>100</v>
      </c>
      <c r="D530" s="2">
        <v>12.080590009689331</v>
      </c>
      <c r="E530" s="2" t="s">
        <v>10</v>
      </c>
      <c r="F530" s="2" t="s">
        <v>36</v>
      </c>
      <c r="G530" s="2">
        <v>3.6</v>
      </c>
    </row>
    <row r="531" spans="1:7" x14ac:dyDescent="0.25">
      <c r="A531" t="s">
        <v>3</v>
      </c>
      <c r="B531">
        <v>529</v>
      </c>
      <c r="C531">
        <v>100</v>
      </c>
      <c r="D531" s="3">
        <v>15.001868009567261</v>
      </c>
      <c r="E531" s="3" t="s">
        <v>10</v>
      </c>
      <c r="F531" s="3" t="s">
        <v>36</v>
      </c>
      <c r="G531" s="3">
        <v>3.6</v>
      </c>
    </row>
    <row r="532" spans="1:7" x14ac:dyDescent="0.25">
      <c r="A532" t="s">
        <v>3</v>
      </c>
      <c r="B532">
        <v>530</v>
      </c>
      <c r="C532">
        <v>100</v>
      </c>
      <c r="D532" s="2">
        <v>15.418647050857544</v>
      </c>
      <c r="E532" s="2" t="s">
        <v>10</v>
      </c>
      <c r="F532" s="2" t="s">
        <v>36</v>
      </c>
      <c r="G532" s="2">
        <v>3.6</v>
      </c>
    </row>
    <row r="533" spans="1:7" x14ac:dyDescent="0.25">
      <c r="A533" t="s">
        <v>3</v>
      </c>
      <c r="B533">
        <v>531</v>
      </c>
      <c r="C533">
        <v>100</v>
      </c>
      <c r="D533" s="3">
        <v>19.314971208572388</v>
      </c>
      <c r="E533" s="3" t="s">
        <v>10</v>
      </c>
      <c r="F533" s="3" t="s">
        <v>36</v>
      </c>
      <c r="G533" s="3">
        <v>3.6</v>
      </c>
    </row>
    <row r="534" spans="1:7" x14ac:dyDescent="0.25">
      <c r="A534" t="s">
        <v>3</v>
      </c>
      <c r="B534">
        <v>532</v>
      </c>
      <c r="C534">
        <v>100</v>
      </c>
      <c r="D534" s="2">
        <v>22.912482738494873</v>
      </c>
      <c r="E534" s="2" t="s">
        <v>10</v>
      </c>
      <c r="F534" s="2" t="s">
        <v>36</v>
      </c>
      <c r="G534" s="2">
        <v>3.6</v>
      </c>
    </row>
    <row r="535" spans="1:7" x14ac:dyDescent="0.25">
      <c r="A535" t="s">
        <v>3</v>
      </c>
      <c r="B535">
        <v>533</v>
      </c>
      <c r="C535">
        <v>100</v>
      </c>
      <c r="D535" s="3">
        <v>18.18791675567627</v>
      </c>
      <c r="E535" s="3" t="s">
        <v>10</v>
      </c>
      <c r="F535" s="3" t="s">
        <v>36</v>
      </c>
      <c r="G535" s="3">
        <v>3.6</v>
      </c>
    </row>
    <row r="536" spans="1:7" x14ac:dyDescent="0.25">
      <c r="A536" t="s">
        <v>3</v>
      </c>
      <c r="B536">
        <v>534</v>
      </c>
      <c r="C536">
        <v>100</v>
      </c>
      <c r="D536" s="2">
        <v>14.591897487640381</v>
      </c>
      <c r="E536" s="2" t="s">
        <v>10</v>
      </c>
      <c r="F536" s="2" t="s">
        <v>36</v>
      </c>
      <c r="G536" s="2">
        <v>3.6</v>
      </c>
    </row>
    <row r="537" spans="1:7" x14ac:dyDescent="0.25">
      <c r="A537" t="s">
        <v>3</v>
      </c>
      <c r="B537">
        <v>535</v>
      </c>
      <c r="C537">
        <v>100</v>
      </c>
      <c r="D537" s="3">
        <v>18.416411876678467</v>
      </c>
      <c r="E537" s="3" t="s">
        <v>10</v>
      </c>
      <c r="F537" s="3" t="s">
        <v>36</v>
      </c>
      <c r="G537" s="3">
        <v>3.6</v>
      </c>
    </row>
    <row r="538" spans="1:7" x14ac:dyDescent="0.25">
      <c r="A538" t="s">
        <v>3</v>
      </c>
      <c r="B538">
        <v>536</v>
      </c>
      <c r="C538">
        <v>100</v>
      </c>
      <c r="D538" s="2">
        <v>20.161810874938965</v>
      </c>
      <c r="E538" s="2" t="s">
        <v>10</v>
      </c>
      <c r="F538" s="2" t="s">
        <v>36</v>
      </c>
      <c r="G538" s="2">
        <v>3.6</v>
      </c>
    </row>
    <row r="539" spans="1:7" x14ac:dyDescent="0.25">
      <c r="A539" t="s">
        <v>3</v>
      </c>
      <c r="B539">
        <v>537</v>
      </c>
      <c r="C539">
        <v>0</v>
      </c>
      <c r="D539" s="3">
        <v>21.656347990036011</v>
      </c>
      <c r="E539" s="3" t="s">
        <v>10</v>
      </c>
      <c r="F539" s="3" t="s">
        <v>36</v>
      </c>
      <c r="G539" s="3">
        <v>3.6</v>
      </c>
    </row>
    <row r="540" spans="1:7" x14ac:dyDescent="0.25">
      <c r="A540" t="s">
        <v>3</v>
      </c>
      <c r="B540">
        <v>538</v>
      </c>
      <c r="C540">
        <v>100</v>
      </c>
      <c r="D540" s="2">
        <v>23.517187118530273</v>
      </c>
      <c r="E540" s="2" t="s">
        <v>10</v>
      </c>
      <c r="F540" s="2" t="s">
        <v>36</v>
      </c>
      <c r="G540" s="2">
        <v>3.6</v>
      </c>
    </row>
    <row r="541" spans="1:7" x14ac:dyDescent="0.25">
      <c r="A541" t="s">
        <v>3</v>
      </c>
      <c r="B541">
        <v>539</v>
      </c>
      <c r="C541">
        <v>100</v>
      </c>
      <c r="D541" s="3">
        <v>15.124282598495483</v>
      </c>
      <c r="E541" s="3" t="s">
        <v>10</v>
      </c>
      <c r="F541" s="3" t="s">
        <v>36</v>
      </c>
      <c r="G541" s="3">
        <v>3.6</v>
      </c>
    </row>
    <row r="542" spans="1:7" x14ac:dyDescent="0.25">
      <c r="A542" t="s">
        <v>3</v>
      </c>
      <c r="B542">
        <v>540</v>
      </c>
      <c r="C542">
        <v>100</v>
      </c>
      <c r="D542" s="2">
        <v>22.484553337097168</v>
      </c>
      <c r="E542" s="2" t="s">
        <v>10</v>
      </c>
      <c r="F542" s="2" t="s">
        <v>36</v>
      </c>
      <c r="G542" s="2">
        <v>3.6</v>
      </c>
    </row>
    <row r="543" spans="1:7" x14ac:dyDescent="0.25">
      <c r="A543" t="s">
        <v>3</v>
      </c>
      <c r="B543">
        <v>541</v>
      </c>
      <c r="C543">
        <v>100</v>
      </c>
      <c r="D543" s="3">
        <v>17.5547194480896</v>
      </c>
      <c r="E543" s="3" t="s">
        <v>10</v>
      </c>
      <c r="F543" s="3" t="s">
        <v>36</v>
      </c>
      <c r="G543" s="3">
        <v>3.6</v>
      </c>
    </row>
    <row r="544" spans="1:7" x14ac:dyDescent="0.25">
      <c r="A544" t="s">
        <v>3</v>
      </c>
      <c r="B544">
        <v>542</v>
      </c>
      <c r="C544">
        <v>100</v>
      </c>
      <c r="D544" s="2">
        <v>21.857192754745483</v>
      </c>
      <c r="E544" s="2" t="s">
        <v>10</v>
      </c>
      <c r="F544" s="2" t="s">
        <v>36</v>
      </c>
      <c r="G544" s="2">
        <v>3.6</v>
      </c>
    </row>
    <row r="545" spans="1:7" x14ac:dyDescent="0.25">
      <c r="A545" t="s">
        <v>3</v>
      </c>
      <c r="B545">
        <v>543</v>
      </c>
      <c r="C545">
        <v>100</v>
      </c>
      <c r="D545" s="3">
        <v>21.008555889129639</v>
      </c>
      <c r="E545" s="3" t="s">
        <v>10</v>
      </c>
      <c r="F545" s="3" t="s">
        <v>36</v>
      </c>
      <c r="G545" s="3">
        <v>3.6</v>
      </c>
    </row>
    <row r="546" spans="1:7" x14ac:dyDescent="0.25">
      <c r="A546" t="s">
        <v>3</v>
      </c>
      <c r="B546">
        <v>544</v>
      </c>
      <c r="C546">
        <v>100</v>
      </c>
      <c r="D546" s="2">
        <v>13.992466926574707</v>
      </c>
      <c r="E546" s="2" t="s">
        <v>10</v>
      </c>
      <c r="F546" s="2" t="s">
        <v>36</v>
      </c>
      <c r="G546" s="2">
        <v>3.6</v>
      </c>
    </row>
    <row r="547" spans="1:7" x14ac:dyDescent="0.25">
      <c r="A547" t="s">
        <v>3</v>
      </c>
      <c r="B547">
        <v>545</v>
      </c>
      <c r="C547">
        <v>100</v>
      </c>
      <c r="D547" s="3">
        <v>10.249487400054932</v>
      </c>
      <c r="E547" s="3" t="s">
        <v>10</v>
      </c>
      <c r="F547" s="3" t="s">
        <v>36</v>
      </c>
      <c r="G547" s="3">
        <v>3.6</v>
      </c>
    </row>
    <row r="548" spans="1:7" x14ac:dyDescent="0.25">
      <c r="A548" t="s">
        <v>3</v>
      </c>
      <c r="B548">
        <v>546</v>
      </c>
      <c r="C548">
        <v>100</v>
      </c>
      <c r="D548" s="2">
        <v>22.573727369308472</v>
      </c>
      <c r="E548" s="2" t="s">
        <v>10</v>
      </c>
      <c r="F548" s="2" t="s">
        <v>36</v>
      </c>
      <c r="G548" s="2">
        <v>3.6</v>
      </c>
    </row>
    <row r="549" spans="1:7" x14ac:dyDescent="0.25">
      <c r="A549" t="s">
        <v>3</v>
      </c>
      <c r="B549">
        <v>547</v>
      </c>
      <c r="C549">
        <v>100</v>
      </c>
      <c r="D549" s="3">
        <v>20.444011926651001</v>
      </c>
      <c r="E549" s="3" t="s">
        <v>10</v>
      </c>
      <c r="F549" s="3" t="s">
        <v>36</v>
      </c>
      <c r="G549" s="3">
        <v>3.6</v>
      </c>
    </row>
    <row r="550" spans="1:7" x14ac:dyDescent="0.25">
      <c r="A550" t="s">
        <v>3</v>
      </c>
      <c r="B550">
        <v>548</v>
      </c>
      <c r="C550">
        <v>100</v>
      </c>
      <c r="D550" s="2">
        <v>21.17244815826416</v>
      </c>
      <c r="E550" s="2" t="s">
        <v>10</v>
      </c>
      <c r="F550" s="2" t="s">
        <v>36</v>
      </c>
      <c r="G550" s="2">
        <v>3.6</v>
      </c>
    </row>
    <row r="551" spans="1:7" x14ac:dyDescent="0.25">
      <c r="A551" t="s">
        <v>3</v>
      </c>
      <c r="B551">
        <v>549</v>
      </c>
      <c r="C551">
        <v>100</v>
      </c>
      <c r="D551" s="3">
        <v>19.490191459655762</v>
      </c>
      <c r="E551" s="3" t="s">
        <v>10</v>
      </c>
      <c r="F551" s="3" t="s">
        <v>36</v>
      </c>
      <c r="G551" s="3">
        <v>3.6</v>
      </c>
    </row>
    <row r="552" spans="1:7" x14ac:dyDescent="0.25">
      <c r="A552" t="s">
        <v>3</v>
      </c>
      <c r="B552">
        <v>550</v>
      </c>
      <c r="C552">
        <v>100</v>
      </c>
      <c r="D552" s="2">
        <v>20.13043475151062</v>
      </c>
      <c r="E552" s="2" t="s">
        <v>10</v>
      </c>
      <c r="F552" s="2" t="s">
        <v>36</v>
      </c>
      <c r="G552" s="2">
        <v>3.6</v>
      </c>
    </row>
    <row r="553" spans="1:7" x14ac:dyDescent="0.25">
      <c r="A553" t="s">
        <v>3</v>
      </c>
      <c r="B553">
        <v>551</v>
      </c>
      <c r="C553">
        <v>0</v>
      </c>
      <c r="D553" s="3">
        <v>24.35993504524231</v>
      </c>
      <c r="E553" s="3" t="s">
        <v>10</v>
      </c>
      <c r="F553" s="3" t="s">
        <v>36</v>
      </c>
      <c r="G553" s="3">
        <v>3.6</v>
      </c>
    </row>
    <row r="554" spans="1:7" x14ac:dyDescent="0.25">
      <c r="A554" t="s">
        <v>3</v>
      </c>
      <c r="B554">
        <v>552</v>
      </c>
      <c r="C554">
        <v>100</v>
      </c>
      <c r="D554" s="2">
        <v>29.905668258666992</v>
      </c>
      <c r="E554" s="2" t="s">
        <v>10</v>
      </c>
      <c r="F554" s="2" t="s">
        <v>36</v>
      </c>
      <c r="G554" s="2">
        <v>3.6</v>
      </c>
    </row>
    <row r="555" spans="1:7" x14ac:dyDescent="0.25">
      <c r="A555" t="s">
        <v>3</v>
      </c>
      <c r="B555">
        <v>553</v>
      </c>
      <c r="C555">
        <v>100</v>
      </c>
      <c r="D555" s="3">
        <v>18.004170179367065</v>
      </c>
      <c r="E555" s="3" t="s">
        <v>10</v>
      </c>
      <c r="F555" s="3" t="s">
        <v>36</v>
      </c>
      <c r="G555" s="3">
        <v>3.6</v>
      </c>
    </row>
    <row r="556" spans="1:7" x14ac:dyDescent="0.25">
      <c r="A556" t="s">
        <v>3</v>
      </c>
      <c r="B556">
        <v>554</v>
      </c>
      <c r="C556">
        <v>100</v>
      </c>
      <c r="D556" s="2">
        <v>24.403633594512939</v>
      </c>
      <c r="E556" s="2" t="s">
        <v>10</v>
      </c>
      <c r="F556" s="2" t="s">
        <v>36</v>
      </c>
      <c r="G556" s="2">
        <v>3.6</v>
      </c>
    </row>
    <row r="557" spans="1:7" x14ac:dyDescent="0.25">
      <c r="A557" t="s">
        <v>3</v>
      </c>
      <c r="B557">
        <v>555</v>
      </c>
      <c r="C557">
        <v>100</v>
      </c>
      <c r="D557" s="3">
        <v>29.792913675308228</v>
      </c>
      <c r="E557" s="3" t="s">
        <v>10</v>
      </c>
      <c r="F557" s="3" t="s">
        <v>36</v>
      </c>
      <c r="G557" s="3">
        <v>3.6</v>
      </c>
    </row>
    <row r="558" spans="1:7" x14ac:dyDescent="0.25">
      <c r="A558" t="s">
        <v>3</v>
      </c>
      <c r="B558">
        <v>556</v>
      </c>
      <c r="C558">
        <v>100</v>
      </c>
      <c r="D558" s="2">
        <v>18.38263988494873</v>
      </c>
      <c r="E558" s="2" t="s">
        <v>10</v>
      </c>
      <c r="F558" s="2" t="s">
        <v>36</v>
      </c>
      <c r="G558" s="2">
        <v>3.6</v>
      </c>
    </row>
    <row r="559" spans="1:7" x14ac:dyDescent="0.25">
      <c r="A559" t="s">
        <v>3</v>
      </c>
      <c r="B559">
        <v>557</v>
      </c>
      <c r="C559">
        <v>100</v>
      </c>
      <c r="D559" s="3">
        <v>19.841917514801025</v>
      </c>
      <c r="E559" s="3" t="s">
        <v>10</v>
      </c>
      <c r="F559" s="3" t="s">
        <v>36</v>
      </c>
      <c r="G559" s="3">
        <v>3.6</v>
      </c>
    </row>
    <row r="560" spans="1:7" x14ac:dyDescent="0.25">
      <c r="A560" t="s">
        <v>3</v>
      </c>
      <c r="B560">
        <v>558</v>
      </c>
      <c r="C560">
        <v>100</v>
      </c>
      <c r="D560" s="2">
        <v>18.418065071105957</v>
      </c>
      <c r="E560" s="2" t="s">
        <v>10</v>
      </c>
      <c r="F560" s="2" t="s">
        <v>36</v>
      </c>
      <c r="G560" s="2">
        <v>3.6</v>
      </c>
    </row>
    <row r="561" spans="1:7" x14ac:dyDescent="0.25">
      <c r="A561" t="s">
        <v>3</v>
      </c>
      <c r="B561">
        <v>559</v>
      </c>
      <c r="C561">
        <v>100</v>
      </c>
      <c r="D561" s="3">
        <v>15.821112155914307</v>
      </c>
      <c r="E561" s="3" t="s">
        <v>10</v>
      </c>
      <c r="F561" s="3" t="s">
        <v>36</v>
      </c>
      <c r="G561" s="3">
        <v>3.6</v>
      </c>
    </row>
    <row r="562" spans="1:7" x14ac:dyDescent="0.25">
      <c r="A562" t="s">
        <v>3</v>
      </c>
      <c r="B562">
        <v>560</v>
      </c>
      <c r="C562">
        <v>100</v>
      </c>
      <c r="D562" s="2">
        <v>15.888305425643921</v>
      </c>
      <c r="E562" s="2" t="s">
        <v>10</v>
      </c>
      <c r="F562" s="2" t="s">
        <v>36</v>
      </c>
      <c r="G562" s="2">
        <v>3.6</v>
      </c>
    </row>
    <row r="563" spans="1:7" x14ac:dyDescent="0.25">
      <c r="A563" t="s">
        <v>3</v>
      </c>
      <c r="B563">
        <v>561</v>
      </c>
      <c r="C563">
        <v>100</v>
      </c>
      <c r="D563" s="3">
        <v>26.288261890411377</v>
      </c>
      <c r="E563" s="3" t="s">
        <v>10</v>
      </c>
      <c r="F563" s="3" t="s">
        <v>36</v>
      </c>
      <c r="G563" s="3">
        <v>3.6</v>
      </c>
    </row>
    <row r="564" spans="1:7" x14ac:dyDescent="0.25">
      <c r="A564" t="s">
        <v>3</v>
      </c>
      <c r="B564">
        <v>562</v>
      </c>
      <c r="C564">
        <v>100</v>
      </c>
      <c r="D564" s="2">
        <v>19.858884334564209</v>
      </c>
      <c r="E564" s="2" t="s">
        <v>10</v>
      </c>
      <c r="F564" s="2" t="s">
        <v>36</v>
      </c>
      <c r="G564" s="2">
        <v>3.6</v>
      </c>
    </row>
    <row r="565" spans="1:7" x14ac:dyDescent="0.25">
      <c r="A565" t="s">
        <v>3</v>
      </c>
      <c r="B565">
        <v>563</v>
      </c>
      <c r="C565">
        <v>100</v>
      </c>
      <c r="D565" s="3">
        <v>18.799986600875854</v>
      </c>
      <c r="E565" s="3" t="s">
        <v>10</v>
      </c>
      <c r="F565" s="3" t="s">
        <v>36</v>
      </c>
      <c r="G565" s="3">
        <v>3.6</v>
      </c>
    </row>
    <row r="566" spans="1:7" x14ac:dyDescent="0.25">
      <c r="A566" t="s">
        <v>3</v>
      </c>
      <c r="B566">
        <v>564</v>
      </c>
      <c r="C566">
        <v>0</v>
      </c>
      <c r="D566" s="2">
        <v>29.968035697937012</v>
      </c>
      <c r="E566" s="2" t="s">
        <v>10</v>
      </c>
      <c r="F566" s="2" t="s">
        <v>34</v>
      </c>
      <c r="G566" s="2">
        <v>7.1</v>
      </c>
    </row>
    <row r="567" spans="1:7" x14ac:dyDescent="0.25">
      <c r="A567" t="s">
        <v>3</v>
      </c>
      <c r="B567">
        <v>565</v>
      </c>
      <c r="C567">
        <v>100</v>
      </c>
      <c r="D567" s="3">
        <v>13.528648376464844</v>
      </c>
      <c r="E567" s="3" t="s">
        <v>10</v>
      </c>
      <c r="F567" s="3" t="s">
        <v>34</v>
      </c>
      <c r="G567" s="3">
        <v>7.1</v>
      </c>
    </row>
    <row r="568" spans="1:7" x14ac:dyDescent="0.25">
      <c r="A568" t="s">
        <v>3</v>
      </c>
      <c r="B568">
        <v>566</v>
      </c>
      <c r="C568">
        <v>100</v>
      </c>
      <c r="D568" s="2">
        <v>29.455229759216309</v>
      </c>
      <c r="E568" s="2" t="s">
        <v>10</v>
      </c>
      <c r="F568" s="2" t="s">
        <v>34</v>
      </c>
      <c r="G568" s="2">
        <v>7.1</v>
      </c>
    </row>
    <row r="569" spans="1:7" x14ac:dyDescent="0.25">
      <c r="A569" t="s">
        <v>3</v>
      </c>
      <c r="B569">
        <v>567</v>
      </c>
      <c r="C569">
        <v>100</v>
      </c>
      <c r="D569" s="3">
        <v>12.657201290130615</v>
      </c>
      <c r="E569" s="3" t="s">
        <v>10</v>
      </c>
      <c r="F569" s="3" t="s">
        <v>34</v>
      </c>
      <c r="G569" s="3">
        <v>7.1</v>
      </c>
    </row>
    <row r="570" spans="1:7" x14ac:dyDescent="0.25">
      <c r="A570" t="s">
        <v>3</v>
      </c>
      <c r="B570">
        <v>568</v>
      </c>
      <c r="C570">
        <v>100</v>
      </c>
      <c r="D570" s="2">
        <v>24.56163215637207</v>
      </c>
      <c r="E570" s="2" t="s">
        <v>10</v>
      </c>
      <c r="F570" s="2" t="s">
        <v>17</v>
      </c>
      <c r="G570" s="2">
        <v>2.1</v>
      </c>
    </row>
    <row r="571" spans="1:7" x14ac:dyDescent="0.25">
      <c r="A571" t="s">
        <v>3</v>
      </c>
      <c r="B571">
        <v>569</v>
      </c>
      <c r="C571">
        <v>100</v>
      </c>
      <c r="D571" s="3">
        <v>27.33073878288269</v>
      </c>
      <c r="E571" s="3" t="s">
        <v>10</v>
      </c>
      <c r="F571" s="3" t="s">
        <v>17</v>
      </c>
      <c r="G571" s="3">
        <v>2.1</v>
      </c>
    </row>
    <row r="572" spans="1:7" x14ac:dyDescent="0.25">
      <c r="A572" t="s">
        <v>3</v>
      </c>
      <c r="B572">
        <v>570</v>
      </c>
      <c r="C572">
        <v>20</v>
      </c>
      <c r="D572" s="2">
        <v>18.390209436416626</v>
      </c>
      <c r="E572" s="2" t="s">
        <v>10</v>
      </c>
      <c r="F572" s="2" t="s">
        <v>11</v>
      </c>
      <c r="G572" s="2">
        <v>5</v>
      </c>
    </row>
    <row r="573" spans="1:7" x14ac:dyDescent="0.25">
      <c r="A573" t="s">
        <v>3</v>
      </c>
      <c r="B573">
        <v>571</v>
      </c>
      <c r="C573">
        <v>95</v>
      </c>
      <c r="D573" s="3">
        <v>20.78352952003479</v>
      </c>
      <c r="E573" s="3" t="s">
        <v>10</v>
      </c>
      <c r="F573" s="3" t="s">
        <v>15</v>
      </c>
      <c r="G573" s="3">
        <v>4.3</v>
      </c>
    </row>
    <row r="574" spans="1:7" x14ac:dyDescent="0.25">
      <c r="A574" t="s">
        <v>3</v>
      </c>
      <c r="B574">
        <v>572</v>
      </c>
      <c r="C574">
        <v>65</v>
      </c>
      <c r="D574" s="2">
        <v>23.880136489868164</v>
      </c>
      <c r="E574" s="2" t="s">
        <v>10</v>
      </c>
      <c r="F574" s="2" t="s">
        <v>15</v>
      </c>
      <c r="G574" s="2">
        <v>4.3</v>
      </c>
    </row>
    <row r="575" spans="1:7" x14ac:dyDescent="0.25">
      <c r="A575" t="s">
        <v>3</v>
      </c>
      <c r="B575">
        <v>573</v>
      </c>
      <c r="C575">
        <v>70</v>
      </c>
      <c r="D575" s="3">
        <v>15.840036869049072</v>
      </c>
      <c r="E575" s="3" t="s">
        <v>10</v>
      </c>
      <c r="F575" s="3" t="s">
        <v>13</v>
      </c>
      <c r="G575" s="3">
        <v>4.3</v>
      </c>
    </row>
    <row r="576" spans="1:7" x14ac:dyDescent="0.25">
      <c r="A576" t="s">
        <v>3</v>
      </c>
      <c r="B576">
        <v>574</v>
      </c>
      <c r="C576">
        <v>100</v>
      </c>
      <c r="D576" s="2">
        <v>19.746806383132935</v>
      </c>
      <c r="E576" s="2" t="s">
        <v>10</v>
      </c>
      <c r="F576" s="2" t="s">
        <v>13</v>
      </c>
      <c r="G576" s="2">
        <v>4.3</v>
      </c>
    </row>
    <row r="577" spans="1:7" x14ac:dyDescent="0.25">
      <c r="A577" t="s">
        <v>3</v>
      </c>
      <c r="B577">
        <v>575</v>
      </c>
      <c r="C577">
        <v>100</v>
      </c>
      <c r="D577" s="3">
        <v>12.670119762420654</v>
      </c>
      <c r="E577" s="3" t="s">
        <v>10</v>
      </c>
      <c r="F577" s="3" t="s">
        <v>17</v>
      </c>
      <c r="G577" s="3">
        <v>4.3</v>
      </c>
    </row>
    <row r="578" spans="1:7" x14ac:dyDescent="0.25">
      <c r="A578" t="s">
        <v>3</v>
      </c>
      <c r="B578">
        <v>576</v>
      </c>
      <c r="C578">
        <v>50</v>
      </c>
      <c r="D578" s="2">
        <v>13.33969783782959</v>
      </c>
      <c r="E578" s="2" t="s">
        <v>10</v>
      </c>
      <c r="F578" s="2" t="s">
        <v>17</v>
      </c>
      <c r="G578" s="2">
        <v>4.3</v>
      </c>
    </row>
    <row r="579" spans="1:7" x14ac:dyDescent="0.25">
      <c r="A579" t="s">
        <v>3</v>
      </c>
      <c r="B579">
        <v>577</v>
      </c>
      <c r="C579">
        <v>100</v>
      </c>
      <c r="D579" s="3">
        <v>23.653515815734863</v>
      </c>
      <c r="E579" s="3" t="s">
        <v>10</v>
      </c>
      <c r="F579" s="3" t="s">
        <v>17</v>
      </c>
      <c r="G579" s="3">
        <v>4.3</v>
      </c>
    </row>
    <row r="580" spans="1:7" x14ac:dyDescent="0.25">
      <c r="A580" t="s">
        <v>3</v>
      </c>
      <c r="B580">
        <v>578</v>
      </c>
      <c r="C580">
        <v>100</v>
      </c>
      <c r="D580" s="2">
        <v>14.711374759674072</v>
      </c>
      <c r="E580" s="2" t="s">
        <v>10</v>
      </c>
      <c r="F580" s="2" t="s">
        <v>13</v>
      </c>
      <c r="G580" s="2">
        <v>5</v>
      </c>
    </row>
    <row r="581" spans="1:7" x14ac:dyDescent="0.25">
      <c r="A581" t="s">
        <v>3</v>
      </c>
      <c r="B581">
        <v>579</v>
      </c>
      <c r="C581">
        <v>100</v>
      </c>
      <c r="D581" s="3">
        <v>16.776635408401489</v>
      </c>
      <c r="E581" s="3" t="s">
        <v>10</v>
      </c>
      <c r="F581" s="3" t="s">
        <v>13</v>
      </c>
      <c r="G581" s="3">
        <v>5</v>
      </c>
    </row>
    <row r="582" spans="1:7" x14ac:dyDescent="0.25">
      <c r="A582" t="s">
        <v>3</v>
      </c>
      <c r="B582">
        <v>580</v>
      </c>
      <c r="C582">
        <v>0</v>
      </c>
      <c r="D582" s="2">
        <v>31.226792097091675</v>
      </c>
      <c r="E582" s="2" t="s">
        <v>10</v>
      </c>
      <c r="F582" s="2" t="s">
        <v>13</v>
      </c>
      <c r="G582" s="2">
        <v>5</v>
      </c>
    </row>
    <row r="583" spans="1:7" x14ac:dyDescent="0.25">
      <c r="A583" t="s">
        <v>3</v>
      </c>
      <c r="B583">
        <v>581</v>
      </c>
      <c r="C583">
        <v>100</v>
      </c>
      <c r="D583" s="3">
        <v>31.407862663269043</v>
      </c>
      <c r="E583" s="3" t="s">
        <v>10</v>
      </c>
      <c r="F583" s="3" t="s">
        <v>15</v>
      </c>
      <c r="G583" s="3">
        <v>5</v>
      </c>
    </row>
    <row r="584" spans="1:7" x14ac:dyDescent="0.25">
      <c r="A584" t="s">
        <v>3</v>
      </c>
      <c r="B584">
        <v>582</v>
      </c>
      <c r="C584">
        <v>0</v>
      </c>
      <c r="D584" s="2">
        <v>28.281188488006592</v>
      </c>
      <c r="E584" s="2" t="s">
        <v>10</v>
      </c>
      <c r="F584" s="2" t="s">
        <v>15</v>
      </c>
      <c r="G584" s="2">
        <v>5</v>
      </c>
    </row>
    <row r="585" spans="1:7" x14ac:dyDescent="0.25">
      <c r="A585" t="s">
        <v>3</v>
      </c>
      <c r="B585">
        <v>583</v>
      </c>
      <c r="C585">
        <v>5</v>
      </c>
      <c r="D585" s="3">
        <v>21.842971324920654</v>
      </c>
      <c r="E585" s="3" t="s">
        <v>10</v>
      </c>
      <c r="F585" s="3" t="s">
        <v>15</v>
      </c>
      <c r="G585" s="3">
        <v>5</v>
      </c>
    </row>
    <row r="586" spans="1:7" x14ac:dyDescent="0.25">
      <c r="A586" t="s">
        <v>3</v>
      </c>
      <c r="B586">
        <v>584</v>
      </c>
      <c r="C586">
        <v>100</v>
      </c>
      <c r="D586" s="2">
        <v>40.446739196777344</v>
      </c>
      <c r="E586" s="2" t="s">
        <v>10</v>
      </c>
      <c r="F586" s="2" t="s">
        <v>20</v>
      </c>
      <c r="G586" s="2">
        <v>6.8</v>
      </c>
    </row>
    <row r="587" spans="1:7" x14ac:dyDescent="0.25">
      <c r="A587" t="s">
        <v>3</v>
      </c>
      <c r="B587">
        <v>585</v>
      </c>
      <c r="C587">
        <v>0</v>
      </c>
      <c r="D587" s="3">
        <v>30.583904027938843</v>
      </c>
      <c r="E587" s="3" t="s">
        <v>10</v>
      </c>
      <c r="F587" s="3" t="s">
        <v>20</v>
      </c>
      <c r="G587" s="3">
        <v>7.5</v>
      </c>
    </row>
    <row r="588" spans="1:7" x14ac:dyDescent="0.25">
      <c r="A588" t="s">
        <v>3</v>
      </c>
      <c r="B588">
        <v>586</v>
      </c>
      <c r="C588">
        <v>100</v>
      </c>
      <c r="D588" s="2">
        <v>26.499315023422241</v>
      </c>
      <c r="E588" s="2" t="s">
        <v>10</v>
      </c>
      <c r="F588" s="2" t="s">
        <v>17</v>
      </c>
      <c r="G588" s="2">
        <v>2.1</v>
      </c>
    </row>
    <row r="589" spans="1:7" x14ac:dyDescent="0.25">
      <c r="A589" t="s">
        <v>3</v>
      </c>
      <c r="B589">
        <v>587</v>
      </c>
      <c r="C589">
        <v>100</v>
      </c>
      <c r="D589" s="3">
        <v>22.56327748298645</v>
      </c>
      <c r="E589" s="3" t="s">
        <v>10</v>
      </c>
      <c r="F589" s="3" t="s">
        <v>17</v>
      </c>
      <c r="G589" s="3">
        <v>2.1</v>
      </c>
    </row>
    <row r="590" spans="1:7" x14ac:dyDescent="0.25">
      <c r="A590" t="s">
        <v>3</v>
      </c>
      <c r="B590">
        <v>588</v>
      </c>
      <c r="C590">
        <v>0</v>
      </c>
      <c r="D590" s="2">
        <v>21.789742946624756</v>
      </c>
      <c r="E590" s="2" t="s">
        <v>10</v>
      </c>
      <c r="F590" s="2" t="s">
        <v>15</v>
      </c>
      <c r="G590" s="2">
        <v>4</v>
      </c>
    </row>
    <row r="591" spans="1:7" x14ac:dyDescent="0.25">
      <c r="A591" t="s">
        <v>3</v>
      </c>
      <c r="B591">
        <v>589</v>
      </c>
      <c r="C591">
        <v>0</v>
      </c>
      <c r="D591" s="3">
        <v>12.241551637649536</v>
      </c>
      <c r="E591" s="3" t="s">
        <v>10</v>
      </c>
      <c r="F591" s="3" t="s">
        <v>15</v>
      </c>
      <c r="G591" s="3">
        <v>5</v>
      </c>
    </row>
    <row r="592" spans="1:7" x14ac:dyDescent="0.25">
      <c r="A592" t="s">
        <v>3</v>
      </c>
      <c r="B592">
        <v>590</v>
      </c>
      <c r="C592">
        <v>100</v>
      </c>
      <c r="D592" s="2">
        <v>12.493374109268188</v>
      </c>
      <c r="E592" s="2" t="s">
        <v>10</v>
      </c>
      <c r="F592" s="2" t="s">
        <v>15</v>
      </c>
      <c r="G592" s="2">
        <v>5</v>
      </c>
    </row>
    <row r="593" spans="1:7" x14ac:dyDescent="0.25">
      <c r="A593" t="s">
        <v>3</v>
      </c>
      <c r="B593">
        <v>591</v>
      </c>
      <c r="C593">
        <v>80</v>
      </c>
      <c r="D593" s="3">
        <v>11.921171903610229</v>
      </c>
      <c r="E593" s="3" t="s">
        <v>10</v>
      </c>
      <c r="F593" s="3" t="s">
        <v>15</v>
      </c>
      <c r="G593" s="3">
        <v>5</v>
      </c>
    </row>
    <row r="594" spans="1:7" x14ac:dyDescent="0.25">
      <c r="A594" t="s">
        <v>3</v>
      </c>
      <c r="B594">
        <v>592</v>
      </c>
      <c r="C594">
        <v>0</v>
      </c>
      <c r="D594" s="2">
        <v>21.662723064422607</v>
      </c>
      <c r="E594" s="2" t="s">
        <v>10</v>
      </c>
      <c r="F594" s="2" t="s">
        <v>11</v>
      </c>
      <c r="G594" s="2">
        <v>4.3</v>
      </c>
    </row>
    <row r="595" spans="1:7" x14ac:dyDescent="0.25">
      <c r="A595" t="s">
        <v>3</v>
      </c>
      <c r="B595">
        <v>593</v>
      </c>
      <c r="C595">
        <v>100</v>
      </c>
      <c r="D595" s="3">
        <v>12.13740348815918</v>
      </c>
      <c r="E595" s="3" t="s">
        <v>10</v>
      </c>
      <c r="F595" s="3" t="s">
        <v>11</v>
      </c>
      <c r="G595" s="3">
        <v>4.3</v>
      </c>
    </row>
    <row r="596" spans="1:7" x14ac:dyDescent="0.25">
      <c r="A596" t="s">
        <v>3</v>
      </c>
      <c r="B596">
        <v>594</v>
      </c>
      <c r="C596">
        <v>0</v>
      </c>
      <c r="D596" s="2">
        <v>24.769243240356445</v>
      </c>
      <c r="E596" s="2" t="s">
        <v>10</v>
      </c>
      <c r="F596" s="2" t="s">
        <v>11</v>
      </c>
      <c r="G596" s="2">
        <v>4.3</v>
      </c>
    </row>
    <row r="597" spans="1:7" x14ac:dyDescent="0.25">
      <c r="A597" t="s">
        <v>3</v>
      </c>
      <c r="B597">
        <v>595</v>
      </c>
      <c r="C597">
        <v>0</v>
      </c>
      <c r="D597" s="3">
        <v>25.747354984283447</v>
      </c>
      <c r="E597" s="3" t="s">
        <v>10</v>
      </c>
      <c r="F597" s="3" t="s">
        <v>15</v>
      </c>
      <c r="G597" s="3">
        <v>7.1</v>
      </c>
    </row>
    <row r="598" spans="1:7" x14ac:dyDescent="0.25">
      <c r="A598" t="s">
        <v>3</v>
      </c>
      <c r="B598">
        <v>596</v>
      </c>
      <c r="C598">
        <v>100</v>
      </c>
      <c r="D598" s="2">
        <v>13.261914253234863</v>
      </c>
      <c r="E598" s="2" t="s">
        <v>10</v>
      </c>
      <c r="F598" s="2" t="s">
        <v>24</v>
      </c>
      <c r="G598" s="2">
        <v>6.4</v>
      </c>
    </row>
    <row r="599" spans="1:7" x14ac:dyDescent="0.25">
      <c r="A599" t="s">
        <v>3</v>
      </c>
      <c r="B599">
        <v>597</v>
      </c>
      <c r="C599">
        <v>100</v>
      </c>
      <c r="D599" s="3">
        <v>30.91272759437561</v>
      </c>
      <c r="E599" s="3" t="s">
        <v>10</v>
      </c>
      <c r="F599" s="3" t="s">
        <v>20</v>
      </c>
      <c r="G599" s="3">
        <v>6.8</v>
      </c>
    </row>
    <row r="600" spans="1:7" x14ac:dyDescent="0.25">
      <c r="A600" t="s">
        <v>3</v>
      </c>
      <c r="B600">
        <v>598</v>
      </c>
      <c r="C600">
        <v>0</v>
      </c>
      <c r="D600" s="2">
        <v>30.60089111328125</v>
      </c>
      <c r="E600" s="2" t="s">
        <v>10</v>
      </c>
      <c r="F600" s="2" t="s">
        <v>20</v>
      </c>
      <c r="G600" s="2">
        <v>6.8</v>
      </c>
    </row>
    <row r="601" spans="1:7" x14ac:dyDescent="0.25">
      <c r="A601" t="s">
        <v>3</v>
      </c>
      <c r="B601">
        <v>599</v>
      </c>
      <c r="C601">
        <v>0</v>
      </c>
      <c r="D601" s="3">
        <v>12.60673713684082</v>
      </c>
      <c r="E601" s="3" t="s">
        <v>10</v>
      </c>
      <c r="F601" s="3" t="s">
        <v>12</v>
      </c>
      <c r="G601" s="3">
        <v>6.4</v>
      </c>
    </row>
    <row r="602" spans="1:7" x14ac:dyDescent="0.25">
      <c r="A602" t="s">
        <v>3</v>
      </c>
      <c r="B602">
        <v>600</v>
      </c>
      <c r="C602">
        <v>100</v>
      </c>
      <c r="D602" s="2">
        <v>11.195854425430298</v>
      </c>
      <c r="E602" s="2" t="s">
        <v>10</v>
      </c>
      <c r="F602" s="2" t="s">
        <v>12</v>
      </c>
      <c r="G602" s="2">
        <v>6.4</v>
      </c>
    </row>
    <row r="603" spans="1:7" x14ac:dyDescent="0.25">
      <c r="A603" t="s">
        <v>3</v>
      </c>
      <c r="B603">
        <v>601</v>
      </c>
      <c r="C603">
        <v>100</v>
      </c>
      <c r="D603" s="3">
        <v>30.243655204772949</v>
      </c>
      <c r="E603" s="3" t="s">
        <v>10</v>
      </c>
      <c r="F603" s="3" t="s">
        <v>29</v>
      </c>
      <c r="G603" s="3">
        <v>7.5</v>
      </c>
    </row>
    <row r="604" spans="1:7" x14ac:dyDescent="0.25">
      <c r="A604" t="s">
        <v>3</v>
      </c>
      <c r="B604">
        <v>602</v>
      </c>
      <c r="C604">
        <v>100</v>
      </c>
      <c r="D604" s="2">
        <v>29.481573581695557</v>
      </c>
      <c r="E604" s="2" t="s">
        <v>10</v>
      </c>
      <c r="F604" s="2" t="s">
        <v>22</v>
      </c>
      <c r="G604" s="2">
        <v>7.5</v>
      </c>
    </row>
    <row r="605" spans="1:7" x14ac:dyDescent="0.25">
      <c r="A605" t="s">
        <v>3</v>
      </c>
      <c r="B605">
        <v>603</v>
      </c>
      <c r="C605">
        <v>0</v>
      </c>
      <c r="D605" s="3">
        <v>27.606610059738159</v>
      </c>
      <c r="E605" s="3" t="s">
        <v>10</v>
      </c>
      <c r="F605" s="3" t="s">
        <v>22</v>
      </c>
      <c r="G605" s="3">
        <v>7.5</v>
      </c>
    </row>
    <row r="606" spans="1:7" x14ac:dyDescent="0.25">
      <c r="A606" t="s">
        <v>3</v>
      </c>
      <c r="B606">
        <v>604</v>
      </c>
      <c r="C606">
        <v>0</v>
      </c>
      <c r="D606" s="2">
        <v>22.708557605743408</v>
      </c>
      <c r="E606" s="2" t="s">
        <v>10</v>
      </c>
      <c r="F606" s="2" t="s">
        <v>28</v>
      </c>
      <c r="G606" s="2">
        <v>4.4000000000000004</v>
      </c>
    </row>
    <row r="607" spans="1:7" x14ac:dyDescent="0.25">
      <c r="A607" t="s">
        <v>3</v>
      </c>
      <c r="B607">
        <v>605</v>
      </c>
      <c r="C607">
        <v>28</v>
      </c>
      <c r="D607" s="3">
        <v>26.631983280181885</v>
      </c>
      <c r="E607" s="3" t="s">
        <v>10</v>
      </c>
      <c r="F607" s="3" t="s">
        <v>28</v>
      </c>
      <c r="G607" s="3">
        <v>4.4000000000000004</v>
      </c>
    </row>
    <row r="608" spans="1:7" x14ac:dyDescent="0.25">
      <c r="A608" t="s">
        <v>3</v>
      </c>
      <c r="B608">
        <v>606</v>
      </c>
      <c r="C608">
        <v>100</v>
      </c>
      <c r="D608" s="2">
        <v>8.513552188873291</v>
      </c>
      <c r="E608" s="2" t="s">
        <v>10</v>
      </c>
      <c r="F608" s="2" t="s">
        <v>15</v>
      </c>
      <c r="G608" s="2">
        <v>7.1</v>
      </c>
    </row>
    <row r="609" spans="1:7" x14ac:dyDescent="0.25">
      <c r="A609" t="s">
        <v>3</v>
      </c>
      <c r="B609">
        <v>607</v>
      </c>
      <c r="C609">
        <v>100</v>
      </c>
      <c r="D609" s="3">
        <v>12.429478168487549</v>
      </c>
      <c r="E609" s="3" t="s">
        <v>10</v>
      </c>
      <c r="F609" s="3" t="s">
        <v>15</v>
      </c>
      <c r="G609" s="3">
        <v>7.1</v>
      </c>
    </row>
    <row r="610" spans="1:7" x14ac:dyDescent="0.25">
      <c r="A610" t="s">
        <v>3</v>
      </c>
      <c r="B610">
        <v>608</v>
      </c>
      <c r="C610">
        <v>0</v>
      </c>
      <c r="D610" s="2">
        <v>27.037321090698242</v>
      </c>
      <c r="E610" s="2" t="s">
        <v>10</v>
      </c>
      <c r="F610" s="2" t="s">
        <v>14</v>
      </c>
      <c r="G610" s="2">
        <v>7.5</v>
      </c>
    </row>
    <row r="611" spans="1:7" x14ac:dyDescent="0.25">
      <c r="A611" t="s">
        <v>3</v>
      </c>
      <c r="B611">
        <v>609</v>
      </c>
      <c r="C611">
        <v>0</v>
      </c>
      <c r="D611" s="3">
        <v>28.696221590042114</v>
      </c>
      <c r="E611" s="3" t="s">
        <v>10</v>
      </c>
      <c r="F611" s="3" t="s">
        <v>14</v>
      </c>
      <c r="G611" s="3">
        <v>7.5</v>
      </c>
    </row>
    <row r="612" spans="1:7" x14ac:dyDescent="0.25">
      <c r="A612" t="s">
        <v>3</v>
      </c>
      <c r="B612">
        <v>610</v>
      </c>
      <c r="C612">
        <v>100</v>
      </c>
      <c r="D612" s="2">
        <v>13.097935199737549</v>
      </c>
      <c r="E612" s="2" t="s">
        <v>10</v>
      </c>
      <c r="F612" s="2" t="s">
        <v>13</v>
      </c>
      <c r="G612" s="2">
        <v>4.3</v>
      </c>
    </row>
    <row r="613" spans="1:7" x14ac:dyDescent="0.25">
      <c r="A613" t="s">
        <v>3</v>
      </c>
      <c r="B613">
        <v>611</v>
      </c>
      <c r="C613">
        <v>0</v>
      </c>
      <c r="D613" s="3">
        <v>30.679650783538818</v>
      </c>
      <c r="E613" s="3" t="s">
        <v>10</v>
      </c>
      <c r="F613" s="3" t="s">
        <v>15</v>
      </c>
      <c r="G613" s="3">
        <v>6.8</v>
      </c>
    </row>
    <row r="614" spans="1:7" x14ac:dyDescent="0.25">
      <c r="A614" t="s">
        <v>3</v>
      </c>
      <c r="B614">
        <v>612</v>
      </c>
      <c r="C614">
        <v>0</v>
      </c>
      <c r="D614" s="2">
        <v>54.710255146026611</v>
      </c>
      <c r="E614" s="2" t="s">
        <v>10</v>
      </c>
      <c r="F614" s="2" t="s">
        <v>17</v>
      </c>
      <c r="G614" s="2">
        <v>4.3</v>
      </c>
    </row>
    <row r="615" spans="1:7" x14ac:dyDescent="0.25">
      <c r="A615" t="s">
        <v>3</v>
      </c>
      <c r="B615">
        <v>613</v>
      </c>
      <c r="C615">
        <v>100</v>
      </c>
      <c r="D615" s="3">
        <v>26.829226732254028</v>
      </c>
      <c r="E615" s="3" t="s">
        <v>10</v>
      </c>
      <c r="F615" s="3" t="s">
        <v>13</v>
      </c>
      <c r="G615" s="3">
        <v>6.8</v>
      </c>
    </row>
    <row r="616" spans="1:7" x14ac:dyDescent="0.25">
      <c r="A616" t="s">
        <v>3</v>
      </c>
      <c r="B616">
        <v>614</v>
      </c>
      <c r="C616">
        <v>95</v>
      </c>
      <c r="D616" s="2">
        <v>23.294661521911621</v>
      </c>
      <c r="E616" s="2" t="s">
        <v>10</v>
      </c>
      <c r="F616" s="2" t="s">
        <v>13</v>
      </c>
      <c r="G616" s="2">
        <v>6.8</v>
      </c>
    </row>
    <row r="617" spans="1:7" x14ac:dyDescent="0.25">
      <c r="A617" t="s">
        <v>3</v>
      </c>
      <c r="B617">
        <v>615</v>
      </c>
      <c r="C617">
        <v>0</v>
      </c>
      <c r="D617" s="3">
        <v>30.448739051818848</v>
      </c>
      <c r="E617" s="3" t="s">
        <v>10</v>
      </c>
      <c r="F617" s="3" t="s">
        <v>11</v>
      </c>
      <c r="G617" s="3">
        <v>4</v>
      </c>
    </row>
    <row r="618" spans="1:7" x14ac:dyDescent="0.25">
      <c r="A618" t="s">
        <v>3</v>
      </c>
      <c r="B618">
        <v>616</v>
      </c>
      <c r="C618">
        <v>30</v>
      </c>
      <c r="D618" s="2">
        <v>26.318553924560547</v>
      </c>
      <c r="E618" s="2" t="s">
        <v>10</v>
      </c>
      <c r="F618" s="2" t="s">
        <v>29</v>
      </c>
      <c r="G618" s="2">
        <v>1.9</v>
      </c>
    </row>
    <row r="619" spans="1:7" x14ac:dyDescent="0.25">
      <c r="A619" t="s">
        <v>3</v>
      </c>
      <c r="B619">
        <v>617</v>
      </c>
      <c r="C619">
        <v>100</v>
      </c>
      <c r="D619" s="3">
        <v>20.325541734695435</v>
      </c>
      <c r="E619" s="3" t="s">
        <v>10</v>
      </c>
      <c r="F619" s="3" t="s">
        <v>29</v>
      </c>
      <c r="G619" s="3">
        <v>1.9</v>
      </c>
    </row>
    <row r="620" spans="1:7" x14ac:dyDescent="0.25">
      <c r="A620" t="s">
        <v>3</v>
      </c>
      <c r="B620">
        <v>618</v>
      </c>
      <c r="C620">
        <v>0</v>
      </c>
      <c r="D620" s="2">
        <v>18.522520303726196</v>
      </c>
      <c r="E620" s="2" t="s">
        <v>10</v>
      </c>
      <c r="F620" s="2" t="s">
        <v>14</v>
      </c>
      <c r="G620" s="2">
        <v>2.1</v>
      </c>
    </row>
    <row r="621" spans="1:7" x14ac:dyDescent="0.25">
      <c r="A621" t="s">
        <v>3</v>
      </c>
      <c r="B621">
        <v>619</v>
      </c>
      <c r="C621">
        <v>0</v>
      </c>
      <c r="D621" s="3">
        <v>40.560904741287231</v>
      </c>
      <c r="E621" s="3" t="s">
        <v>10</v>
      </c>
      <c r="F621" s="3" t="s">
        <v>14</v>
      </c>
      <c r="G621" s="3">
        <v>10</v>
      </c>
    </row>
    <row r="622" spans="1:7" x14ac:dyDescent="0.25">
      <c r="A622" t="s">
        <v>3</v>
      </c>
      <c r="B622">
        <v>620</v>
      </c>
      <c r="C622">
        <v>100</v>
      </c>
      <c r="D622" s="2">
        <v>14.939560174942017</v>
      </c>
      <c r="E622" s="2" t="s">
        <v>10</v>
      </c>
      <c r="F622" s="2" t="s">
        <v>15</v>
      </c>
      <c r="G622" s="2">
        <v>2.1</v>
      </c>
    </row>
    <row r="623" spans="1:7" x14ac:dyDescent="0.25">
      <c r="A623" t="s">
        <v>3</v>
      </c>
      <c r="B623">
        <v>621</v>
      </c>
      <c r="C623">
        <v>100</v>
      </c>
      <c r="D623" s="3">
        <v>36.00955867767334</v>
      </c>
      <c r="E623" s="3" t="s">
        <v>10</v>
      </c>
      <c r="F623" s="3" t="s">
        <v>12</v>
      </c>
      <c r="G623" s="3">
        <v>3.6</v>
      </c>
    </row>
    <row r="624" spans="1:7" x14ac:dyDescent="0.25">
      <c r="A624" t="s">
        <v>3</v>
      </c>
      <c r="B624">
        <v>622</v>
      </c>
      <c r="C624">
        <v>0</v>
      </c>
      <c r="D624" s="2">
        <v>19.631293058395386</v>
      </c>
      <c r="E624" s="2" t="s">
        <v>10</v>
      </c>
      <c r="F624" s="2" t="s">
        <v>12</v>
      </c>
      <c r="G624" s="2">
        <v>3.6</v>
      </c>
    </row>
    <row r="625" spans="1:7" x14ac:dyDescent="0.25">
      <c r="A625" t="s">
        <v>3</v>
      </c>
      <c r="B625">
        <v>623</v>
      </c>
      <c r="C625">
        <v>100</v>
      </c>
      <c r="D625" s="3">
        <v>14.253344058990479</v>
      </c>
      <c r="E625" s="3" t="s">
        <v>10</v>
      </c>
      <c r="F625" s="3" t="s">
        <v>15</v>
      </c>
      <c r="G625" s="3">
        <v>2.1</v>
      </c>
    </row>
    <row r="626" spans="1:7" x14ac:dyDescent="0.25">
      <c r="A626" t="s">
        <v>3</v>
      </c>
      <c r="B626">
        <v>624</v>
      </c>
      <c r="C626">
        <v>100</v>
      </c>
      <c r="D626" s="2">
        <v>18.588642835617065</v>
      </c>
      <c r="E626" s="2" t="s">
        <v>10</v>
      </c>
      <c r="F626" s="2" t="s">
        <v>15</v>
      </c>
      <c r="G626" s="2">
        <v>2.1</v>
      </c>
    </row>
    <row r="627" spans="1:7" x14ac:dyDescent="0.25">
      <c r="A627" t="s">
        <v>3</v>
      </c>
      <c r="B627">
        <v>625</v>
      </c>
      <c r="C627">
        <v>100</v>
      </c>
      <c r="D627" s="3">
        <v>29.275208234786987</v>
      </c>
      <c r="E627" s="3" t="s">
        <v>10</v>
      </c>
      <c r="F627" s="3" t="s">
        <v>20</v>
      </c>
      <c r="G627" s="3">
        <v>7.6</v>
      </c>
    </row>
    <row r="628" spans="1:7" x14ac:dyDescent="0.25">
      <c r="A628" t="s">
        <v>3</v>
      </c>
      <c r="B628">
        <v>626</v>
      </c>
      <c r="C628">
        <v>100</v>
      </c>
      <c r="D628" s="2">
        <v>10.767478704452515</v>
      </c>
      <c r="E628" s="2" t="s">
        <v>10</v>
      </c>
      <c r="F628" s="2" t="s">
        <v>37</v>
      </c>
      <c r="G628" s="2">
        <v>4.5999999999999996</v>
      </c>
    </row>
    <row r="629" spans="1:7" x14ac:dyDescent="0.25">
      <c r="A629" t="s">
        <v>3</v>
      </c>
      <c r="B629">
        <v>627</v>
      </c>
      <c r="C629">
        <v>0</v>
      </c>
      <c r="D629" s="3">
        <v>43.811225414276123</v>
      </c>
      <c r="E629" s="3" t="s">
        <v>10</v>
      </c>
      <c r="F629" s="3" t="s">
        <v>37</v>
      </c>
      <c r="G629" s="3">
        <v>4.5999999999999996</v>
      </c>
    </row>
    <row r="630" spans="1:7" x14ac:dyDescent="0.25">
      <c r="A630" t="s">
        <v>3</v>
      </c>
      <c r="B630">
        <v>628</v>
      </c>
      <c r="C630">
        <v>0</v>
      </c>
      <c r="D630" s="2">
        <v>11.888379812240601</v>
      </c>
      <c r="E630" s="2" t="s">
        <v>10</v>
      </c>
      <c r="F630" s="2" t="s">
        <v>37</v>
      </c>
      <c r="G630" s="2">
        <v>4.5999999999999996</v>
      </c>
    </row>
    <row r="631" spans="1:7" x14ac:dyDescent="0.25">
      <c r="A631" t="s">
        <v>3</v>
      </c>
      <c r="B631">
        <v>629</v>
      </c>
      <c r="C631">
        <v>0</v>
      </c>
      <c r="D631" s="3">
        <v>19.926311016082764</v>
      </c>
      <c r="E631" s="3" t="s">
        <v>10</v>
      </c>
      <c r="F631" s="3" t="s">
        <v>22</v>
      </c>
      <c r="G631" s="3">
        <v>6.8</v>
      </c>
    </row>
    <row r="632" spans="1:7" x14ac:dyDescent="0.25">
      <c r="A632" t="s">
        <v>3</v>
      </c>
      <c r="B632">
        <v>630</v>
      </c>
      <c r="C632">
        <v>100</v>
      </c>
      <c r="D632" s="2">
        <v>23.648961305618286</v>
      </c>
      <c r="E632" s="2" t="s">
        <v>10</v>
      </c>
      <c r="F632" s="2" t="s">
        <v>15</v>
      </c>
      <c r="G632" s="2">
        <v>5</v>
      </c>
    </row>
    <row r="633" spans="1:7" x14ac:dyDescent="0.25">
      <c r="A633" t="s">
        <v>3</v>
      </c>
      <c r="B633">
        <v>631</v>
      </c>
      <c r="C633">
        <v>0</v>
      </c>
      <c r="D633" s="3">
        <v>27.04925799369812</v>
      </c>
      <c r="E633" s="3" t="s">
        <v>10</v>
      </c>
      <c r="F633" s="3" t="s">
        <v>15</v>
      </c>
      <c r="G633" s="3">
        <v>5</v>
      </c>
    </row>
    <row r="634" spans="1:7" x14ac:dyDescent="0.25">
      <c r="A634" t="s">
        <v>3</v>
      </c>
      <c r="B634">
        <v>632</v>
      </c>
      <c r="C634">
        <v>15</v>
      </c>
      <c r="D634" s="2">
        <v>31.900506496429443</v>
      </c>
      <c r="E634" s="2" t="s">
        <v>10</v>
      </c>
      <c r="F634" s="2" t="s">
        <v>15</v>
      </c>
      <c r="G634" s="2">
        <v>5</v>
      </c>
    </row>
    <row r="635" spans="1:7" x14ac:dyDescent="0.25">
      <c r="A635" t="s">
        <v>3</v>
      </c>
      <c r="B635">
        <v>633</v>
      </c>
      <c r="C635">
        <v>10</v>
      </c>
      <c r="D635" s="3">
        <v>26.883305311203003</v>
      </c>
      <c r="E635" s="3" t="s">
        <v>10</v>
      </c>
      <c r="F635" s="3" t="s">
        <v>15</v>
      </c>
      <c r="G635" s="3">
        <v>5</v>
      </c>
    </row>
    <row r="636" spans="1:7" x14ac:dyDescent="0.25">
      <c r="A636" t="s">
        <v>3</v>
      </c>
      <c r="B636">
        <v>634</v>
      </c>
      <c r="C636">
        <v>100</v>
      </c>
      <c r="D636" s="2">
        <v>31.088713407516479</v>
      </c>
      <c r="E636" s="2" t="s">
        <v>10</v>
      </c>
      <c r="F636" s="2" t="s">
        <v>15</v>
      </c>
      <c r="G636" s="2">
        <v>5</v>
      </c>
    </row>
    <row r="637" spans="1:7" x14ac:dyDescent="0.25">
      <c r="A637" t="s">
        <v>3</v>
      </c>
      <c r="B637">
        <v>635</v>
      </c>
      <c r="C637">
        <v>100</v>
      </c>
      <c r="D637" s="3">
        <v>20.938766241073608</v>
      </c>
      <c r="E637" s="3" t="s">
        <v>10</v>
      </c>
      <c r="F637" s="3" t="s">
        <v>15</v>
      </c>
      <c r="G637" s="3">
        <v>5</v>
      </c>
    </row>
    <row r="638" spans="1:7" x14ac:dyDescent="0.25">
      <c r="A638" t="s">
        <v>3</v>
      </c>
      <c r="B638">
        <v>636</v>
      </c>
      <c r="C638">
        <v>100</v>
      </c>
      <c r="D638" s="2">
        <v>12.917668104171753</v>
      </c>
      <c r="E638" s="2" t="s">
        <v>10</v>
      </c>
      <c r="F638" s="2" t="s">
        <v>14</v>
      </c>
      <c r="G638" s="2">
        <v>7.5</v>
      </c>
    </row>
    <row r="639" spans="1:7" x14ac:dyDescent="0.25">
      <c r="A639" t="s">
        <v>3</v>
      </c>
      <c r="B639">
        <v>637</v>
      </c>
      <c r="C639">
        <v>100</v>
      </c>
      <c r="D639" s="3">
        <v>29.678404092788696</v>
      </c>
      <c r="E639" s="3" t="s">
        <v>10</v>
      </c>
      <c r="F639" s="3" t="s">
        <v>14</v>
      </c>
      <c r="G639" s="3">
        <v>7.5</v>
      </c>
    </row>
    <row r="640" spans="1:7" x14ac:dyDescent="0.25">
      <c r="A640" t="s">
        <v>3</v>
      </c>
      <c r="B640">
        <v>638</v>
      </c>
      <c r="C640">
        <v>100</v>
      </c>
      <c r="D640" s="2">
        <v>28.79195237159729</v>
      </c>
      <c r="E640" s="2" t="s">
        <v>10</v>
      </c>
      <c r="F640" s="2" t="s">
        <v>14</v>
      </c>
      <c r="G640" s="2">
        <v>7.5</v>
      </c>
    </row>
    <row r="641" spans="1:7" x14ac:dyDescent="0.25">
      <c r="A641" t="s">
        <v>3</v>
      </c>
      <c r="B641">
        <v>639</v>
      </c>
      <c r="C641">
        <v>0</v>
      </c>
      <c r="D641" s="3">
        <v>22.186389207839966</v>
      </c>
      <c r="E641" s="3" t="s">
        <v>10</v>
      </c>
      <c r="F641" s="3" t="s">
        <v>14</v>
      </c>
      <c r="G641" s="3">
        <v>7.5</v>
      </c>
    </row>
    <row r="642" spans="1:7" x14ac:dyDescent="0.25">
      <c r="A642" t="s">
        <v>3</v>
      </c>
      <c r="B642">
        <v>640</v>
      </c>
      <c r="C642">
        <v>100</v>
      </c>
      <c r="D642" s="2">
        <v>12.455229759216309</v>
      </c>
      <c r="E642" s="2" t="s">
        <v>10</v>
      </c>
      <c r="F642" s="2" t="s">
        <v>14</v>
      </c>
      <c r="G642" s="2">
        <v>7.5</v>
      </c>
    </row>
    <row r="643" spans="1:7" x14ac:dyDescent="0.25">
      <c r="A643" t="s">
        <v>3</v>
      </c>
      <c r="B643">
        <v>641</v>
      </c>
      <c r="C643">
        <v>100</v>
      </c>
      <c r="D643" s="3">
        <v>34.994815587997437</v>
      </c>
      <c r="E643" s="3" t="s">
        <v>10</v>
      </c>
      <c r="F643" s="3" t="s">
        <v>14</v>
      </c>
      <c r="G643" s="3">
        <v>7.5</v>
      </c>
    </row>
    <row r="644" spans="1:7" x14ac:dyDescent="0.25">
      <c r="A644" t="s">
        <v>3</v>
      </c>
      <c r="B644">
        <v>642</v>
      </c>
      <c r="C644">
        <v>100</v>
      </c>
      <c r="D644" s="2">
        <v>38.585106611251831</v>
      </c>
      <c r="E644" s="2" t="s">
        <v>10</v>
      </c>
      <c r="F644" s="2" t="s">
        <v>14</v>
      </c>
      <c r="G644" s="2">
        <v>7.5</v>
      </c>
    </row>
    <row r="645" spans="1:7" x14ac:dyDescent="0.25">
      <c r="A645" t="s">
        <v>3</v>
      </c>
      <c r="B645">
        <v>643</v>
      </c>
      <c r="C645">
        <v>100</v>
      </c>
      <c r="D645" s="3">
        <v>24.987424373626709</v>
      </c>
      <c r="E645" s="3" t="s">
        <v>10</v>
      </c>
      <c r="F645" s="3" t="s">
        <v>12</v>
      </c>
      <c r="G645" s="3">
        <v>6.4</v>
      </c>
    </row>
    <row r="646" spans="1:7" x14ac:dyDescent="0.25">
      <c r="A646" t="s">
        <v>3</v>
      </c>
      <c r="B646">
        <v>644</v>
      </c>
      <c r="C646">
        <v>20</v>
      </c>
      <c r="D646" s="2">
        <v>25.936260461807251</v>
      </c>
      <c r="E646" s="2" t="s">
        <v>10</v>
      </c>
      <c r="F646" s="2" t="s">
        <v>15</v>
      </c>
      <c r="G646" s="2">
        <v>7.8</v>
      </c>
    </row>
    <row r="647" spans="1:7" x14ac:dyDescent="0.25">
      <c r="A647" t="s">
        <v>3</v>
      </c>
      <c r="B647">
        <v>645</v>
      </c>
      <c r="C647">
        <v>30</v>
      </c>
      <c r="D647" s="3">
        <v>43.892388820648193</v>
      </c>
      <c r="E647" s="3" t="s">
        <v>10</v>
      </c>
      <c r="F647" s="3" t="s">
        <v>16</v>
      </c>
      <c r="G647" s="3">
        <v>10</v>
      </c>
    </row>
    <row r="648" spans="1:7" x14ac:dyDescent="0.25">
      <c r="A648" t="s">
        <v>3</v>
      </c>
      <c r="B648">
        <v>646</v>
      </c>
      <c r="C648">
        <v>100</v>
      </c>
      <c r="D648" s="2">
        <v>25.244014978408813</v>
      </c>
      <c r="E648" s="2" t="s">
        <v>10</v>
      </c>
      <c r="F648" s="2" t="s">
        <v>16</v>
      </c>
      <c r="G648" s="2">
        <v>10</v>
      </c>
    </row>
    <row r="649" spans="1:7" x14ac:dyDescent="0.25">
      <c r="A649" t="s">
        <v>3</v>
      </c>
      <c r="B649">
        <v>647</v>
      </c>
      <c r="C649">
        <v>100</v>
      </c>
      <c r="D649" s="3">
        <v>24.829617261886597</v>
      </c>
      <c r="E649" s="3" t="s">
        <v>10</v>
      </c>
      <c r="F649" s="3" t="s">
        <v>16</v>
      </c>
      <c r="G649" s="3">
        <v>10</v>
      </c>
    </row>
    <row r="650" spans="1:7" x14ac:dyDescent="0.25">
      <c r="A650" t="s">
        <v>3</v>
      </c>
      <c r="B650">
        <v>648</v>
      </c>
      <c r="C650">
        <v>3</v>
      </c>
      <c r="D650" s="2">
        <v>564.67157959938049</v>
      </c>
      <c r="E650" s="2" t="s">
        <v>10</v>
      </c>
      <c r="F650" s="2" t="s">
        <v>16</v>
      </c>
      <c r="G650" s="2">
        <v>10</v>
      </c>
    </row>
    <row r="651" spans="1:7" x14ac:dyDescent="0.25">
      <c r="A651" t="s">
        <v>3</v>
      </c>
      <c r="B651">
        <v>649</v>
      </c>
      <c r="C651">
        <v>0</v>
      </c>
      <c r="D651" s="3">
        <v>35.901660442352295</v>
      </c>
      <c r="E651" s="3" t="s">
        <v>10</v>
      </c>
      <c r="F651" s="3" t="s">
        <v>16</v>
      </c>
      <c r="G651" s="3">
        <v>10</v>
      </c>
    </row>
    <row r="652" spans="1:7" x14ac:dyDescent="0.25">
      <c r="A652" t="s">
        <v>3</v>
      </c>
      <c r="B652">
        <v>650</v>
      </c>
      <c r="C652">
        <v>2</v>
      </c>
      <c r="D652" s="2">
        <v>10.820877552032471</v>
      </c>
      <c r="E652" s="2" t="s">
        <v>10</v>
      </c>
      <c r="F652" s="2" t="s">
        <v>17</v>
      </c>
      <c r="G652" s="2">
        <v>2.6</v>
      </c>
    </row>
    <row r="653" spans="1:7" x14ac:dyDescent="0.25">
      <c r="A653" t="s">
        <v>3</v>
      </c>
      <c r="B653">
        <v>651</v>
      </c>
      <c r="C653">
        <v>100</v>
      </c>
      <c r="D653" s="3">
        <v>11.901284456253052</v>
      </c>
      <c r="E653" s="3" t="s">
        <v>10</v>
      </c>
      <c r="F653" s="3" t="s">
        <v>17</v>
      </c>
      <c r="G653" s="3">
        <v>2.6</v>
      </c>
    </row>
    <row r="654" spans="1:7" x14ac:dyDescent="0.25">
      <c r="A654" t="s">
        <v>3</v>
      </c>
      <c r="B654">
        <v>652</v>
      </c>
      <c r="C654">
        <v>20</v>
      </c>
      <c r="D654" s="2">
        <v>27.201391935348511</v>
      </c>
      <c r="E654" s="2" t="s">
        <v>10</v>
      </c>
      <c r="F654" s="2" t="s">
        <v>29</v>
      </c>
      <c r="G654" s="2">
        <v>5</v>
      </c>
    </row>
    <row r="655" spans="1:7" x14ac:dyDescent="0.25">
      <c r="A655" t="s">
        <v>3</v>
      </c>
      <c r="B655">
        <v>653</v>
      </c>
      <c r="C655">
        <v>0</v>
      </c>
      <c r="D655" s="3">
        <v>36.883098363876343</v>
      </c>
      <c r="E655" s="3" t="s">
        <v>10</v>
      </c>
      <c r="F655" s="3" t="s">
        <v>29</v>
      </c>
      <c r="G655" s="3">
        <v>5</v>
      </c>
    </row>
    <row r="656" spans="1:7" x14ac:dyDescent="0.25">
      <c r="A656" t="s">
        <v>3</v>
      </c>
      <c r="B656">
        <v>654</v>
      </c>
      <c r="C656">
        <v>0</v>
      </c>
      <c r="D656" s="2">
        <v>29.619561672210693</v>
      </c>
      <c r="E656" s="2" t="s">
        <v>10</v>
      </c>
      <c r="F656" s="2" t="s">
        <v>22</v>
      </c>
      <c r="G656" s="2">
        <v>7.6</v>
      </c>
    </row>
    <row r="657" spans="1:7" x14ac:dyDescent="0.25">
      <c r="A657" t="s">
        <v>3</v>
      </c>
      <c r="B657">
        <v>655</v>
      </c>
      <c r="C657">
        <v>100</v>
      </c>
      <c r="D657" s="3">
        <v>31.57253623008728</v>
      </c>
      <c r="E657" s="3" t="s">
        <v>10</v>
      </c>
      <c r="F657" s="3" t="s">
        <v>14</v>
      </c>
      <c r="G657" s="3">
        <v>5</v>
      </c>
    </row>
    <row r="658" spans="1:7" x14ac:dyDescent="0.25">
      <c r="A658" t="s">
        <v>3</v>
      </c>
      <c r="B658">
        <v>656</v>
      </c>
      <c r="C658">
        <v>100</v>
      </c>
      <c r="D658" s="2">
        <v>36.420717000961304</v>
      </c>
      <c r="E658" s="2" t="s">
        <v>10</v>
      </c>
      <c r="F658" s="2" t="s">
        <v>17</v>
      </c>
      <c r="G658" s="2">
        <v>5</v>
      </c>
    </row>
    <row r="659" spans="1:7" x14ac:dyDescent="0.25">
      <c r="A659" t="s">
        <v>3</v>
      </c>
      <c r="B659">
        <v>657</v>
      </c>
      <c r="C659">
        <v>100</v>
      </c>
      <c r="D659" s="3">
        <v>18.451525449752808</v>
      </c>
      <c r="E659" s="3" t="s">
        <v>10</v>
      </c>
      <c r="F659" s="3" t="s">
        <v>15</v>
      </c>
      <c r="G659" s="3">
        <v>6.8</v>
      </c>
    </row>
    <row r="660" spans="1:7" x14ac:dyDescent="0.25">
      <c r="A660" t="s">
        <v>3</v>
      </c>
      <c r="B660">
        <v>658</v>
      </c>
      <c r="C660">
        <v>60</v>
      </c>
      <c r="D660" s="2">
        <v>21.8308424949646</v>
      </c>
      <c r="E660" s="2" t="s">
        <v>10</v>
      </c>
      <c r="F660" s="2" t="s">
        <v>21</v>
      </c>
      <c r="G660" s="2">
        <v>7.5</v>
      </c>
    </row>
    <row r="661" spans="1:7" x14ac:dyDescent="0.25">
      <c r="A661" t="s">
        <v>3</v>
      </c>
      <c r="B661">
        <v>659</v>
      </c>
      <c r="C661">
        <v>100</v>
      </c>
      <c r="D661" s="3">
        <v>25.001417398452759</v>
      </c>
      <c r="E661" s="3" t="s">
        <v>10</v>
      </c>
      <c r="F661" s="3" t="s">
        <v>18</v>
      </c>
      <c r="G661" s="3">
        <v>9.3000000000000007</v>
      </c>
    </row>
    <row r="662" spans="1:7" x14ac:dyDescent="0.25">
      <c r="A662" t="s">
        <v>3</v>
      </c>
      <c r="B662">
        <v>660</v>
      </c>
      <c r="C662">
        <v>0</v>
      </c>
      <c r="D662" s="2">
        <v>14.5462486743927</v>
      </c>
      <c r="E662" s="2" t="s">
        <v>10</v>
      </c>
      <c r="F662" s="2" t="s">
        <v>17</v>
      </c>
      <c r="G662" s="2">
        <v>5</v>
      </c>
    </row>
    <row r="663" spans="1:7" x14ac:dyDescent="0.25">
      <c r="A663" t="s">
        <v>3</v>
      </c>
      <c r="B663">
        <v>661</v>
      </c>
      <c r="C663">
        <v>100</v>
      </c>
      <c r="D663" s="3">
        <v>40.666829824447632</v>
      </c>
      <c r="E663" s="3" t="s">
        <v>10</v>
      </c>
      <c r="F663" s="3" t="s">
        <v>17</v>
      </c>
      <c r="G663" s="3">
        <v>5</v>
      </c>
    </row>
    <row r="664" spans="1:7" x14ac:dyDescent="0.25">
      <c r="A664" t="s">
        <v>3</v>
      </c>
      <c r="B664">
        <v>662</v>
      </c>
      <c r="C664">
        <v>100</v>
      </c>
      <c r="D664" s="2">
        <v>14.567393779754639</v>
      </c>
      <c r="E664" s="2" t="s">
        <v>10</v>
      </c>
      <c r="F664" s="2" t="s">
        <v>17</v>
      </c>
      <c r="G664" s="2">
        <v>5</v>
      </c>
    </row>
    <row r="665" spans="1:7" x14ac:dyDescent="0.25">
      <c r="A665" t="s">
        <v>3</v>
      </c>
      <c r="B665">
        <v>663</v>
      </c>
      <c r="C665">
        <v>100</v>
      </c>
      <c r="D665" s="3">
        <v>27.789188861846924</v>
      </c>
      <c r="E665" s="3" t="s">
        <v>10</v>
      </c>
      <c r="F665" s="3" t="s">
        <v>23</v>
      </c>
      <c r="G665" s="3">
        <v>7.5</v>
      </c>
    </row>
    <row r="666" spans="1:7" x14ac:dyDescent="0.25">
      <c r="A666" t="s">
        <v>3</v>
      </c>
      <c r="B666">
        <v>664</v>
      </c>
      <c r="C666">
        <v>100</v>
      </c>
      <c r="D666" s="2">
        <v>85.543174743652344</v>
      </c>
      <c r="E666" s="2" t="s">
        <v>10</v>
      </c>
      <c r="F666" s="2" t="s">
        <v>23</v>
      </c>
      <c r="G666" s="2">
        <v>7.5</v>
      </c>
    </row>
    <row r="667" spans="1:7" x14ac:dyDescent="0.25">
      <c r="A667" t="s">
        <v>3</v>
      </c>
      <c r="B667">
        <v>665</v>
      </c>
      <c r="C667">
        <v>100</v>
      </c>
      <c r="D667" s="3">
        <v>23.275976896286011</v>
      </c>
      <c r="E667" s="3" t="s">
        <v>10</v>
      </c>
      <c r="F667" s="3" t="s">
        <v>23</v>
      </c>
      <c r="G667" s="3">
        <v>7.5</v>
      </c>
    </row>
    <row r="668" spans="1:7" x14ac:dyDescent="0.25">
      <c r="A668" t="s">
        <v>3</v>
      </c>
      <c r="B668">
        <v>666</v>
      </c>
      <c r="C668">
        <v>0</v>
      </c>
      <c r="D668" s="2">
        <v>34.614160776138306</v>
      </c>
      <c r="E668" s="2" t="s">
        <v>10</v>
      </c>
      <c r="F668" s="2" t="s">
        <v>23</v>
      </c>
      <c r="G668" s="2">
        <v>7.5</v>
      </c>
    </row>
    <row r="669" spans="1:7" x14ac:dyDescent="0.25">
      <c r="A669" t="s">
        <v>3</v>
      </c>
      <c r="B669">
        <v>667</v>
      </c>
      <c r="C669">
        <v>0</v>
      </c>
      <c r="D669" s="3">
        <v>20.129061222076416</v>
      </c>
      <c r="E669" s="3" t="s">
        <v>10</v>
      </c>
      <c r="F669" s="3" t="s">
        <v>23</v>
      </c>
      <c r="G669" s="3">
        <v>7.5</v>
      </c>
    </row>
    <row r="670" spans="1:7" x14ac:dyDescent="0.25">
      <c r="A670" t="s">
        <v>3</v>
      </c>
      <c r="B670">
        <v>668</v>
      </c>
      <c r="C670">
        <v>100</v>
      </c>
      <c r="D670" s="2">
        <v>28.690974950790405</v>
      </c>
      <c r="E670" s="2" t="s">
        <v>10</v>
      </c>
      <c r="F670" s="2" t="s">
        <v>36</v>
      </c>
      <c r="G670" s="2">
        <v>4.5999999999999996</v>
      </c>
    </row>
    <row r="671" spans="1:7" x14ac:dyDescent="0.25">
      <c r="A671" t="s">
        <v>3</v>
      </c>
      <c r="B671">
        <v>669</v>
      </c>
      <c r="C671">
        <v>100</v>
      </c>
      <c r="D671" s="3">
        <v>26.443054676055908</v>
      </c>
      <c r="E671" s="3" t="s">
        <v>19</v>
      </c>
      <c r="F671" s="3" t="s">
        <v>17</v>
      </c>
      <c r="G671" s="3">
        <v>5</v>
      </c>
    </row>
    <row r="672" spans="1:7" x14ac:dyDescent="0.25">
      <c r="A672" t="s">
        <v>3</v>
      </c>
      <c r="B672">
        <v>670</v>
      </c>
      <c r="C672">
        <v>100</v>
      </c>
      <c r="D672" s="2">
        <v>27.127717256546021</v>
      </c>
      <c r="E672" s="2" t="s">
        <v>10</v>
      </c>
      <c r="F672" s="2" t="s">
        <v>21</v>
      </c>
      <c r="G672" s="2">
        <v>7.5</v>
      </c>
    </row>
    <row r="673" spans="1:7" x14ac:dyDescent="0.25">
      <c r="A673" t="s">
        <v>3</v>
      </c>
      <c r="B673">
        <v>671</v>
      </c>
      <c r="C673">
        <v>100</v>
      </c>
      <c r="D673" s="3">
        <v>19.890113353729248</v>
      </c>
      <c r="E673" s="3" t="s">
        <v>10</v>
      </c>
      <c r="F673" s="3" t="s">
        <v>15</v>
      </c>
      <c r="G673" s="3">
        <v>4.3</v>
      </c>
    </row>
    <row r="674" spans="1:7" x14ac:dyDescent="0.25">
      <c r="A674" t="s">
        <v>3</v>
      </c>
      <c r="B674">
        <v>672</v>
      </c>
      <c r="C674">
        <v>100</v>
      </c>
      <c r="D674" s="2">
        <v>27.88418436050415</v>
      </c>
      <c r="E674" s="2" t="s">
        <v>10</v>
      </c>
      <c r="F674" s="2" t="s">
        <v>15</v>
      </c>
      <c r="G674" s="2">
        <v>1.9</v>
      </c>
    </row>
    <row r="675" spans="1:7" x14ac:dyDescent="0.25">
      <c r="A675" t="s">
        <v>3</v>
      </c>
      <c r="B675">
        <v>673</v>
      </c>
      <c r="C675">
        <v>100</v>
      </c>
      <c r="D675" s="3">
        <v>33.808308839797974</v>
      </c>
      <c r="E675" s="3" t="s">
        <v>10</v>
      </c>
      <c r="F675" s="3" t="s">
        <v>13</v>
      </c>
      <c r="G675" s="3">
        <v>1.2</v>
      </c>
    </row>
    <row r="676" spans="1:7" x14ac:dyDescent="0.25">
      <c r="A676" t="s">
        <v>3</v>
      </c>
      <c r="B676">
        <v>674</v>
      </c>
      <c r="C676">
        <v>0</v>
      </c>
      <c r="D676" s="2">
        <v>35.930014848709106</v>
      </c>
      <c r="E676" s="2" t="s">
        <v>10</v>
      </c>
      <c r="F676" s="2" t="s">
        <v>20</v>
      </c>
      <c r="G676" s="2">
        <v>7.5</v>
      </c>
    </row>
    <row r="677" spans="1:7" x14ac:dyDescent="0.25">
      <c r="A677" t="s">
        <v>3</v>
      </c>
      <c r="B677">
        <v>675</v>
      </c>
      <c r="C677">
        <v>100</v>
      </c>
      <c r="D677" s="3">
        <v>19.954981565475464</v>
      </c>
      <c r="E677" s="3" t="s">
        <v>10</v>
      </c>
      <c r="F677" s="3" t="s">
        <v>15</v>
      </c>
      <c r="G677" s="3">
        <v>4.9000000000000004</v>
      </c>
    </row>
    <row r="678" spans="1:7" x14ac:dyDescent="0.25">
      <c r="A678" t="s">
        <v>3</v>
      </c>
      <c r="B678">
        <v>676</v>
      </c>
      <c r="C678">
        <v>0</v>
      </c>
      <c r="D678" s="2">
        <v>22.021357536315918</v>
      </c>
      <c r="E678" s="2" t="s">
        <v>10</v>
      </c>
      <c r="F678" s="2" t="s">
        <v>21</v>
      </c>
      <c r="G678" s="2">
        <v>7.5</v>
      </c>
    </row>
    <row r="679" spans="1:7" x14ac:dyDescent="0.25">
      <c r="A679" t="s">
        <v>3</v>
      </c>
      <c r="B679">
        <v>677</v>
      </c>
      <c r="C679">
        <v>100</v>
      </c>
      <c r="D679" s="3">
        <v>29.832075119018555</v>
      </c>
      <c r="E679" s="3" t="s">
        <v>10</v>
      </c>
      <c r="F679" s="3" t="s">
        <v>20</v>
      </c>
      <c r="G679" s="3">
        <v>6.8</v>
      </c>
    </row>
    <row r="680" spans="1:7" x14ac:dyDescent="0.25">
      <c r="A680" t="s">
        <v>3</v>
      </c>
      <c r="B680">
        <v>678</v>
      </c>
      <c r="C680">
        <v>30</v>
      </c>
      <c r="D680" s="2">
        <v>31.176767110824585</v>
      </c>
      <c r="E680" s="2" t="s">
        <v>10</v>
      </c>
      <c r="F680" s="2" t="s">
        <v>15</v>
      </c>
      <c r="G680" s="2">
        <v>4.3</v>
      </c>
    </row>
    <row r="681" spans="1:7" x14ac:dyDescent="0.25">
      <c r="A681" t="s">
        <v>3</v>
      </c>
      <c r="B681">
        <v>679</v>
      </c>
      <c r="C681">
        <v>20</v>
      </c>
      <c r="D681" s="3">
        <v>32.230560541152954</v>
      </c>
      <c r="E681" s="3" t="s">
        <v>10</v>
      </c>
      <c r="F681" s="3" t="s">
        <v>15</v>
      </c>
      <c r="G681" s="3">
        <v>4.3</v>
      </c>
    </row>
    <row r="682" spans="1:7" x14ac:dyDescent="0.25">
      <c r="A682" t="s">
        <v>3</v>
      </c>
      <c r="B682">
        <v>680</v>
      </c>
      <c r="C682">
        <v>100</v>
      </c>
      <c r="D682" s="2">
        <v>30.121074914932251</v>
      </c>
      <c r="E682" s="2" t="s">
        <v>10</v>
      </c>
      <c r="F682" s="2" t="s">
        <v>20</v>
      </c>
      <c r="G682" s="2">
        <v>6.8</v>
      </c>
    </row>
    <row r="683" spans="1:7" x14ac:dyDescent="0.25">
      <c r="A683" t="s">
        <v>3</v>
      </c>
      <c r="B683">
        <v>681</v>
      </c>
      <c r="C683">
        <v>0</v>
      </c>
      <c r="D683" s="3">
        <v>36.489807367324829</v>
      </c>
      <c r="E683" s="3" t="s">
        <v>10</v>
      </c>
      <c r="F683" s="3" t="s">
        <v>15</v>
      </c>
      <c r="G683" s="3">
        <v>4.3</v>
      </c>
    </row>
    <row r="684" spans="1:7" x14ac:dyDescent="0.25">
      <c r="A684" t="s">
        <v>3</v>
      </c>
      <c r="B684">
        <v>682</v>
      </c>
      <c r="C684">
        <v>0</v>
      </c>
      <c r="D684" s="2">
        <v>26.70228910446167</v>
      </c>
      <c r="E684" s="2" t="s">
        <v>10</v>
      </c>
      <c r="F684" s="2" t="s">
        <v>20</v>
      </c>
      <c r="G684" s="2">
        <v>9.3000000000000007</v>
      </c>
    </row>
    <row r="685" spans="1:7" x14ac:dyDescent="0.25">
      <c r="A685" t="s">
        <v>3</v>
      </c>
      <c r="B685">
        <v>683</v>
      </c>
      <c r="C685">
        <v>0</v>
      </c>
      <c r="D685" s="3">
        <v>27.445487499237061</v>
      </c>
      <c r="E685" s="3" t="s">
        <v>10</v>
      </c>
      <c r="F685" s="3" t="s">
        <v>15</v>
      </c>
      <c r="G685" s="3">
        <v>7.8</v>
      </c>
    </row>
    <row r="686" spans="1:7" x14ac:dyDescent="0.25">
      <c r="A686" t="s">
        <v>3</v>
      </c>
      <c r="B686">
        <v>684</v>
      </c>
      <c r="C686">
        <v>100</v>
      </c>
      <c r="D686" s="2">
        <v>41.081996917724609</v>
      </c>
      <c r="E686" s="2" t="s">
        <v>10</v>
      </c>
      <c r="F686" s="2" t="s">
        <v>15</v>
      </c>
      <c r="G686" s="2">
        <v>7.8</v>
      </c>
    </row>
    <row r="687" spans="1:7" x14ac:dyDescent="0.25">
      <c r="A687" t="s">
        <v>3</v>
      </c>
      <c r="B687">
        <v>685</v>
      </c>
      <c r="C687">
        <v>0</v>
      </c>
      <c r="D687" s="3">
        <v>22.662882089614868</v>
      </c>
      <c r="E687" s="3" t="s">
        <v>10</v>
      </c>
      <c r="F687" s="3" t="s">
        <v>15</v>
      </c>
      <c r="G687" s="3">
        <v>7.8</v>
      </c>
    </row>
    <row r="688" spans="1:7" x14ac:dyDescent="0.25">
      <c r="A688" t="s">
        <v>3</v>
      </c>
      <c r="B688">
        <v>686</v>
      </c>
      <c r="C688">
        <v>100</v>
      </c>
      <c r="D688" s="2">
        <v>26.441911220550537</v>
      </c>
      <c r="E688" s="2" t="s">
        <v>10</v>
      </c>
      <c r="F688" s="2" t="s">
        <v>29</v>
      </c>
      <c r="G688" s="2">
        <v>5</v>
      </c>
    </row>
    <row r="689" spans="1:7" x14ac:dyDescent="0.25">
      <c r="A689" t="s">
        <v>3</v>
      </c>
      <c r="B689">
        <v>687</v>
      </c>
      <c r="C689">
        <v>100</v>
      </c>
      <c r="D689" s="3">
        <v>34.949676752090454</v>
      </c>
      <c r="E689" s="3" t="s">
        <v>10</v>
      </c>
      <c r="F689" s="3" t="s">
        <v>17</v>
      </c>
      <c r="G689" s="3">
        <v>5</v>
      </c>
    </row>
    <row r="690" spans="1:7" x14ac:dyDescent="0.25">
      <c r="A690" t="s">
        <v>3</v>
      </c>
      <c r="B690">
        <v>688</v>
      </c>
      <c r="C690">
        <v>10</v>
      </c>
      <c r="D690" s="2">
        <v>30.318132400512695</v>
      </c>
      <c r="E690" s="2" t="s">
        <v>10</v>
      </c>
      <c r="F690" s="2" t="s">
        <v>17</v>
      </c>
      <c r="G690" s="2">
        <v>5</v>
      </c>
    </row>
    <row r="691" spans="1:7" x14ac:dyDescent="0.25">
      <c r="A691" t="s">
        <v>3</v>
      </c>
      <c r="B691">
        <v>689</v>
      </c>
      <c r="C691">
        <v>100</v>
      </c>
      <c r="D691" s="3">
        <v>38.100584268569946</v>
      </c>
      <c r="E691" s="3" t="s">
        <v>10</v>
      </c>
      <c r="F691" s="3" t="s">
        <v>30</v>
      </c>
      <c r="G691" s="3">
        <v>10</v>
      </c>
    </row>
    <row r="692" spans="1:7" x14ac:dyDescent="0.25">
      <c r="A692" t="s">
        <v>3</v>
      </c>
      <c r="B692">
        <v>690</v>
      </c>
      <c r="C692">
        <v>100</v>
      </c>
      <c r="D692" s="2">
        <v>12.51101279258728</v>
      </c>
      <c r="E692" s="2" t="s">
        <v>10</v>
      </c>
      <c r="F692" s="2" t="s">
        <v>17</v>
      </c>
      <c r="G692" s="2">
        <v>1.9</v>
      </c>
    </row>
    <row r="693" spans="1:7" x14ac:dyDescent="0.25">
      <c r="A693" t="s">
        <v>3</v>
      </c>
      <c r="B693">
        <v>691</v>
      </c>
      <c r="C693">
        <v>100</v>
      </c>
      <c r="D693" s="3">
        <v>30.838458061218262</v>
      </c>
      <c r="E693" s="3" t="s">
        <v>10</v>
      </c>
      <c r="F693" s="3" t="s">
        <v>17</v>
      </c>
      <c r="G693" s="3">
        <v>2.6</v>
      </c>
    </row>
    <row r="694" spans="1:7" x14ac:dyDescent="0.25">
      <c r="A694" t="s">
        <v>3</v>
      </c>
      <c r="B694">
        <v>692</v>
      </c>
      <c r="C694">
        <v>100</v>
      </c>
      <c r="D694" s="2">
        <v>36.589999675750732</v>
      </c>
      <c r="E694" s="2" t="s">
        <v>10</v>
      </c>
      <c r="F694" s="2" t="s">
        <v>17</v>
      </c>
      <c r="G694" s="2">
        <v>2.6</v>
      </c>
    </row>
    <row r="695" spans="1:7" x14ac:dyDescent="0.25">
      <c r="A695" t="s">
        <v>3</v>
      </c>
      <c r="B695">
        <v>693</v>
      </c>
      <c r="C695">
        <v>70</v>
      </c>
      <c r="D695" s="3">
        <v>28.723379373550415</v>
      </c>
      <c r="E695" s="3" t="s">
        <v>10</v>
      </c>
      <c r="F695" s="3" t="s">
        <v>17</v>
      </c>
      <c r="G695" s="3">
        <v>2.6</v>
      </c>
    </row>
    <row r="696" spans="1:7" x14ac:dyDescent="0.25">
      <c r="A696" t="s">
        <v>3</v>
      </c>
      <c r="B696">
        <v>694</v>
      </c>
      <c r="C696">
        <v>100</v>
      </c>
      <c r="D696" s="2">
        <v>29.963010787963867</v>
      </c>
      <c r="E696" s="2" t="s">
        <v>10</v>
      </c>
      <c r="F696" s="2" t="s">
        <v>17</v>
      </c>
      <c r="G696" s="2">
        <v>2.6</v>
      </c>
    </row>
    <row r="697" spans="1:7" x14ac:dyDescent="0.25">
      <c r="A697" t="s">
        <v>3</v>
      </c>
      <c r="B697">
        <v>695</v>
      </c>
      <c r="C697">
        <v>100</v>
      </c>
      <c r="D697" s="3">
        <v>14.826510429382324</v>
      </c>
      <c r="E697" s="3" t="s">
        <v>10</v>
      </c>
      <c r="F697" s="3" t="s">
        <v>15</v>
      </c>
      <c r="G697" s="3">
        <v>7.5</v>
      </c>
    </row>
    <row r="698" spans="1:7" x14ac:dyDescent="0.25">
      <c r="A698" t="s">
        <v>3</v>
      </c>
      <c r="B698">
        <v>696</v>
      </c>
      <c r="C698">
        <v>0</v>
      </c>
      <c r="D698" s="2">
        <v>31.095271110534668</v>
      </c>
      <c r="E698" s="2" t="s">
        <v>10</v>
      </c>
      <c r="F698" s="2" t="s">
        <v>15</v>
      </c>
      <c r="G698" s="2">
        <v>4.3</v>
      </c>
    </row>
    <row r="699" spans="1:7" x14ac:dyDescent="0.25">
      <c r="A699" t="s">
        <v>3</v>
      </c>
      <c r="B699">
        <v>697</v>
      </c>
      <c r="C699">
        <v>100</v>
      </c>
      <c r="D699" s="3">
        <v>19.643517971038818</v>
      </c>
      <c r="E699" s="3" t="s">
        <v>10</v>
      </c>
      <c r="F699" s="3" t="s">
        <v>15</v>
      </c>
      <c r="G699" s="3">
        <v>4.3</v>
      </c>
    </row>
    <row r="700" spans="1:7" x14ac:dyDescent="0.25">
      <c r="A700" t="s">
        <v>3</v>
      </c>
      <c r="B700">
        <v>698</v>
      </c>
      <c r="C700">
        <v>100</v>
      </c>
      <c r="D700" s="2">
        <v>27.899727344512939</v>
      </c>
      <c r="E700" s="2" t="s">
        <v>10</v>
      </c>
      <c r="F700" s="2" t="s">
        <v>15</v>
      </c>
      <c r="G700" s="2">
        <v>5</v>
      </c>
    </row>
    <row r="701" spans="1:7" x14ac:dyDescent="0.25">
      <c r="A701" t="s">
        <v>3</v>
      </c>
      <c r="B701">
        <v>699</v>
      </c>
      <c r="C701">
        <v>100</v>
      </c>
      <c r="D701" s="3">
        <v>20.743912935256958</v>
      </c>
      <c r="E701" s="3" t="s">
        <v>10</v>
      </c>
      <c r="F701" s="3" t="s">
        <v>18</v>
      </c>
      <c r="G701" s="3">
        <v>6.8</v>
      </c>
    </row>
    <row r="702" spans="1:7" x14ac:dyDescent="0.25">
      <c r="A702" t="s">
        <v>3</v>
      </c>
      <c r="B702">
        <v>700</v>
      </c>
      <c r="C702">
        <v>100</v>
      </c>
      <c r="D702" s="2">
        <v>26.589090347290039</v>
      </c>
      <c r="E702" s="2" t="s">
        <v>10</v>
      </c>
      <c r="F702" s="2" t="s">
        <v>38</v>
      </c>
      <c r="G702" s="2">
        <v>4.3</v>
      </c>
    </row>
    <row r="703" spans="1:7" x14ac:dyDescent="0.25">
      <c r="A703" t="s">
        <v>3</v>
      </c>
      <c r="B703">
        <v>701</v>
      </c>
      <c r="C703">
        <v>100</v>
      </c>
      <c r="D703" s="3">
        <v>40.779293775558472</v>
      </c>
      <c r="E703" s="3" t="s">
        <v>10</v>
      </c>
      <c r="F703" s="3" t="s">
        <v>22</v>
      </c>
      <c r="G703" s="3">
        <v>6.8</v>
      </c>
    </row>
    <row r="704" spans="1:7" x14ac:dyDescent="0.25">
      <c r="A704" t="s">
        <v>3</v>
      </c>
      <c r="B704">
        <v>702</v>
      </c>
      <c r="C704">
        <v>0</v>
      </c>
      <c r="D704" s="2">
        <v>39.91205906867981</v>
      </c>
      <c r="E704" s="2" t="s">
        <v>10</v>
      </c>
      <c r="F704" s="2" t="s">
        <v>22</v>
      </c>
      <c r="G704" s="2">
        <v>6.8</v>
      </c>
    </row>
    <row r="705" spans="1:7" x14ac:dyDescent="0.25">
      <c r="A705" t="s">
        <v>3</v>
      </c>
      <c r="B705">
        <v>703</v>
      </c>
      <c r="C705">
        <v>100</v>
      </c>
      <c r="D705" s="3">
        <v>22.646678924560547</v>
      </c>
      <c r="E705" s="3" t="s">
        <v>10</v>
      </c>
      <c r="F705" s="3" t="s">
        <v>22</v>
      </c>
      <c r="G705" s="3">
        <v>6.8</v>
      </c>
    </row>
    <row r="706" spans="1:7" x14ac:dyDescent="0.25">
      <c r="A706" t="s">
        <v>3</v>
      </c>
      <c r="B706">
        <v>704</v>
      </c>
      <c r="C706">
        <v>90</v>
      </c>
      <c r="D706" s="2">
        <v>31.405784606933594</v>
      </c>
      <c r="E706" s="2" t="s">
        <v>10</v>
      </c>
      <c r="F706" s="2" t="s">
        <v>15</v>
      </c>
      <c r="G706" s="2">
        <v>3.6</v>
      </c>
    </row>
    <row r="707" spans="1:7" x14ac:dyDescent="0.25">
      <c r="A707" t="s">
        <v>3</v>
      </c>
      <c r="B707">
        <v>705</v>
      </c>
      <c r="C707">
        <v>100</v>
      </c>
      <c r="D707" s="3">
        <v>20.257185459136963</v>
      </c>
      <c r="E707" s="3" t="s">
        <v>10</v>
      </c>
      <c r="F707" s="3" t="s">
        <v>18</v>
      </c>
      <c r="G707" s="3">
        <v>8.5</v>
      </c>
    </row>
    <row r="708" spans="1:7" x14ac:dyDescent="0.25">
      <c r="A708" t="s">
        <v>3</v>
      </c>
      <c r="B708">
        <v>706</v>
      </c>
      <c r="C708">
        <v>70</v>
      </c>
      <c r="D708" s="2">
        <v>17.30306601524353</v>
      </c>
      <c r="E708" s="2" t="s">
        <v>10</v>
      </c>
      <c r="F708" s="2" t="s">
        <v>18</v>
      </c>
      <c r="G708" s="2">
        <v>8.5</v>
      </c>
    </row>
    <row r="709" spans="1:7" x14ac:dyDescent="0.25">
      <c r="A709" t="s">
        <v>3</v>
      </c>
      <c r="B709">
        <v>707</v>
      </c>
      <c r="C709">
        <v>100</v>
      </c>
      <c r="D709" s="3">
        <v>15.219860792160034</v>
      </c>
      <c r="E709" s="3" t="s">
        <v>10</v>
      </c>
      <c r="F709" s="3" t="s">
        <v>18</v>
      </c>
      <c r="G709" s="3">
        <v>8.5</v>
      </c>
    </row>
    <row r="710" spans="1:7" x14ac:dyDescent="0.25">
      <c r="A710" t="s">
        <v>3</v>
      </c>
      <c r="B710">
        <v>708</v>
      </c>
      <c r="C710">
        <v>100</v>
      </c>
      <c r="D710" s="2">
        <v>25.525900840759277</v>
      </c>
      <c r="E710" s="2" t="s">
        <v>10</v>
      </c>
      <c r="F710" s="2" t="s">
        <v>13</v>
      </c>
      <c r="G710" s="2">
        <v>5</v>
      </c>
    </row>
    <row r="711" spans="1:7" x14ac:dyDescent="0.25">
      <c r="A711" t="s">
        <v>3</v>
      </c>
      <c r="B711">
        <v>709</v>
      </c>
      <c r="C711">
        <v>100</v>
      </c>
      <c r="D711" s="3">
        <v>14.58997106552124</v>
      </c>
      <c r="E711" s="3" t="s">
        <v>10</v>
      </c>
      <c r="F711" s="3" t="s">
        <v>13</v>
      </c>
      <c r="G711" s="3">
        <v>6.8</v>
      </c>
    </row>
    <row r="712" spans="1:7" x14ac:dyDescent="0.25">
      <c r="A712" t="s">
        <v>3</v>
      </c>
      <c r="B712">
        <v>710</v>
      </c>
      <c r="C712">
        <v>100</v>
      </c>
      <c r="D712" s="2">
        <v>16.730602979660034</v>
      </c>
      <c r="E712" s="2" t="s">
        <v>10</v>
      </c>
      <c r="F712" s="2" t="s">
        <v>13</v>
      </c>
      <c r="G712" s="2">
        <v>4.3</v>
      </c>
    </row>
    <row r="713" spans="1:7" x14ac:dyDescent="0.25">
      <c r="A713" t="s">
        <v>3</v>
      </c>
      <c r="B713">
        <v>711</v>
      </c>
      <c r="C713">
        <v>100</v>
      </c>
      <c r="D713" s="3">
        <v>29.054939031600952</v>
      </c>
      <c r="E713" s="3" t="s">
        <v>10</v>
      </c>
      <c r="F713" s="3" t="s">
        <v>13</v>
      </c>
      <c r="G713" s="3">
        <v>4.3</v>
      </c>
    </row>
    <row r="714" spans="1:7" x14ac:dyDescent="0.25">
      <c r="A714" t="s">
        <v>3</v>
      </c>
      <c r="B714">
        <v>712</v>
      </c>
      <c r="C714">
        <v>100</v>
      </c>
      <c r="D714" s="2">
        <v>30.021860837936401</v>
      </c>
      <c r="E714" s="2" t="s">
        <v>10</v>
      </c>
      <c r="F714" s="2" t="s">
        <v>13</v>
      </c>
      <c r="G714" s="2">
        <v>2.1</v>
      </c>
    </row>
    <row r="715" spans="1:7" x14ac:dyDescent="0.25">
      <c r="A715" t="s">
        <v>3</v>
      </c>
      <c r="B715">
        <v>713</v>
      </c>
      <c r="C715">
        <v>100</v>
      </c>
      <c r="D715" s="3">
        <v>34.245208501815796</v>
      </c>
      <c r="E715" s="3" t="s">
        <v>10</v>
      </c>
      <c r="F715" s="3" t="s">
        <v>13</v>
      </c>
      <c r="G715" s="3">
        <v>2.1</v>
      </c>
    </row>
    <row r="716" spans="1:7" x14ac:dyDescent="0.25">
      <c r="A716" t="s">
        <v>3</v>
      </c>
      <c r="B716">
        <v>714</v>
      </c>
      <c r="C716">
        <v>100</v>
      </c>
      <c r="D716" s="2">
        <v>26.631622314453125</v>
      </c>
      <c r="E716" s="2" t="s">
        <v>10</v>
      </c>
      <c r="F716" s="2" t="s">
        <v>14</v>
      </c>
      <c r="G716" s="2">
        <v>4.3</v>
      </c>
    </row>
    <row r="717" spans="1:7" x14ac:dyDescent="0.25">
      <c r="A717" t="s">
        <v>3</v>
      </c>
      <c r="B717">
        <v>715</v>
      </c>
      <c r="C717">
        <v>100</v>
      </c>
      <c r="D717" s="3">
        <v>31.523724555969238</v>
      </c>
      <c r="E717" s="3" t="s">
        <v>10</v>
      </c>
      <c r="F717" s="3" t="s">
        <v>15</v>
      </c>
      <c r="G717" s="3">
        <v>4.9000000000000004</v>
      </c>
    </row>
    <row r="718" spans="1:7" x14ac:dyDescent="0.25">
      <c r="A718" t="s">
        <v>3</v>
      </c>
      <c r="B718">
        <v>716</v>
      </c>
      <c r="C718">
        <v>1</v>
      </c>
      <c r="D718" s="2">
        <v>11.765551567077637</v>
      </c>
      <c r="E718" s="2" t="s">
        <v>10</v>
      </c>
      <c r="F718" s="2" t="s">
        <v>17</v>
      </c>
      <c r="G718" s="2">
        <v>5.8</v>
      </c>
    </row>
    <row r="719" spans="1:7" x14ac:dyDescent="0.25">
      <c r="A719" t="s">
        <v>3</v>
      </c>
      <c r="B719">
        <v>717</v>
      </c>
      <c r="C719">
        <v>100</v>
      </c>
      <c r="D719" s="3">
        <v>12.810734987258911</v>
      </c>
      <c r="E719" s="3" t="s">
        <v>10</v>
      </c>
      <c r="F719" s="3" t="s">
        <v>17</v>
      </c>
      <c r="G719" s="3">
        <v>5.8</v>
      </c>
    </row>
    <row r="720" spans="1:7" x14ac:dyDescent="0.25">
      <c r="A720" t="s">
        <v>3</v>
      </c>
      <c r="B720">
        <v>718</v>
      </c>
      <c r="C720">
        <v>100</v>
      </c>
      <c r="D720" s="2">
        <v>26.728060007095337</v>
      </c>
      <c r="E720" s="2" t="s">
        <v>10</v>
      </c>
      <c r="F720" s="2" t="s">
        <v>15</v>
      </c>
      <c r="G720" s="2">
        <v>4.3</v>
      </c>
    </row>
    <row r="721" spans="1:7" x14ac:dyDescent="0.25">
      <c r="A721" t="s">
        <v>3</v>
      </c>
      <c r="B721">
        <v>719</v>
      </c>
      <c r="C721">
        <v>0</v>
      </c>
      <c r="D721" s="3">
        <v>32.791807651519775</v>
      </c>
      <c r="E721" s="3" t="s">
        <v>10</v>
      </c>
      <c r="F721" s="3" t="s">
        <v>28</v>
      </c>
      <c r="G721" s="3">
        <v>7.2</v>
      </c>
    </row>
    <row r="722" spans="1:7" x14ac:dyDescent="0.25">
      <c r="A722" t="s">
        <v>3</v>
      </c>
      <c r="B722">
        <v>720</v>
      </c>
      <c r="C722">
        <v>100</v>
      </c>
      <c r="D722" s="2">
        <v>28.580502271652222</v>
      </c>
      <c r="E722" s="2" t="s">
        <v>10</v>
      </c>
      <c r="F722" s="2" t="s">
        <v>20</v>
      </c>
      <c r="G722" s="2">
        <v>6.8</v>
      </c>
    </row>
    <row r="723" spans="1:7" x14ac:dyDescent="0.25">
      <c r="A723" t="s">
        <v>3</v>
      </c>
      <c r="B723">
        <v>721</v>
      </c>
      <c r="C723">
        <v>100</v>
      </c>
      <c r="D723" s="3">
        <v>24.401664257049561</v>
      </c>
      <c r="E723" s="3" t="s">
        <v>10</v>
      </c>
      <c r="F723" s="3" t="s">
        <v>23</v>
      </c>
      <c r="G723" s="3">
        <v>7.5</v>
      </c>
    </row>
    <row r="724" spans="1:7" x14ac:dyDescent="0.25">
      <c r="A724" t="s">
        <v>3</v>
      </c>
      <c r="B724">
        <v>722</v>
      </c>
      <c r="C724">
        <v>55</v>
      </c>
      <c r="D724" s="2">
        <v>27.049772500991821</v>
      </c>
      <c r="E724" s="2" t="s">
        <v>10</v>
      </c>
      <c r="F724" s="2" t="s">
        <v>20</v>
      </c>
      <c r="G724" s="2">
        <v>6.8</v>
      </c>
    </row>
    <row r="725" spans="1:7" x14ac:dyDescent="0.25">
      <c r="A725" t="s">
        <v>3</v>
      </c>
      <c r="B725">
        <v>723</v>
      </c>
      <c r="C725">
        <v>100</v>
      </c>
      <c r="D725" s="3">
        <v>31.029882192611694</v>
      </c>
      <c r="E725" s="3" t="s">
        <v>10</v>
      </c>
      <c r="F725" s="3" t="s">
        <v>17</v>
      </c>
      <c r="G725" s="3">
        <v>3.6</v>
      </c>
    </row>
    <row r="726" spans="1:7" x14ac:dyDescent="0.25">
      <c r="A726" t="s">
        <v>3</v>
      </c>
      <c r="B726">
        <v>724</v>
      </c>
      <c r="C726">
        <v>15</v>
      </c>
      <c r="D726" s="2">
        <v>27.740237712860107</v>
      </c>
      <c r="E726" s="2" t="s">
        <v>10</v>
      </c>
      <c r="F726" s="2" t="s">
        <v>17</v>
      </c>
      <c r="G726" s="2">
        <v>3.6</v>
      </c>
    </row>
    <row r="727" spans="1:7" x14ac:dyDescent="0.25">
      <c r="A727" t="s">
        <v>3</v>
      </c>
      <c r="B727">
        <v>725</v>
      </c>
      <c r="C727">
        <v>100</v>
      </c>
      <c r="D727" s="3">
        <v>23.352352857589722</v>
      </c>
      <c r="E727" s="3" t="s">
        <v>10</v>
      </c>
      <c r="F727" s="3" t="s">
        <v>17</v>
      </c>
      <c r="G727" s="3">
        <v>3.6</v>
      </c>
    </row>
    <row r="728" spans="1:7" x14ac:dyDescent="0.25">
      <c r="A728" t="s">
        <v>3</v>
      </c>
      <c r="B728">
        <v>726</v>
      </c>
      <c r="C728">
        <v>100</v>
      </c>
      <c r="D728" s="2">
        <v>11.986270427703857</v>
      </c>
      <c r="E728" s="2" t="s">
        <v>10</v>
      </c>
      <c r="F728" s="2" t="s">
        <v>15</v>
      </c>
      <c r="G728" s="2">
        <v>10</v>
      </c>
    </row>
    <row r="729" spans="1:7" x14ac:dyDescent="0.25">
      <c r="A729" t="s">
        <v>3</v>
      </c>
      <c r="B729">
        <v>727</v>
      </c>
      <c r="C729">
        <v>100</v>
      </c>
      <c r="D729" s="3">
        <v>25.457427263259888</v>
      </c>
      <c r="E729" s="3" t="s">
        <v>10</v>
      </c>
      <c r="F729" s="3" t="s">
        <v>15</v>
      </c>
      <c r="G729" s="3">
        <v>10</v>
      </c>
    </row>
    <row r="730" spans="1:7" x14ac:dyDescent="0.25">
      <c r="A730" t="s">
        <v>3</v>
      </c>
      <c r="B730">
        <v>728</v>
      </c>
      <c r="C730">
        <v>100</v>
      </c>
      <c r="D730" s="2">
        <v>24.249845266342163</v>
      </c>
      <c r="E730" s="2" t="s">
        <v>10</v>
      </c>
      <c r="F730" s="2" t="s">
        <v>15</v>
      </c>
      <c r="G730" s="2">
        <v>10</v>
      </c>
    </row>
    <row r="731" spans="1:7" x14ac:dyDescent="0.25">
      <c r="A731" t="s">
        <v>3</v>
      </c>
      <c r="B731">
        <v>729</v>
      </c>
      <c r="C731">
        <v>0</v>
      </c>
      <c r="D731" s="3">
        <v>16.854959964752197</v>
      </c>
      <c r="E731" s="3" t="s">
        <v>10</v>
      </c>
      <c r="F731" s="3" t="s">
        <v>15</v>
      </c>
      <c r="G731" s="3">
        <v>10</v>
      </c>
    </row>
    <row r="732" spans="1:7" x14ac:dyDescent="0.25">
      <c r="A732" t="s">
        <v>3</v>
      </c>
      <c r="B732">
        <v>730</v>
      </c>
      <c r="C732">
        <v>35</v>
      </c>
      <c r="D732" s="2">
        <v>28.960700988769531</v>
      </c>
      <c r="E732" s="2" t="s">
        <v>10</v>
      </c>
      <c r="F732" s="2" t="s">
        <v>15</v>
      </c>
      <c r="G732" s="2">
        <v>10</v>
      </c>
    </row>
    <row r="733" spans="1:7" x14ac:dyDescent="0.25">
      <c r="A733" t="s">
        <v>3</v>
      </c>
      <c r="B733">
        <v>731</v>
      </c>
      <c r="C733">
        <v>100</v>
      </c>
      <c r="D733" s="3">
        <v>19.461128234863281</v>
      </c>
      <c r="E733" s="3" t="s">
        <v>10</v>
      </c>
      <c r="F733" s="3" t="s">
        <v>15</v>
      </c>
      <c r="G733" s="3">
        <v>10</v>
      </c>
    </row>
    <row r="734" spans="1:7" x14ac:dyDescent="0.25">
      <c r="A734" t="s">
        <v>3</v>
      </c>
      <c r="B734">
        <v>732</v>
      </c>
      <c r="C734">
        <v>0</v>
      </c>
      <c r="D734" s="2">
        <v>29.880486249923706</v>
      </c>
      <c r="E734" s="2" t="s">
        <v>10</v>
      </c>
      <c r="F734" s="2" t="s">
        <v>15</v>
      </c>
      <c r="G734" s="2">
        <v>10</v>
      </c>
    </row>
    <row r="735" spans="1:7" x14ac:dyDescent="0.25">
      <c r="A735" t="s">
        <v>3</v>
      </c>
      <c r="B735">
        <v>733</v>
      </c>
      <c r="C735">
        <v>100</v>
      </c>
      <c r="D735" s="3">
        <v>11.933857679367065</v>
      </c>
      <c r="E735" s="3" t="s">
        <v>10</v>
      </c>
      <c r="F735" s="3" t="s">
        <v>15</v>
      </c>
      <c r="G735" s="3">
        <v>10</v>
      </c>
    </row>
    <row r="736" spans="1:7" x14ac:dyDescent="0.25">
      <c r="A736" t="s">
        <v>3</v>
      </c>
      <c r="B736">
        <v>734</v>
      </c>
      <c r="C736">
        <v>100</v>
      </c>
      <c r="D736" s="2">
        <v>21.134165048599243</v>
      </c>
      <c r="E736" s="2" t="s">
        <v>10</v>
      </c>
      <c r="F736" s="2" t="s">
        <v>15</v>
      </c>
      <c r="G736" s="2">
        <v>4.3</v>
      </c>
    </row>
    <row r="737" spans="1:7" x14ac:dyDescent="0.25">
      <c r="A737" t="s">
        <v>3</v>
      </c>
      <c r="B737">
        <v>735</v>
      </c>
      <c r="C737">
        <v>100</v>
      </c>
      <c r="D737" s="3">
        <v>24.852669477462769</v>
      </c>
      <c r="E737" s="3" t="s">
        <v>19</v>
      </c>
      <c r="F737" s="3" t="s">
        <v>14</v>
      </c>
      <c r="G737" s="3">
        <v>5</v>
      </c>
    </row>
    <row r="738" spans="1:7" x14ac:dyDescent="0.25">
      <c r="A738" t="s">
        <v>3</v>
      </c>
      <c r="B738">
        <v>736</v>
      </c>
      <c r="C738">
        <v>100</v>
      </c>
      <c r="D738" s="2">
        <v>29.879472732543945</v>
      </c>
      <c r="E738" s="2" t="s">
        <v>10</v>
      </c>
      <c r="F738" s="2" t="s">
        <v>15</v>
      </c>
      <c r="G738" s="2">
        <v>5</v>
      </c>
    </row>
    <row r="739" spans="1:7" x14ac:dyDescent="0.25">
      <c r="A739" t="s">
        <v>3</v>
      </c>
      <c r="B739">
        <v>737</v>
      </c>
      <c r="C739">
        <v>100</v>
      </c>
      <c r="D739" s="3">
        <v>31.55060863494873</v>
      </c>
      <c r="E739" s="3" t="s">
        <v>10</v>
      </c>
      <c r="F739" s="3" t="s">
        <v>23</v>
      </c>
      <c r="G739" s="3">
        <v>7.5</v>
      </c>
    </row>
    <row r="740" spans="1:7" x14ac:dyDescent="0.25">
      <c r="A740" t="s">
        <v>3</v>
      </c>
      <c r="B740">
        <v>738</v>
      </c>
      <c r="C740">
        <v>100</v>
      </c>
      <c r="D740" s="2">
        <v>31.836917877197266</v>
      </c>
      <c r="E740" s="2" t="s">
        <v>10</v>
      </c>
      <c r="F740" s="2" t="s">
        <v>22</v>
      </c>
      <c r="G740" s="2">
        <v>10</v>
      </c>
    </row>
    <row r="741" spans="1:7" x14ac:dyDescent="0.25">
      <c r="A741" t="s">
        <v>3</v>
      </c>
      <c r="B741">
        <v>739</v>
      </c>
      <c r="C741">
        <v>25</v>
      </c>
      <c r="D741" s="3">
        <v>23.020520687103271</v>
      </c>
      <c r="E741" s="3" t="s">
        <v>10</v>
      </c>
      <c r="F741" s="3" t="s">
        <v>18</v>
      </c>
      <c r="G741" s="3">
        <v>10</v>
      </c>
    </row>
    <row r="742" spans="1:7" x14ac:dyDescent="0.25">
      <c r="A742" t="s">
        <v>3</v>
      </c>
      <c r="B742">
        <v>740</v>
      </c>
      <c r="C742">
        <v>100</v>
      </c>
      <c r="D742" s="2">
        <v>15.537811279296875</v>
      </c>
      <c r="E742" s="2" t="s">
        <v>10</v>
      </c>
      <c r="F742" s="2" t="s">
        <v>18</v>
      </c>
      <c r="G742" s="2">
        <v>10</v>
      </c>
    </row>
    <row r="743" spans="1:7" x14ac:dyDescent="0.25">
      <c r="A743" t="s">
        <v>3</v>
      </c>
      <c r="B743">
        <v>741</v>
      </c>
      <c r="C743">
        <v>15</v>
      </c>
      <c r="D743" s="3">
        <v>11.702028036117554</v>
      </c>
      <c r="E743" s="3" t="s">
        <v>10</v>
      </c>
      <c r="F743" s="3" t="s">
        <v>18</v>
      </c>
      <c r="G743" s="3">
        <v>10</v>
      </c>
    </row>
    <row r="744" spans="1:7" x14ac:dyDescent="0.25">
      <c r="A744" t="s">
        <v>3</v>
      </c>
      <c r="B744">
        <v>742</v>
      </c>
      <c r="C744">
        <v>100</v>
      </c>
      <c r="D744" s="2">
        <v>34.981483936309814</v>
      </c>
      <c r="E744" s="2" t="s">
        <v>10</v>
      </c>
      <c r="F744" s="2" t="s">
        <v>18</v>
      </c>
      <c r="G744" s="2">
        <v>10</v>
      </c>
    </row>
    <row r="745" spans="1:7" x14ac:dyDescent="0.25">
      <c r="A745" t="s">
        <v>3</v>
      </c>
      <c r="B745">
        <v>743</v>
      </c>
      <c r="C745">
        <v>100</v>
      </c>
      <c r="D745" s="3">
        <v>28.048837423324585</v>
      </c>
      <c r="E745" s="3" t="s">
        <v>10</v>
      </c>
      <c r="F745" s="3" t="s">
        <v>22</v>
      </c>
      <c r="G745" s="3">
        <v>7.5</v>
      </c>
    </row>
    <row r="746" spans="1:7" x14ac:dyDescent="0.25">
      <c r="A746" t="s">
        <v>3</v>
      </c>
      <c r="B746">
        <v>744</v>
      </c>
      <c r="C746">
        <v>100</v>
      </c>
      <c r="D746" s="2">
        <v>31.653018474578857</v>
      </c>
      <c r="E746" s="2" t="s">
        <v>10</v>
      </c>
      <c r="F746" s="2" t="s">
        <v>15</v>
      </c>
      <c r="G746" s="2">
        <v>5</v>
      </c>
    </row>
    <row r="747" spans="1:7" x14ac:dyDescent="0.25">
      <c r="A747" t="s">
        <v>3</v>
      </c>
      <c r="B747">
        <v>745</v>
      </c>
      <c r="C747">
        <v>100</v>
      </c>
      <c r="D747" s="3">
        <v>11.137195348739624</v>
      </c>
      <c r="E747" s="3" t="s">
        <v>10</v>
      </c>
      <c r="F747" s="3" t="s">
        <v>11</v>
      </c>
      <c r="G747" s="3">
        <v>5</v>
      </c>
    </row>
    <row r="748" spans="1:7" x14ac:dyDescent="0.25">
      <c r="A748" t="s">
        <v>3</v>
      </c>
      <c r="B748">
        <v>746</v>
      </c>
      <c r="C748">
        <v>100</v>
      </c>
      <c r="D748" s="2">
        <v>25.394190788269043</v>
      </c>
      <c r="E748" s="2" t="s">
        <v>10</v>
      </c>
      <c r="F748" s="2" t="s">
        <v>11</v>
      </c>
      <c r="G748" s="2">
        <v>5</v>
      </c>
    </row>
    <row r="749" spans="1:7" x14ac:dyDescent="0.25">
      <c r="A749" t="s">
        <v>3</v>
      </c>
      <c r="B749">
        <v>747</v>
      </c>
      <c r="C749">
        <v>85</v>
      </c>
      <c r="D749" s="3">
        <v>30.153916358947754</v>
      </c>
      <c r="E749" s="3" t="s">
        <v>10</v>
      </c>
      <c r="F749" s="3" t="s">
        <v>11</v>
      </c>
      <c r="G749" s="3">
        <v>5</v>
      </c>
    </row>
    <row r="750" spans="1:7" x14ac:dyDescent="0.25">
      <c r="A750" t="s">
        <v>3</v>
      </c>
      <c r="B750">
        <v>748</v>
      </c>
      <c r="C750">
        <v>0</v>
      </c>
      <c r="D750" s="2">
        <v>24.983095169067383</v>
      </c>
      <c r="E750" s="2" t="s">
        <v>10</v>
      </c>
      <c r="F750" s="2" t="s">
        <v>11</v>
      </c>
      <c r="G750" s="2">
        <v>5</v>
      </c>
    </row>
    <row r="751" spans="1:7" x14ac:dyDescent="0.25">
      <c r="A751" t="s">
        <v>3</v>
      </c>
      <c r="B751">
        <v>749</v>
      </c>
      <c r="C751">
        <v>100</v>
      </c>
      <c r="D751" s="3">
        <v>26.790199995040894</v>
      </c>
      <c r="E751" s="3" t="s">
        <v>10</v>
      </c>
      <c r="F751" s="3" t="s">
        <v>11</v>
      </c>
      <c r="G751" s="3">
        <v>5</v>
      </c>
    </row>
    <row r="752" spans="1:7" x14ac:dyDescent="0.25">
      <c r="A752" t="s">
        <v>3</v>
      </c>
      <c r="B752">
        <v>750</v>
      </c>
      <c r="C752">
        <v>100</v>
      </c>
      <c r="D752" s="2">
        <v>26.160267353057861</v>
      </c>
      <c r="E752" s="2" t="s">
        <v>10</v>
      </c>
      <c r="F752" s="2" t="s">
        <v>11</v>
      </c>
      <c r="G752" s="2">
        <v>5</v>
      </c>
    </row>
    <row r="753" spans="1:7" x14ac:dyDescent="0.25">
      <c r="A753" t="s">
        <v>3</v>
      </c>
      <c r="B753">
        <v>751</v>
      </c>
      <c r="C753">
        <v>100</v>
      </c>
      <c r="D753" s="3">
        <v>10.856027126312256</v>
      </c>
      <c r="E753" s="3" t="s">
        <v>10</v>
      </c>
      <c r="F753" s="3" t="s">
        <v>11</v>
      </c>
      <c r="G753" s="3">
        <v>5</v>
      </c>
    </row>
    <row r="754" spans="1:7" x14ac:dyDescent="0.25">
      <c r="A754" t="s">
        <v>3</v>
      </c>
      <c r="B754">
        <v>752</v>
      </c>
      <c r="C754">
        <v>100</v>
      </c>
      <c r="D754" s="2">
        <v>19.888867378234863</v>
      </c>
      <c r="E754" s="2" t="s">
        <v>10</v>
      </c>
      <c r="F754" s="2" t="s">
        <v>11</v>
      </c>
      <c r="G754" s="2">
        <v>5</v>
      </c>
    </row>
    <row r="755" spans="1:7" x14ac:dyDescent="0.25">
      <c r="A755" t="s">
        <v>3</v>
      </c>
      <c r="B755">
        <v>753</v>
      </c>
      <c r="C755">
        <v>0</v>
      </c>
      <c r="D755" s="3">
        <v>25.128437995910645</v>
      </c>
      <c r="E755" s="3" t="s">
        <v>10</v>
      </c>
      <c r="F755" s="3" t="s">
        <v>11</v>
      </c>
      <c r="G755" s="3">
        <v>5</v>
      </c>
    </row>
    <row r="756" spans="1:7" x14ac:dyDescent="0.25">
      <c r="A756" t="s">
        <v>3</v>
      </c>
      <c r="B756">
        <v>754</v>
      </c>
      <c r="C756">
        <v>100</v>
      </c>
      <c r="D756" s="2">
        <v>31.34040355682373</v>
      </c>
      <c r="E756" s="2" t="s">
        <v>10</v>
      </c>
      <c r="F756" s="2" t="s">
        <v>11</v>
      </c>
      <c r="G756" s="2">
        <v>5</v>
      </c>
    </row>
    <row r="757" spans="1:7" x14ac:dyDescent="0.25">
      <c r="A757" t="s">
        <v>3</v>
      </c>
      <c r="B757">
        <v>755</v>
      </c>
      <c r="C757">
        <v>100</v>
      </c>
      <c r="D757" s="3">
        <v>27.794408798217773</v>
      </c>
      <c r="E757" s="3" t="s">
        <v>10</v>
      </c>
      <c r="F757" s="3" t="s">
        <v>11</v>
      </c>
      <c r="G757" s="3">
        <v>5</v>
      </c>
    </row>
    <row r="758" spans="1:7" x14ac:dyDescent="0.25">
      <c r="A758" t="s">
        <v>3</v>
      </c>
      <c r="B758">
        <v>756</v>
      </c>
      <c r="C758">
        <v>0</v>
      </c>
      <c r="D758" s="2">
        <v>20.156183481216431</v>
      </c>
      <c r="E758" s="2" t="s">
        <v>10</v>
      </c>
      <c r="F758" s="2" t="s">
        <v>11</v>
      </c>
      <c r="G758" s="2">
        <v>5</v>
      </c>
    </row>
    <row r="759" spans="1:7" x14ac:dyDescent="0.25">
      <c r="A759" t="s">
        <v>3</v>
      </c>
      <c r="B759">
        <v>757</v>
      </c>
      <c r="C759">
        <v>100</v>
      </c>
      <c r="D759" s="3">
        <v>29.571709871292114</v>
      </c>
      <c r="E759" s="3" t="s">
        <v>10</v>
      </c>
      <c r="F759" s="3" t="s">
        <v>13</v>
      </c>
      <c r="G759" s="3">
        <v>4.3</v>
      </c>
    </row>
    <row r="760" spans="1:7" x14ac:dyDescent="0.25">
      <c r="A760" t="s">
        <v>3</v>
      </c>
      <c r="B760">
        <v>758</v>
      </c>
      <c r="C760">
        <v>100</v>
      </c>
      <c r="D760" s="2">
        <v>30.164733171463013</v>
      </c>
      <c r="E760" s="2" t="s">
        <v>10</v>
      </c>
      <c r="F760" s="2" t="s">
        <v>13</v>
      </c>
      <c r="G760" s="2">
        <v>4.3</v>
      </c>
    </row>
    <row r="761" spans="1:7" x14ac:dyDescent="0.25">
      <c r="A761" t="s">
        <v>3</v>
      </c>
      <c r="B761">
        <v>759</v>
      </c>
      <c r="C761">
        <v>100</v>
      </c>
      <c r="D761" s="3">
        <v>46.697706699371338</v>
      </c>
      <c r="E761" s="3" t="s">
        <v>10</v>
      </c>
      <c r="F761" s="3" t="s">
        <v>15</v>
      </c>
      <c r="G761" s="3">
        <v>5</v>
      </c>
    </row>
    <row r="762" spans="1:7" x14ac:dyDescent="0.25">
      <c r="A762" t="s">
        <v>3</v>
      </c>
      <c r="B762">
        <v>760</v>
      </c>
      <c r="C762">
        <v>100</v>
      </c>
      <c r="D762" s="2">
        <v>34.583446979522705</v>
      </c>
      <c r="E762" s="2" t="s">
        <v>10</v>
      </c>
      <c r="F762" s="2" t="s">
        <v>15</v>
      </c>
      <c r="G762" s="2">
        <v>5</v>
      </c>
    </row>
    <row r="763" spans="1:7" x14ac:dyDescent="0.25">
      <c r="A763" t="s">
        <v>3</v>
      </c>
      <c r="B763">
        <v>761</v>
      </c>
      <c r="C763">
        <v>0</v>
      </c>
      <c r="D763" s="3">
        <v>30.747678756713867</v>
      </c>
      <c r="E763" s="3" t="s">
        <v>10</v>
      </c>
      <c r="F763" s="3" t="s">
        <v>15</v>
      </c>
      <c r="G763" s="3">
        <v>5</v>
      </c>
    </row>
    <row r="764" spans="1:7" x14ac:dyDescent="0.25">
      <c r="A764" t="s">
        <v>3</v>
      </c>
      <c r="B764">
        <v>762</v>
      </c>
      <c r="C764">
        <v>15</v>
      </c>
      <c r="D764" s="2">
        <v>26.615709543228149</v>
      </c>
      <c r="E764" s="2" t="s">
        <v>10</v>
      </c>
      <c r="F764" s="2" t="s">
        <v>15</v>
      </c>
      <c r="G764" s="2">
        <v>4.3</v>
      </c>
    </row>
    <row r="765" spans="1:7" x14ac:dyDescent="0.25">
      <c r="A765" t="s">
        <v>3</v>
      </c>
      <c r="B765">
        <v>763</v>
      </c>
      <c r="C765">
        <v>100</v>
      </c>
      <c r="D765" s="3">
        <v>33.685658693313599</v>
      </c>
      <c r="E765" s="3" t="s">
        <v>10</v>
      </c>
      <c r="F765" s="3" t="s">
        <v>13</v>
      </c>
      <c r="G765" s="3">
        <v>4.3</v>
      </c>
    </row>
    <row r="766" spans="1:7" x14ac:dyDescent="0.25">
      <c r="A766" t="s">
        <v>3</v>
      </c>
      <c r="B766">
        <v>764</v>
      </c>
      <c r="C766">
        <v>100</v>
      </c>
      <c r="D766" s="2">
        <v>39.634435653686523</v>
      </c>
      <c r="E766" s="2" t="s">
        <v>10</v>
      </c>
      <c r="F766" s="2" t="s">
        <v>13</v>
      </c>
      <c r="G766" s="2">
        <v>4.3</v>
      </c>
    </row>
    <row r="767" spans="1:7" x14ac:dyDescent="0.25">
      <c r="A767" t="s">
        <v>3</v>
      </c>
      <c r="B767">
        <v>765</v>
      </c>
      <c r="C767">
        <v>0</v>
      </c>
      <c r="D767" s="3">
        <v>32.155693769454956</v>
      </c>
      <c r="E767" s="3" t="s">
        <v>10</v>
      </c>
      <c r="F767" s="3" t="s">
        <v>13</v>
      </c>
      <c r="G767" s="3">
        <v>4.3</v>
      </c>
    </row>
    <row r="768" spans="1:7" x14ac:dyDescent="0.25">
      <c r="A768" t="s">
        <v>3</v>
      </c>
      <c r="B768">
        <v>766</v>
      </c>
      <c r="C768">
        <v>0</v>
      </c>
      <c r="D768" s="2">
        <v>23.478028535842896</v>
      </c>
      <c r="E768" s="2" t="s">
        <v>10</v>
      </c>
      <c r="F768" s="2" t="s">
        <v>13</v>
      </c>
      <c r="G768" s="2">
        <v>4.3</v>
      </c>
    </row>
    <row r="769" spans="1:7" x14ac:dyDescent="0.25">
      <c r="A769" t="s">
        <v>3</v>
      </c>
      <c r="B769">
        <v>767</v>
      </c>
      <c r="C769">
        <v>35</v>
      </c>
      <c r="D769" s="3">
        <v>29.716328144073486</v>
      </c>
      <c r="E769" s="3" t="s">
        <v>10</v>
      </c>
      <c r="F769" s="3" t="s">
        <v>13</v>
      </c>
      <c r="G769" s="3">
        <v>4.3</v>
      </c>
    </row>
    <row r="770" spans="1:7" x14ac:dyDescent="0.25">
      <c r="A770" t="s">
        <v>3</v>
      </c>
      <c r="B770">
        <v>768</v>
      </c>
      <c r="C770">
        <v>0</v>
      </c>
      <c r="D770" s="2">
        <v>14.709612846374512</v>
      </c>
      <c r="E770" s="2" t="s">
        <v>10</v>
      </c>
      <c r="F770" s="2" t="s">
        <v>15</v>
      </c>
      <c r="G770" s="2">
        <v>5</v>
      </c>
    </row>
    <row r="771" spans="1:7" x14ac:dyDescent="0.25">
      <c r="A771" t="s">
        <v>3</v>
      </c>
      <c r="B771">
        <v>769</v>
      </c>
      <c r="C771">
        <v>0</v>
      </c>
      <c r="D771" s="3">
        <v>26.091695070266724</v>
      </c>
      <c r="E771" s="3" t="s">
        <v>10</v>
      </c>
      <c r="F771" s="3" t="s">
        <v>20</v>
      </c>
      <c r="G771" s="3">
        <v>9.3000000000000007</v>
      </c>
    </row>
    <row r="772" spans="1:7" x14ac:dyDescent="0.25">
      <c r="A772" t="s">
        <v>3</v>
      </c>
      <c r="B772">
        <v>770</v>
      </c>
      <c r="C772">
        <v>4</v>
      </c>
      <c r="D772" s="2">
        <v>25.163729906082153</v>
      </c>
      <c r="E772" s="2" t="s">
        <v>10</v>
      </c>
      <c r="F772" s="2" t="s">
        <v>15</v>
      </c>
      <c r="G772" s="2">
        <v>5.8</v>
      </c>
    </row>
    <row r="773" spans="1:7" x14ac:dyDescent="0.25">
      <c r="A773" t="s">
        <v>3</v>
      </c>
      <c r="B773">
        <v>771</v>
      </c>
      <c r="C773">
        <v>100</v>
      </c>
      <c r="D773" s="3">
        <v>25.898524284362793</v>
      </c>
      <c r="E773" s="3" t="s">
        <v>10</v>
      </c>
      <c r="F773" s="3" t="s">
        <v>15</v>
      </c>
      <c r="G773" s="3">
        <v>5.8</v>
      </c>
    </row>
    <row r="774" spans="1:7" x14ac:dyDescent="0.25">
      <c r="A774" t="s">
        <v>3</v>
      </c>
      <c r="B774">
        <v>772</v>
      </c>
      <c r="C774">
        <v>100</v>
      </c>
      <c r="D774" s="2">
        <v>30.333152532577515</v>
      </c>
      <c r="E774" s="2" t="s">
        <v>10</v>
      </c>
      <c r="F774" s="2" t="s">
        <v>22</v>
      </c>
      <c r="G774" s="2">
        <v>7.5</v>
      </c>
    </row>
    <row r="775" spans="1:7" x14ac:dyDescent="0.25">
      <c r="A775" t="s">
        <v>3</v>
      </c>
      <c r="B775">
        <v>773</v>
      </c>
      <c r="C775">
        <v>100</v>
      </c>
      <c r="D775" s="3">
        <v>26.104884386062622</v>
      </c>
      <c r="E775" s="3" t="s">
        <v>10</v>
      </c>
      <c r="F775" s="3" t="s">
        <v>20</v>
      </c>
      <c r="G775" s="3">
        <v>7.5</v>
      </c>
    </row>
    <row r="776" spans="1:7" x14ac:dyDescent="0.25">
      <c r="A776" t="s">
        <v>3</v>
      </c>
      <c r="B776">
        <v>774</v>
      </c>
      <c r="C776">
        <v>3</v>
      </c>
      <c r="D776" s="2">
        <v>29.424590826034546</v>
      </c>
      <c r="E776" s="2" t="s">
        <v>10</v>
      </c>
      <c r="F776" s="2" t="s">
        <v>15</v>
      </c>
      <c r="G776" s="2">
        <v>5</v>
      </c>
    </row>
    <row r="777" spans="1:7" x14ac:dyDescent="0.25">
      <c r="A777" t="s">
        <v>3</v>
      </c>
      <c r="B777">
        <v>775</v>
      </c>
      <c r="C777">
        <v>100</v>
      </c>
      <c r="D777" s="3">
        <v>11.622292041778564</v>
      </c>
      <c r="E777" s="3" t="s">
        <v>10</v>
      </c>
      <c r="F777" s="3" t="s">
        <v>15</v>
      </c>
      <c r="G777" s="3">
        <v>5</v>
      </c>
    </row>
    <row r="778" spans="1:7" x14ac:dyDescent="0.25">
      <c r="A778" t="s">
        <v>3</v>
      </c>
      <c r="B778">
        <v>776</v>
      </c>
      <c r="C778">
        <v>100</v>
      </c>
      <c r="D778" s="2">
        <v>28.045744895935059</v>
      </c>
      <c r="E778" s="2" t="s">
        <v>10</v>
      </c>
      <c r="F778" s="2" t="s">
        <v>15</v>
      </c>
      <c r="G778" s="2">
        <v>5</v>
      </c>
    </row>
    <row r="779" spans="1:7" x14ac:dyDescent="0.25">
      <c r="A779" t="s">
        <v>3</v>
      </c>
      <c r="B779">
        <v>777</v>
      </c>
      <c r="C779">
        <v>0</v>
      </c>
      <c r="D779" s="3">
        <v>24.893560171127319</v>
      </c>
      <c r="E779" s="3" t="s">
        <v>10</v>
      </c>
      <c r="F779" s="3" t="s">
        <v>15</v>
      </c>
      <c r="G779" s="3">
        <v>7.5</v>
      </c>
    </row>
    <row r="780" spans="1:7" x14ac:dyDescent="0.25">
      <c r="A780" t="s">
        <v>3</v>
      </c>
      <c r="B780">
        <v>778</v>
      </c>
      <c r="C780">
        <v>100</v>
      </c>
      <c r="D780" s="2">
        <v>35.190305709838867</v>
      </c>
      <c r="E780" s="2" t="s">
        <v>10</v>
      </c>
      <c r="F780" s="2" t="s">
        <v>15</v>
      </c>
      <c r="G780" s="2">
        <v>7.5</v>
      </c>
    </row>
    <row r="781" spans="1:7" x14ac:dyDescent="0.25">
      <c r="A781" t="s">
        <v>3</v>
      </c>
      <c r="B781">
        <v>779</v>
      </c>
      <c r="C781">
        <v>100</v>
      </c>
      <c r="D781" s="3">
        <v>44.490017414093018</v>
      </c>
      <c r="E781" s="3" t="s">
        <v>10</v>
      </c>
      <c r="F781" s="3" t="s">
        <v>15</v>
      </c>
      <c r="G781" s="3">
        <v>7.5</v>
      </c>
    </row>
    <row r="782" spans="1:7" x14ac:dyDescent="0.25">
      <c r="A782" t="s">
        <v>3</v>
      </c>
      <c r="B782">
        <v>780</v>
      </c>
      <c r="C782">
        <v>100</v>
      </c>
      <c r="D782" s="2">
        <v>29.695939540863037</v>
      </c>
      <c r="E782" s="2" t="s">
        <v>10</v>
      </c>
      <c r="F782" s="2" t="s">
        <v>15</v>
      </c>
      <c r="G782" s="2">
        <v>5</v>
      </c>
    </row>
    <row r="783" spans="1:7" x14ac:dyDescent="0.25">
      <c r="A783" t="s">
        <v>3</v>
      </c>
      <c r="B783">
        <v>781</v>
      </c>
      <c r="C783">
        <v>85</v>
      </c>
      <c r="D783" s="3">
        <v>28.408936500549316</v>
      </c>
      <c r="E783" s="3" t="s">
        <v>10</v>
      </c>
      <c r="F783" s="3" t="s">
        <v>13</v>
      </c>
      <c r="G783" s="3">
        <v>5</v>
      </c>
    </row>
    <row r="784" spans="1:7" x14ac:dyDescent="0.25">
      <c r="A784" t="s">
        <v>3</v>
      </c>
      <c r="B784">
        <v>782</v>
      </c>
      <c r="C784">
        <v>100</v>
      </c>
      <c r="D784" s="2">
        <v>22.287580251693726</v>
      </c>
      <c r="E784" s="2" t="s">
        <v>19</v>
      </c>
      <c r="F784" s="2" t="s">
        <v>27</v>
      </c>
      <c r="G784" s="2">
        <v>5</v>
      </c>
    </row>
    <row r="785" spans="1:7" x14ac:dyDescent="0.25">
      <c r="A785" t="s">
        <v>3</v>
      </c>
      <c r="B785">
        <v>783</v>
      </c>
      <c r="C785">
        <v>0</v>
      </c>
      <c r="D785" s="3">
        <v>31.665398120880127</v>
      </c>
      <c r="E785" s="3" t="s">
        <v>19</v>
      </c>
      <c r="F785" s="3" t="s">
        <v>27</v>
      </c>
      <c r="G785" s="3">
        <v>5</v>
      </c>
    </row>
    <row r="786" spans="1:7" x14ac:dyDescent="0.25">
      <c r="A786" t="s">
        <v>3</v>
      </c>
      <c r="B786">
        <v>784</v>
      </c>
      <c r="C786">
        <v>100</v>
      </c>
      <c r="D786" s="2">
        <v>29.242458343505859</v>
      </c>
      <c r="E786" s="2" t="s">
        <v>10</v>
      </c>
      <c r="F786" s="2" t="s">
        <v>17</v>
      </c>
      <c r="G786" s="2">
        <v>1.9</v>
      </c>
    </row>
    <row r="787" spans="1:7" x14ac:dyDescent="0.25">
      <c r="A787" t="s">
        <v>3</v>
      </c>
      <c r="B787">
        <v>785</v>
      </c>
      <c r="C787">
        <v>100</v>
      </c>
      <c r="D787" s="3">
        <v>16.863613128662109</v>
      </c>
      <c r="E787" s="3" t="s">
        <v>10</v>
      </c>
      <c r="F787" s="3" t="s">
        <v>21</v>
      </c>
      <c r="G787" s="3">
        <v>7.5</v>
      </c>
    </row>
    <row r="788" spans="1:7" x14ac:dyDescent="0.25">
      <c r="A788" t="s">
        <v>3</v>
      </c>
      <c r="B788">
        <v>786</v>
      </c>
      <c r="C788">
        <v>100</v>
      </c>
      <c r="D788" s="2">
        <v>33.875859022140503</v>
      </c>
      <c r="E788" s="2" t="s">
        <v>10</v>
      </c>
      <c r="F788" s="2" t="s">
        <v>21</v>
      </c>
      <c r="G788" s="2">
        <v>7.5</v>
      </c>
    </row>
    <row r="789" spans="1:7" x14ac:dyDescent="0.25">
      <c r="A789" t="s">
        <v>3</v>
      </c>
      <c r="B789">
        <v>787</v>
      </c>
      <c r="C789">
        <v>100</v>
      </c>
      <c r="D789" s="3">
        <v>15.481372356414795</v>
      </c>
      <c r="E789" s="3" t="s">
        <v>10</v>
      </c>
      <c r="F789" s="3" t="s">
        <v>13</v>
      </c>
      <c r="G789" s="3">
        <v>7.5</v>
      </c>
    </row>
    <row r="790" spans="1:7" x14ac:dyDescent="0.25">
      <c r="A790" t="s">
        <v>3</v>
      </c>
      <c r="B790">
        <v>788</v>
      </c>
      <c r="C790">
        <v>0</v>
      </c>
      <c r="D790" s="2">
        <v>34.727194786071777</v>
      </c>
      <c r="E790" s="2" t="s">
        <v>10</v>
      </c>
      <c r="F790" s="2" t="s">
        <v>13</v>
      </c>
      <c r="G790" s="2">
        <v>7.5</v>
      </c>
    </row>
    <row r="791" spans="1:7" x14ac:dyDescent="0.25">
      <c r="A791" t="s">
        <v>3</v>
      </c>
      <c r="B791">
        <v>789</v>
      </c>
      <c r="C791">
        <v>95</v>
      </c>
      <c r="D791" s="3">
        <v>32.76178240776062</v>
      </c>
      <c r="E791" s="3" t="s">
        <v>10</v>
      </c>
      <c r="F791" s="3" t="s">
        <v>13</v>
      </c>
      <c r="G791" s="3">
        <v>7.5</v>
      </c>
    </row>
    <row r="792" spans="1:7" x14ac:dyDescent="0.25">
      <c r="A792" t="s">
        <v>3</v>
      </c>
      <c r="B792">
        <v>790</v>
      </c>
      <c r="C792">
        <v>0</v>
      </c>
      <c r="D792" s="2">
        <v>23.73298978805542</v>
      </c>
      <c r="E792" s="2" t="s">
        <v>10</v>
      </c>
      <c r="F792" s="2" t="s">
        <v>18</v>
      </c>
      <c r="G792" s="2">
        <v>4.9000000000000004</v>
      </c>
    </row>
    <row r="793" spans="1:7" x14ac:dyDescent="0.25">
      <c r="A793" t="s">
        <v>3</v>
      </c>
      <c r="B793">
        <v>791</v>
      </c>
      <c r="C793">
        <v>100</v>
      </c>
      <c r="D793" s="3">
        <v>30.532328367233276</v>
      </c>
      <c r="E793" s="3" t="s">
        <v>10</v>
      </c>
      <c r="F793" s="3" t="s">
        <v>18</v>
      </c>
      <c r="G793" s="3">
        <v>4.9000000000000004</v>
      </c>
    </row>
    <row r="794" spans="1:7" x14ac:dyDescent="0.25">
      <c r="A794" t="s">
        <v>3</v>
      </c>
      <c r="B794">
        <v>792</v>
      </c>
      <c r="C794">
        <v>0</v>
      </c>
      <c r="D794" s="2">
        <v>32.894534587860107</v>
      </c>
      <c r="E794" s="2" t="s">
        <v>10</v>
      </c>
      <c r="F794" s="2" t="s">
        <v>23</v>
      </c>
      <c r="G794" s="2">
        <v>7.5</v>
      </c>
    </row>
    <row r="795" spans="1:7" x14ac:dyDescent="0.25">
      <c r="A795" t="s">
        <v>3</v>
      </c>
      <c r="B795">
        <v>793</v>
      </c>
      <c r="C795">
        <v>0</v>
      </c>
      <c r="D795" s="3">
        <v>28.713555335998535</v>
      </c>
      <c r="E795" s="3" t="s">
        <v>10</v>
      </c>
      <c r="F795" s="3" t="s">
        <v>16</v>
      </c>
      <c r="G795" s="3">
        <v>7.5</v>
      </c>
    </row>
    <row r="796" spans="1:7" x14ac:dyDescent="0.25">
      <c r="A796" t="s">
        <v>3</v>
      </c>
      <c r="B796">
        <v>794</v>
      </c>
      <c r="C796">
        <v>0</v>
      </c>
      <c r="D796" s="2">
        <v>28.697348117828369</v>
      </c>
      <c r="E796" s="2" t="s">
        <v>10</v>
      </c>
      <c r="F796" s="2" t="s">
        <v>22</v>
      </c>
      <c r="G796" s="2">
        <v>7.5</v>
      </c>
    </row>
    <row r="797" spans="1:7" x14ac:dyDescent="0.25">
      <c r="A797" t="s">
        <v>3</v>
      </c>
      <c r="B797">
        <v>795</v>
      </c>
      <c r="C797">
        <v>100</v>
      </c>
      <c r="D797" s="3">
        <v>22.172300100326538</v>
      </c>
      <c r="E797" s="3" t="s">
        <v>10</v>
      </c>
      <c r="F797" s="3" t="s">
        <v>20</v>
      </c>
      <c r="G797" s="3">
        <v>7.5</v>
      </c>
    </row>
    <row r="798" spans="1:7" x14ac:dyDescent="0.25">
      <c r="A798" t="s">
        <v>3</v>
      </c>
      <c r="B798">
        <v>796</v>
      </c>
      <c r="C798">
        <v>100</v>
      </c>
      <c r="D798" s="2">
        <v>27.547589778900146</v>
      </c>
      <c r="E798" s="2" t="s">
        <v>10</v>
      </c>
      <c r="F798" s="2" t="s">
        <v>15</v>
      </c>
      <c r="G798" s="2">
        <v>4.3</v>
      </c>
    </row>
    <row r="799" spans="1:7" x14ac:dyDescent="0.25">
      <c r="A799" t="s">
        <v>3</v>
      </c>
      <c r="B799">
        <v>797</v>
      </c>
      <c r="C799">
        <v>100</v>
      </c>
      <c r="D799" s="3">
        <v>27.198581695556641</v>
      </c>
      <c r="E799" s="3" t="s">
        <v>10</v>
      </c>
      <c r="F799" s="3" t="s">
        <v>13</v>
      </c>
      <c r="G799" s="3">
        <v>7.5</v>
      </c>
    </row>
    <row r="800" spans="1:7" x14ac:dyDescent="0.25">
      <c r="A800" t="s">
        <v>3</v>
      </c>
      <c r="B800">
        <v>798</v>
      </c>
      <c r="C800">
        <v>100</v>
      </c>
      <c r="D800" s="2">
        <v>30.406644821166992</v>
      </c>
      <c r="E800" s="2" t="s">
        <v>10</v>
      </c>
      <c r="F800" s="2" t="s">
        <v>20</v>
      </c>
      <c r="G800" s="2">
        <v>7.5</v>
      </c>
    </row>
    <row r="801" spans="1:7" x14ac:dyDescent="0.25">
      <c r="A801" t="s">
        <v>3</v>
      </c>
      <c r="B801">
        <v>799</v>
      </c>
      <c r="C801">
        <v>100</v>
      </c>
      <c r="D801" s="3">
        <v>34.932579755783081</v>
      </c>
      <c r="E801" s="3" t="s">
        <v>10</v>
      </c>
      <c r="F801" s="3" t="s">
        <v>23</v>
      </c>
      <c r="G801" s="3">
        <v>7.5</v>
      </c>
    </row>
    <row r="802" spans="1:7" x14ac:dyDescent="0.25">
      <c r="A802" t="s">
        <v>3</v>
      </c>
      <c r="B802">
        <v>800</v>
      </c>
      <c r="C802">
        <v>0</v>
      </c>
      <c r="D802" s="2">
        <v>38.686566591262817</v>
      </c>
      <c r="E802" s="2" t="s">
        <v>19</v>
      </c>
      <c r="F802" s="2" t="s">
        <v>15</v>
      </c>
      <c r="G802" s="2">
        <v>4.3</v>
      </c>
    </row>
    <row r="803" spans="1:7" x14ac:dyDescent="0.25">
      <c r="A803" t="s">
        <v>3</v>
      </c>
      <c r="B803">
        <v>801</v>
      </c>
      <c r="C803">
        <v>0</v>
      </c>
      <c r="D803" s="3">
        <v>15.912961006164551</v>
      </c>
      <c r="E803" s="3" t="s">
        <v>19</v>
      </c>
      <c r="F803" s="3" t="s">
        <v>15</v>
      </c>
      <c r="G803" s="3">
        <v>4.3</v>
      </c>
    </row>
    <row r="804" spans="1:7" x14ac:dyDescent="0.25">
      <c r="A804" t="s">
        <v>3</v>
      </c>
      <c r="B804">
        <v>802</v>
      </c>
      <c r="C804">
        <v>100</v>
      </c>
      <c r="D804" s="2">
        <v>11.555475234985352</v>
      </c>
      <c r="E804" s="2" t="s">
        <v>19</v>
      </c>
      <c r="F804" s="2" t="s">
        <v>15</v>
      </c>
      <c r="G804" s="2">
        <v>4.3</v>
      </c>
    </row>
    <row r="805" spans="1:7" x14ac:dyDescent="0.25">
      <c r="A805" t="s">
        <v>3</v>
      </c>
      <c r="B805">
        <v>803</v>
      </c>
      <c r="C805">
        <v>0</v>
      </c>
      <c r="D805" s="3">
        <v>36.603967428207397</v>
      </c>
      <c r="E805" s="3" t="s">
        <v>19</v>
      </c>
      <c r="F805" s="3" t="s">
        <v>15</v>
      </c>
      <c r="G805" s="3">
        <v>6.8</v>
      </c>
    </row>
    <row r="806" spans="1:7" x14ac:dyDescent="0.25">
      <c r="A806" t="s">
        <v>3</v>
      </c>
      <c r="B806">
        <v>804</v>
      </c>
      <c r="C806">
        <v>100</v>
      </c>
      <c r="D806" s="2">
        <v>17.436002969741821</v>
      </c>
      <c r="E806" s="2" t="s">
        <v>19</v>
      </c>
      <c r="F806" s="2" t="s">
        <v>15</v>
      </c>
      <c r="G806" s="2">
        <v>6.8</v>
      </c>
    </row>
    <row r="807" spans="1:7" x14ac:dyDescent="0.25">
      <c r="A807" t="s">
        <v>3</v>
      </c>
      <c r="B807">
        <v>805</v>
      </c>
      <c r="C807">
        <v>70</v>
      </c>
      <c r="D807" s="3">
        <v>28.530486106872559</v>
      </c>
      <c r="E807" s="3" t="s">
        <v>19</v>
      </c>
      <c r="F807" s="3" t="s">
        <v>14</v>
      </c>
      <c r="G807" s="3">
        <v>4.3</v>
      </c>
    </row>
    <row r="808" spans="1:7" x14ac:dyDescent="0.25">
      <c r="A808" t="s">
        <v>3</v>
      </c>
      <c r="B808">
        <v>806</v>
      </c>
      <c r="C808">
        <v>35</v>
      </c>
      <c r="D808" s="2">
        <v>20.696499586105347</v>
      </c>
      <c r="E808" s="2" t="s">
        <v>10</v>
      </c>
      <c r="F808" s="2" t="s">
        <v>13</v>
      </c>
      <c r="G808" s="2">
        <v>7.5</v>
      </c>
    </row>
    <row r="809" spans="1:7" x14ac:dyDescent="0.25">
      <c r="A809" t="s">
        <v>3</v>
      </c>
      <c r="B809">
        <v>807</v>
      </c>
      <c r="C809">
        <v>0</v>
      </c>
      <c r="D809" s="3">
        <v>30.959180593490601</v>
      </c>
      <c r="E809" s="3" t="s">
        <v>19</v>
      </c>
      <c r="F809" s="3" t="s">
        <v>18</v>
      </c>
      <c r="G809" s="3">
        <v>4.4000000000000004</v>
      </c>
    </row>
    <row r="810" spans="1:7" x14ac:dyDescent="0.25">
      <c r="A810" t="s">
        <v>3</v>
      </c>
      <c r="B810">
        <v>808</v>
      </c>
      <c r="C810">
        <v>96</v>
      </c>
      <c r="D810" s="2">
        <v>42.177816390991211</v>
      </c>
      <c r="E810" s="2" t="s">
        <v>19</v>
      </c>
      <c r="F810" s="2" t="s">
        <v>18</v>
      </c>
      <c r="G810" s="2">
        <v>4.4000000000000004</v>
      </c>
    </row>
    <row r="811" spans="1:7" x14ac:dyDescent="0.25">
      <c r="A811" t="s">
        <v>3</v>
      </c>
      <c r="B811">
        <v>809</v>
      </c>
      <c r="C811">
        <v>100</v>
      </c>
      <c r="D811" s="3">
        <v>27.715081214904785</v>
      </c>
      <c r="E811" s="3" t="s">
        <v>19</v>
      </c>
      <c r="F811" s="3" t="s">
        <v>18</v>
      </c>
      <c r="G811" s="3">
        <v>4.4000000000000004</v>
      </c>
    </row>
    <row r="812" spans="1:7" x14ac:dyDescent="0.25">
      <c r="A812" t="s">
        <v>3</v>
      </c>
      <c r="B812">
        <v>810</v>
      </c>
      <c r="C812">
        <v>100</v>
      </c>
      <c r="D812" s="2">
        <v>30.250653505325317</v>
      </c>
      <c r="E812" s="2" t="s">
        <v>19</v>
      </c>
      <c r="F812" s="2" t="s">
        <v>18</v>
      </c>
      <c r="G812" s="2">
        <v>4.4000000000000004</v>
      </c>
    </row>
    <row r="813" spans="1:7" x14ac:dyDescent="0.25">
      <c r="A813" t="s">
        <v>3</v>
      </c>
      <c r="B813">
        <v>811</v>
      </c>
      <c r="C813">
        <v>0</v>
      </c>
      <c r="D813" s="3">
        <v>27.293301582336426</v>
      </c>
      <c r="E813" s="3" t="s">
        <v>19</v>
      </c>
      <c r="F813" s="3" t="s">
        <v>18</v>
      </c>
      <c r="G813" s="3">
        <v>4.4000000000000004</v>
      </c>
    </row>
    <row r="814" spans="1:7" x14ac:dyDescent="0.25">
      <c r="A814" t="s">
        <v>3</v>
      </c>
      <c r="B814">
        <v>812</v>
      </c>
      <c r="C814">
        <v>100</v>
      </c>
      <c r="D814" s="2">
        <v>13.429075479507446</v>
      </c>
      <c r="E814" s="2" t="s">
        <v>19</v>
      </c>
      <c r="F814" s="2" t="s">
        <v>18</v>
      </c>
      <c r="G814" s="2">
        <v>4.4000000000000004</v>
      </c>
    </row>
    <row r="815" spans="1:7" x14ac:dyDescent="0.25">
      <c r="A815" t="s">
        <v>3</v>
      </c>
      <c r="B815">
        <v>813</v>
      </c>
      <c r="C815">
        <v>100</v>
      </c>
      <c r="D815" s="3">
        <v>27.987321615219116</v>
      </c>
      <c r="E815" s="3" t="s">
        <v>19</v>
      </c>
      <c r="F815" s="3" t="s">
        <v>18</v>
      </c>
      <c r="G815" s="3">
        <v>4.4000000000000004</v>
      </c>
    </row>
    <row r="816" spans="1:7" x14ac:dyDescent="0.25">
      <c r="A816" t="s">
        <v>3</v>
      </c>
      <c r="B816">
        <v>814</v>
      </c>
      <c r="C816">
        <v>30</v>
      </c>
      <c r="D816" s="2">
        <v>29.450225353240967</v>
      </c>
      <c r="E816" s="2" t="s">
        <v>19</v>
      </c>
      <c r="F816" s="2" t="s">
        <v>18</v>
      </c>
      <c r="G816" s="2">
        <v>4.4000000000000004</v>
      </c>
    </row>
    <row r="817" spans="1:7" x14ac:dyDescent="0.25">
      <c r="A817" t="s">
        <v>3</v>
      </c>
      <c r="B817">
        <v>815</v>
      </c>
      <c r="C817">
        <v>96</v>
      </c>
      <c r="D817" s="3">
        <v>25.256394147872925</v>
      </c>
      <c r="E817" s="3" t="s">
        <v>19</v>
      </c>
      <c r="F817" s="3" t="s">
        <v>18</v>
      </c>
      <c r="G817" s="3">
        <v>4.4000000000000004</v>
      </c>
    </row>
    <row r="818" spans="1:7" x14ac:dyDescent="0.25">
      <c r="A818" t="s">
        <v>3</v>
      </c>
      <c r="B818">
        <v>816</v>
      </c>
      <c r="C818">
        <v>95</v>
      </c>
      <c r="D818" s="2">
        <v>31.705531597137451</v>
      </c>
      <c r="E818" s="2" t="s">
        <v>19</v>
      </c>
      <c r="F818" s="2" t="s">
        <v>18</v>
      </c>
      <c r="G818" s="2">
        <v>4.4000000000000004</v>
      </c>
    </row>
    <row r="819" spans="1:7" x14ac:dyDescent="0.25">
      <c r="A819" t="s">
        <v>3</v>
      </c>
      <c r="B819">
        <v>817</v>
      </c>
      <c r="C819">
        <v>100</v>
      </c>
      <c r="D819" s="3">
        <v>29.882134675979614</v>
      </c>
      <c r="E819" s="3" t="s">
        <v>19</v>
      </c>
      <c r="F819" s="3" t="s">
        <v>18</v>
      </c>
      <c r="G819" s="3">
        <v>4.4000000000000004</v>
      </c>
    </row>
    <row r="820" spans="1:7" x14ac:dyDescent="0.25">
      <c r="A820" t="s">
        <v>3</v>
      </c>
      <c r="B820">
        <v>818</v>
      </c>
      <c r="C820">
        <v>90</v>
      </c>
      <c r="D820" s="2">
        <v>23.241660356521606</v>
      </c>
      <c r="E820" s="2" t="s">
        <v>19</v>
      </c>
      <c r="F820" s="2" t="s">
        <v>18</v>
      </c>
      <c r="G820" s="2">
        <v>4.4000000000000004</v>
      </c>
    </row>
    <row r="821" spans="1:7" x14ac:dyDescent="0.25">
      <c r="A821" t="s">
        <v>3</v>
      </c>
      <c r="B821">
        <v>819</v>
      </c>
      <c r="C821">
        <v>96</v>
      </c>
      <c r="D821" s="3">
        <v>23.983373165130615</v>
      </c>
      <c r="E821" s="3" t="s">
        <v>19</v>
      </c>
      <c r="F821" s="3" t="s">
        <v>18</v>
      </c>
      <c r="G821" s="3">
        <v>4.4000000000000004</v>
      </c>
    </row>
    <row r="822" spans="1:7" x14ac:dyDescent="0.25">
      <c r="A822" t="s">
        <v>3</v>
      </c>
      <c r="B822">
        <v>820</v>
      </c>
      <c r="C822">
        <v>100</v>
      </c>
      <c r="D822" s="2">
        <v>558.70800590515137</v>
      </c>
      <c r="E822" s="2" t="s">
        <v>19</v>
      </c>
      <c r="F822" s="2" t="s">
        <v>18</v>
      </c>
      <c r="G822" s="2">
        <v>4.4000000000000004</v>
      </c>
    </row>
    <row r="823" spans="1:7" x14ac:dyDescent="0.25">
      <c r="A823" t="s">
        <v>3</v>
      </c>
      <c r="B823">
        <v>821</v>
      </c>
      <c r="C823">
        <v>0</v>
      </c>
      <c r="D823" s="3">
        <v>23.224177360534668</v>
      </c>
      <c r="E823" s="3" t="s">
        <v>19</v>
      </c>
      <c r="F823" s="3" t="s">
        <v>18</v>
      </c>
      <c r="G823" s="3">
        <v>4.4000000000000004</v>
      </c>
    </row>
    <row r="824" spans="1:7" x14ac:dyDescent="0.25">
      <c r="A824" t="s">
        <v>3</v>
      </c>
      <c r="B824">
        <v>822</v>
      </c>
      <c r="C824">
        <v>0</v>
      </c>
      <c r="D824" s="2">
        <v>12.70252799987793</v>
      </c>
      <c r="E824" s="2" t="s">
        <v>19</v>
      </c>
      <c r="F824" s="2" t="s">
        <v>18</v>
      </c>
      <c r="G824" s="2">
        <v>4.4000000000000004</v>
      </c>
    </row>
    <row r="825" spans="1:7" x14ac:dyDescent="0.25">
      <c r="A825" t="s">
        <v>3</v>
      </c>
      <c r="B825">
        <v>823</v>
      </c>
      <c r="C825">
        <v>100</v>
      </c>
      <c r="D825" s="3">
        <v>26.079269409179688</v>
      </c>
      <c r="E825" s="3" t="s">
        <v>19</v>
      </c>
      <c r="F825" s="3" t="s">
        <v>18</v>
      </c>
      <c r="G825" s="3">
        <v>4.4000000000000004</v>
      </c>
    </row>
    <row r="826" spans="1:7" x14ac:dyDescent="0.25">
      <c r="A826" t="s">
        <v>3</v>
      </c>
      <c r="B826">
        <v>824</v>
      </c>
      <c r="C826">
        <v>40</v>
      </c>
      <c r="D826" s="2">
        <v>24.931572437286377</v>
      </c>
      <c r="E826" s="2" t="s">
        <v>10</v>
      </c>
      <c r="F826" s="2" t="s">
        <v>15</v>
      </c>
      <c r="G826" s="2">
        <v>2.1</v>
      </c>
    </row>
    <row r="827" spans="1:7" x14ac:dyDescent="0.25">
      <c r="A827" t="s">
        <v>3</v>
      </c>
      <c r="B827">
        <v>825</v>
      </c>
      <c r="C827">
        <v>100</v>
      </c>
      <c r="D827" s="3">
        <v>30.87121319770813</v>
      </c>
      <c r="E827" s="3" t="s">
        <v>10</v>
      </c>
      <c r="F827" s="3" t="s">
        <v>17</v>
      </c>
      <c r="G827" s="3">
        <v>4.3</v>
      </c>
    </row>
    <row r="828" spans="1:7" x14ac:dyDescent="0.25">
      <c r="A828" t="s">
        <v>3</v>
      </c>
      <c r="B828">
        <v>826</v>
      </c>
      <c r="C828">
        <v>100</v>
      </c>
      <c r="D828" s="2">
        <v>25.785333633422852</v>
      </c>
      <c r="E828" s="2" t="s">
        <v>10</v>
      </c>
      <c r="F828" s="2" t="s">
        <v>23</v>
      </c>
      <c r="G828" s="2">
        <v>6.8</v>
      </c>
    </row>
    <row r="829" spans="1:7" x14ac:dyDescent="0.25">
      <c r="A829" t="s">
        <v>3</v>
      </c>
      <c r="B829">
        <v>827</v>
      </c>
      <c r="C829">
        <v>0</v>
      </c>
      <c r="D829" s="3">
        <v>31.877120971679688</v>
      </c>
      <c r="E829" s="3" t="s">
        <v>10</v>
      </c>
      <c r="F829" s="3" t="s">
        <v>23</v>
      </c>
      <c r="G829" s="3">
        <v>6.8</v>
      </c>
    </row>
    <row r="830" spans="1:7" x14ac:dyDescent="0.25">
      <c r="A830" t="s">
        <v>3</v>
      </c>
      <c r="B830">
        <v>828</v>
      </c>
      <c r="C830">
        <v>100</v>
      </c>
      <c r="D830" s="2">
        <v>19.882086038589478</v>
      </c>
      <c r="E830" s="2" t="s">
        <v>19</v>
      </c>
      <c r="F830" s="2" t="s">
        <v>15</v>
      </c>
      <c r="G830" s="2">
        <v>4.3</v>
      </c>
    </row>
    <row r="831" spans="1:7" x14ac:dyDescent="0.25">
      <c r="A831" t="s">
        <v>3</v>
      </c>
      <c r="B831">
        <v>829</v>
      </c>
      <c r="C831">
        <v>5</v>
      </c>
      <c r="D831" s="3">
        <v>13.292986869812012</v>
      </c>
      <c r="E831" s="3" t="s">
        <v>19</v>
      </c>
      <c r="F831" s="3" t="s">
        <v>15</v>
      </c>
      <c r="G831" s="3">
        <v>4.3</v>
      </c>
    </row>
    <row r="832" spans="1:7" x14ac:dyDescent="0.25">
      <c r="A832" t="s">
        <v>3</v>
      </c>
      <c r="B832">
        <v>830</v>
      </c>
      <c r="C832">
        <v>0</v>
      </c>
      <c r="D832" s="2">
        <v>34.543625831604004</v>
      </c>
      <c r="E832" s="2" t="s">
        <v>19</v>
      </c>
      <c r="F832" s="2" t="s">
        <v>15</v>
      </c>
      <c r="G832" s="2">
        <v>4.3</v>
      </c>
    </row>
    <row r="833" spans="1:7" x14ac:dyDescent="0.25">
      <c r="A833" t="s">
        <v>3</v>
      </c>
      <c r="B833">
        <v>831</v>
      </c>
      <c r="C833">
        <v>0</v>
      </c>
      <c r="D833" s="3">
        <v>22.302140235900879</v>
      </c>
      <c r="E833" s="3" t="s">
        <v>19</v>
      </c>
      <c r="F833" s="3" t="s">
        <v>15</v>
      </c>
      <c r="G833" s="3">
        <v>4.3</v>
      </c>
    </row>
    <row r="834" spans="1:7" x14ac:dyDescent="0.25">
      <c r="A834" t="s">
        <v>3</v>
      </c>
      <c r="B834">
        <v>832</v>
      </c>
      <c r="C834">
        <v>0</v>
      </c>
      <c r="D834" s="2">
        <v>11.622851610183716</v>
      </c>
      <c r="E834" s="2" t="s">
        <v>10</v>
      </c>
      <c r="F834" s="2" t="s">
        <v>27</v>
      </c>
      <c r="G834" s="2">
        <v>7.8</v>
      </c>
    </row>
    <row r="835" spans="1:7" x14ac:dyDescent="0.25">
      <c r="A835" t="s">
        <v>3</v>
      </c>
      <c r="B835">
        <v>833</v>
      </c>
      <c r="C835">
        <v>70</v>
      </c>
      <c r="D835" s="3">
        <v>11.407865047454834</v>
      </c>
      <c r="E835" s="3" t="s">
        <v>10</v>
      </c>
      <c r="F835" s="3" t="s">
        <v>27</v>
      </c>
      <c r="G835" s="3">
        <v>7.8</v>
      </c>
    </row>
    <row r="836" spans="1:7" x14ac:dyDescent="0.25">
      <c r="A836" t="s">
        <v>3</v>
      </c>
      <c r="B836">
        <v>834</v>
      </c>
      <c r="C836">
        <v>1</v>
      </c>
      <c r="D836" s="2">
        <v>20.033218860626221</v>
      </c>
      <c r="E836" s="2" t="s">
        <v>10</v>
      </c>
      <c r="F836" s="2" t="s">
        <v>11</v>
      </c>
      <c r="G836" s="2">
        <v>2.1</v>
      </c>
    </row>
    <row r="837" spans="1:7" x14ac:dyDescent="0.25">
      <c r="A837" t="s">
        <v>3</v>
      </c>
      <c r="B837">
        <v>835</v>
      </c>
      <c r="C837">
        <v>30</v>
      </c>
      <c r="D837" s="3">
        <v>12.390320301055908</v>
      </c>
      <c r="E837" s="3" t="s">
        <v>10</v>
      </c>
      <c r="F837" s="3" t="s">
        <v>15</v>
      </c>
      <c r="G837" s="3">
        <v>7.1</v>
      </c>
    </row>
    <row r="838" spans="1:7" x14ac:dyDescent="0.25">
      <c r="A838" t="s">
        <v>3</v>
      </c>
      <c r="B838">
        <v>836</v>
      </c>
      <c r="C838">
        <v>100</v>
      </c>
      <c r="D838" s="2">
        <v>29.837548494338989</v>
      </c>
      <c r="E838" s="2" t="s">
        <v>10</v>
      </c>
      <c r="F838" s="2" t="s">
        <v>15</v>
      </c>
      <c r="G838" s="2">
        <v>7.1</v>
      </c>
    </row>
    <row r="839" spans="1:7" x14ac:dyDescent="0.25">
      <c r="A839" t="s">
        <v>3</v>
      </c>
      <c r="B839">
        <v>837</v>
      </c>
      <c r="C839">
        <v>100</v>
      </c>
      <c r="D839" s="3">
        <v>13.32288122177124</v>
      </c>
      <c r="E839" s="3" t="s">
        <v>10</v>
      </c>
      <c r="F839" s="3" t="s">
        <v>15</v>
      </c>
      <c r="G839" s="3">
        <v>7.1</v>
      </c>
    </row>
    <row r="840" spans="1:7" x14ac:dyDescent="0.25">
      <c r="A840" t="s">
        <v>3</v>
      </c>
      <c r="B840">
        <v>838</v>
      </c>
      <c r="C840">
        <v>100</v>
      </c>
      <c r="D840" s="2">
        <v>30.029463291168213</v>
      </c>
      <c r="E840" s="2" t="s">
        <v>10</v>
      </c>
      <c r="F840" s="2" t="s">
        <v>20</v>
      </c>
      <c r="G840" s="2">
        <v>4.5999999999999996</v>
      </c>
    </row>
    <row r="841" spans="1:7" x14ac:dyDescent="0.25">
      <c r="A841" t="s">
        <v>3</v>
      </c>
      <c r="B841">
        <v>839</v>
      </c>
      <c r="C841">
        <v>0</v>
      </c>
      <c r="D841" s="3">
        <v>40.812803030014038</v>
      </c>
      <c r="E841" s="3" t="s">
        <v>10</v>
      </c>
      <c r="F841" s="3" t="s">
        <v>29</v>
      </c>
      <c r="G841" s="3">
        <v>4.4000000000000004</v>
      </c>
    </row>
    <row r="842" spans="1:7" x14ac:dyDescent="0.25">
      <c r="A842" t="s">
        <v>3</v>
      </c>
      <c r="B842">
        <v>840</v>
      </c>
      <c r="C842">
        <v>100</v>
      </c>
      <c r="D842" s="2">
        <v>551.77177333831787</v>
      </c>
      <c r="E842" s="2" t="s">
        <v>10</v>
      </c>
      <c r="F842" s="2" t="s">
        <v>29</v>
      </c>
      <c r="G842" s="2">
        <v>4.4000000000000004</v>
      </c>
    </row>
    <row r="843" spans="1:7" x14ac:dyDescent="0.25">
      <c r="A843" t="s">
        <v>3</v>
      </c>
      <c r="B843">
        <v>841</v>
      </c>
      <c r="C843">
        <v>90</v>
      </c>
      <c r="D843" s="3">
        <v>29.769732236862183</v>
      </c>
      <c r="E843" s="3" t="s">
        <v>10</v>
      </c>
      <c r="F843" s="3" t="s">
        <v>29</v>
      </c>
      <c r="G843" s="3">
        <v>4.4000000000000004</v>
      </c>
    </row>
    <row r="844" spans="1:7" x14ac:dyDescent="0.25">
      <c r="A844" t="s">
        <v>3</v>
      </c>
      <c r="B844">
        <v>842</v>
      </c>
      <c r="C844">
        <v>100</v>
      </c>
      <c r="D844" s="2">
        <v>25.463576555252075</v>
      </c>
      <c r="E844" s="2" t="s">
        <v>10</v>
      </c>
      <c r="F844" s="2" t="s">
        <v>29</v>
      </c>
      <c r="G844" s="2">
        <v>4.4000000000000004</v>
      </c>
    </row>
    <row r="845" spans="1:7" x14ac:dyDescent="0.25">
      <c r="A845" t="s">
        <v>3</v>
      </c>
      <c r="B845">
        <v>843</v>
      </c>
      <c r="C845">
        <v>40</v>
      </c>
      <c r="D845" s="3">
        <v>13.094018220901489</v>
      </c>
      <c r="E845" s="3" t="s">
        <v>10</v>
      </c>
      <c r="F845" s="3" t="s">
        <v>29</v>
      </c>
      <c r="G845" s="3">
        <v>4.4000000000000004</v>
      </c>
    </row>
    <row r="846" spans="1:7" x14ac:dyDescent="0.25">
      <c r="A846" t="s">
        <v>3</v>
      </c>
      <c r="B846">
        <v>844</v>
      </c>
      <c r="C846">
        <v>100</v>
      </c>
      <c r="D846" s="2">
        <v>20.430057287216187</v>
      </c>
      <c r="E846" s="2" t="s">
        <v>10</v>
      </c>
      <c r="F846" s="2" t="s">
        <v>29</v>
      </c>
      <c r="G846" s="2">
        <v>4.4000000000000004</v>
      </c>
    </row>
    <row r="847" spans="1:7" x14ac:dyDescent="0.25">
      <c r="A847" t="s">
        <v>3</v>
      </c>
      <c r="B847">
        <v>845</v>
      </c>
      <c r="C847">
        <v>0</v>
      </c>
      <c r="D847" s="3">
        <v>28.526863813400269</v>
      </c>
      <c r="E847" s="3" t="s">
        <v>10</v>
      </c>
      <c r="F847" s="3" t="s">
        <v>29</v>
      </c>
      <c r="G847" s="3">
        <v>4.4000000000000004</v>
      </c>
    </row>
    <row r="848" spans="1:7" x14ac:dyDescent="0.25">
      <c r="A848" t="s">
        <v>3</v>
      </c>
      <c r="B848">
        <v>846</v>
      </c>
      <c r="C848">
        <v>100</v>
      </c>
      <c r="D848" s="2">
        <v>21.755797863006592</v>
      </c>
      <c r="E848" s="2" t="s">
        <v>10</v>
      </c>
      <c r="F848" s="2" t="s">
        <v>29</v>
      </c>
      <c r="G848" s="2">
        <v>4.4000000000000004</v>
      </c>
    </row>
    <row r="849" spans="1:7" x14ac:dyDescent="0.25">
      <c r="A849" t="s">
        <v>3</v>
      </c>
      <c r="B849">
        <v>847</v>
      </c>
      <c r="C849">
        <v>100</v>
      </c>
      <c r="D849" s="3">
        <v>12.807646989822388</v>
      </c>
      <c r="E849" s="3" t="s">
        <v>19</v>
      </c>
      <c r="F849" s="3" t="s">
        <v>13</v>
      </c>
      <c r="G849" s="3">
        <v>5</v>
      </c>
    </row>
    <row r="850" spans="1:7" x14ac:dyDescent="0.25">
      <c r="A850" t="s">
        <v>3</v>
      </c>
      <c r="B850">
        <v>848</v>
      </c>
      <c r="C850">
        <v>100</v>
      </c>
      <c r="D850" s="2">
        <v>28.790795564651489</v>
      </c>
      <c r="E850" s="2" t="s">
        <v>19</v>
      </c>
      <c r="F850" s="2" t="s">
        <v>13</v>
      </c>
      <c r="G850" s="2">
        <v>5</v>
      </c>
    </row>
    <row r="851" spans="1:7" x14ac:dyDescent="0.25">
      <c r="A851" t="s">
        <v>3</v>
      </c>
      <c r="B851">
        <v>849</v>
      </c>
      <c r="C851">
        <v>100</v>
      </c>
      <c r="D851" s="3">
        <v>21.922395467758179</v>
      </c>
      <c r="E851" s="3" t="s">
        <v>19</v>
      </c>
      <c r="F851" s="3" t="s">
        <v>13</v>
      </c>
      <c r="G851" s="3">
        <v>5</v>
      </c>
    </row>
    <row r="852" spans="1:7" x14ac:dyDescent="0.25">
      <c r="A852" t="s">
        <v>3</v>
      </c>
      <c r="B852">
        <v>850</v>
      </c>
      <c r="C852">
        <v>100</v>
      </c>
      <c r="D852" s="2">
        <v>16.299880027770996</v>
      </c>
      <c r="E852" s="2" t="s">
        <v>19</v>
      </c>
      <c r="F852" s="2" t="s">
        <v>13</v>
      </c>
      <c r="G852" s="2">
        <v>5</v>
      </c>
    </row>
    <row r="853" spans="1:7" x14ac:dyDescent="0.25">
      <c r="A853" t="s">
        <v>3</v>
      </c>
      <c r="B853">
        <v>851</v>
      </c>
      <c r="C853">
        <v>100</v>
      </c>
      <c r="D853" s="3">
        <v>20.422626495361328</v>
      </c>
      <c r="E853" s="3" t="s">
        <v>19</v>
      </c>
      <c r="F853" s="3" t="s">
        <v>13</v>
      </c>
      <c r="G853" s="3">
        <v>5</v>
      </c>
    </row>
    <row r="854" spans="1:7" x14ac:dyDescent="0.25">
      <c r="A854" t="s">
        <v>3</v>
      </c>
      <c r="B854">
        <v>852</v>
      </c>
      <c r="C854">
        <v>100</v>
      </c>
      <c r="D854" s="2">
        <v>16.101778745651245</v>
      </c>
      <c r="E854" s="2" t="s">
        <v>19</v>
      </c>
      <c r="F854" s="2" t="s">
        <v>13</v>
      </c>
      <c r="G854" s="2">
        <v>5</v>
      </c>
    </row>
    <row r="855" spans="1:7" x14ac:dyDescent="0.25">
      <c r="A855" t="s">
        <v>3</v>
      </c>
      <c r="B855">
        <v>853</v>
      </c>
      <c r="C855">
        <v>100</v>
      </c>
      <c r="D855" s="3">
        <v>19.600434064865112</v>
      </c>
      <c r="E855" s="3" t="s">
        <v>19</v>
      </c>
      <c r="F855" s="3" t="s">
        <v>13</v>
      </c>
      <c r="G855" s="3">
        <v>5</v>
      </c>
    </row>
    <row r="856" spans="1:7" x14ac:dyDescent="0.25">
      <c r="A856" t="s">
        <v>3</v>
      </c>
      <c r="B856">
        <v>854</v>
      </c>
      <c r="C856">
        <v>100</v>
      </c>
      <c r="D856" s="2">
        <v>15.406555891036987</v>
      </c>
      <c r="E856" s="2" t="s">
        <v>19</v>
      </c>
      <c r="F856" s="2" t="s">
        <v>13</v>
      </c>
      <c r="G856" s="2">
        <v>5</v>
      </c>
    </row>
    <row r="857" spans="1:7" x14ac:dyDescent="0.25">
      <c r="A857" t="s">
        <v>3</v>
      </c>
      <c r="B857">
        <v>855</v>
      </c>
      <c r="C857">
        <v>0</v>
      </c>
      <c r="D857" s="3">
        <v>14.126289367675781</v>
      </c>
      <c r="E857" s="3" t="s">
        <v>19</v>
      </c>
      <c r="F857" s="3" t="s">
        <v>13</v>
      </c>
      <c r="G857" s="3">
        <v>5</v>
      </c>
    </row>
    <row r="858" spans="1:7" x14ac:dyDescent="0.25">
      <c r="A858" t="s">
        <v>3</v>
      </c>
      <c r="B858">
        <v>856</v>
      </c>
      <c r="C858">
        <v>0</v>
      </c>
      <c r="D858" s="2">
        <v>22.011138200759888</v>
      </c>
      <c r="E858" s="2" t="s">
        <v>19</v>
      </c>
      <c r="F858" s="2" t="s">
        <v>13</v>
      </c>
      <c r="G858" s="2">
        <v>5</v>
      </c>
    </row>
    <row r="859" spans="1:7" x14ac:dyDescent="0.25">
      <c r="A859" t="s">
        <v>3</v>
      </c>
      <c r="B859">
        <v>857</v>
      </c>
      <c r="C859">
        <v>0</v>
      </c>
      <c r="D859" s="3">
        <v>14.286380052566528</v>
      </c>
      <c r="E859" s="3" t="s">
        <v>19</v>
      </c>
      <c r="F859" s="3" t="s">
        <v>13</v>
      </c>
      <c r="G859" s="3">
        <v>5</v>
      </c>
    </row>
    <row r="860" spans="1:7" x14ac:dyDescent="0.25">
      <c r="A860" t="s">
        <v>3</v>
      </c>
      <c r="B860">
        <v>858</v>
      </c>
      <c r="C860">
        <v>0</v>
      </c>
      <c r="D860" s="2">
        <v>15.33172869682312</v>
      </c>
      <c r="E860" s="2" t="s">
        <v>19</v>
      </c>
      <c r="F860" s="2" t="s">
        <v>13</v>
      </c>
      <c r="G860" s="2">
        <v>5</v>
      </c>
    </row>
    <row r="861" spans="1:7" x14ac:dyDescent="0.25">
      <c r="A861" t="s">
        <v>3</v>
      </c>
      <c r="B861">
        <v>859</v>
      </c>
      <c r="C861">
        <v>20</v>
      </c>
      <c r="D861" s="3">
        <v>14.558036327362061</v>
      </c>
      <c r="E861" s="3" t="s">
        <v>19</v>
      </c>
      <c r="F861" s="3" t="s">
        <v>13</v>
      </c>
      <c r="G861" s="3">
        <v>5</v>
      </c>
    </row>
    <row r="862" spans="1:7" x14ac:dyDescent="0.25">
      <c r="A862" t="s">
        <v>3</v>
      </c>
      <c r="B862">
        <v>860</v>
      </c>
      <c r="C862">
        <v>100</v>
      </c>
      <c r="D862" s="2">
        <v>28.811125516891479</v>
      </c>
      <c r="E862" s="2" t="s">
        <v>19</v>
      </c>
      <c r="F862" s="2" t="s">
        <v>13</v>
      </c>
      <c r="G862" s="2">
        <v>5</v>
      </c>
    </row>
    <row r="863" spans="1:7" x14ac:dyDescent="0.25">
      <c r="A863" t="s">
        <v>3</v>
      </c>
      <c r="B863">
        <v>861</v>
      </c>
      <c r="C863">
        <v>0</v>
      </c>
      <c r="D863" s="3">
        <v>32.882571697235107</v>
      </c>
      <c r="E863" s="3" t="s">
        <v>10</v>
      </c>
      <c r="F863" s="3" t="s">
        <v>21</v>
      </c>
      <c r="G863" s="3">
        <v>7.5</v>
      </c>
    </row>
    <row r="864" spans="1:7" x14ac:dyDescent="0.25">
      <c r="A864" t="s">
        <v>3</v>
      </c>
      <c r="B864">
        <v>862</v>
      </c>
      <c r="C864">
        <v>100</v>
      </c>
      <c r="D864" s="2">
        <v>30.965211153030396</v>
      </c>
      <c r="E864" s="2" t="s">
        <v>10</v>
      </c>
      <c r="F864" s="2" t="s">
        <v>13</v>
      </c>
      <c r="G864" s="2">
        <v>4.3</v>
      </c>
    </row>
    <row r="865" spans="1:7" x14ac:dyDescent="0.25">
      <c r="A865" t="s">
        <v>3</v>
      </c>
      <c r="B865">
        <v>863</v>
      </c>
      <c r="C865">
        <v>10</v>
      </c>
      <c r="D865" s="3">
        <v>23.97735857963562</v>
      </c>
      <c r="E865" s="3" t="s">
        <v>10</v>
      </c>
      <c r="F865" s="3" t="s">
        <v>13</v>
      </c>
      <c r="G865" s="3">
        <v>4.3</v>
      </c>
    </row>
    <row r="866" spans="1:7" x14ac:dyDescent="0.25">
      <c r="A866" t="s">
        <v>3</v>
      </c>
      <c r="B866">
        <v>864</v>
      </c>
      <c r="C866">
        <v>100</v>
      </c>
      <c r="D866" s="2">
        <v>23.483642339706421</v>
      </c>
      <c r="E866" s="2" t="s">
        <v>10</v>
      </c>
      <c r="F866" s="2" t="s">
        <v>13</v>
      </c>
      <c r="G866" s="2">
        <v>7.5</v>
      </c>
    </row>
    <row r="867" spans="1:7" x14ac:dyDescent="0.25">
      <c r="A867" t="s">
        <v>3</v>
      </c>
      <c r="B867">
        <v>865</v>
      </c>
      <c r="C867">
        <v>90</v>
      </c>
      <c r="D867" s="3">
        <v>28.923775434494019</v>
      </c>
      <c r="E867" s="3" t="s">
        <v>10</v>
      </c>
      <c r="F867" s="3" t="s">
        <v>13</v>
      </c>
      <c r="G867" s="3">
        <v>5</v>
      </c>
    </row>
    <row r="868" spans="1:7" x14ac:dyDescent="0.25">
      <c r="A868" t="s">
        <v>3</v>
      </c>
      <c r="B868">
        <v>866</v>
      </c>
      <c r="C868">
        <v>5</v>
      </c>
      <c r="D868" s="2">
        <v>22.684120416641235</v>
      </c>
      <c r="E868" s="2" t="s">
        <v>10</v>
      </c>
      <c r="F868" s="2" t="s">
        <v>23</v>
      </c>
      <c r="G868" s="2">
        <v>4.5999999999999996</v>
      </c>
    </row>
    <row r="869" spans="1:7" x14ac:dyDescent="0.25">
      <c r="A869" t="s">
        <v>3</v>
      </c>
      <c r="B869">
        <v>867</v>
      </c>
      <c r="C869">
        <v>100</v>
      </c>
      <c r="D869" s="3">
        <v>18.775552749633789</v>
      </c>
      <c r="E869" s="3" t="s">
        <v>10</v>
      </c>
      <c r="F869" s="3" t="s">
        <v>23</v>
      </c>
      <c r="G869" s="3">
        <v>4.5999999999999996</v>
      </c>
    </row>
    <row r="870" spans="1:7" x14ac:dyDescent="0.25">
      <c r="A870" t="s">
        <v>3</v>
      </c>
      <c r="B870">
        <v>868</v>
      </c>
      <c r="C870">
        <v>100</v>
      </c>
      <c r="D870" s="2">
        <v>30.555512666702271</v>
      </c>
      <c r="E870" s="2" t="s">
        <v>10</v>
      </c>
      <c r="F870" s="2" t="s">
        <v>22</v>
      </c>
      <c r="G870" s="2">
        <v>7.5</v>
      </c>
    </row>
    <row r="871" spans="1:7" x14ac:dyDescent="0.25">
      <c r="A871" t="s">
        <v>3</v>
      </c>
      <c r="B871">
        <v>869</v>
      </c>
      <c r="C871">
        <v>100</v>
      </c>
      <c r="D871" s="3">
        <v>18.0919508934021</v>
      </c>
      <c r="E871" s="3" t="s">
        <v>10</v>
      </c>
      <c r="F871" s="3" t="s">
        <v>22</v>
      </c>
      <c r="G871" s="3">
        <v>7.5</v>
      </c>
    </row>
    <row r="872" spans="1:7" x14ac:dyDescent="0.25">
      <c r="A872" t="s">
        <v>3</v>
      </c>
      <c r="B872">
        <v>870</v>
      </c>
      <c r="C872">
        <v>100</v>
      </c>
      <c r="D872" s="2">
        <v>25.220414161682129</v>
      </c>
      <c r="E872" s="2" t="s">
        <v>10</v>
      </c>
      <c r="F872" s="2" t="s">
        <v>22</v>
      </c>
      <c r="G872" s="2">
        <v>7.5</v>
      </c>
    </row>
    <row r="873" spans="1:7" x14ac:dyDescent="0.25">
      <c r="A873" t="s">
        <v>3</v>
      </c>
      <c r="B873">
        <v>871</v>
      </c>
      <c r="C873">
        <v>100</v>
      </c>
      <c r="D873" s="3">
        <v>14.335679054260254</v>
      </c>
      <c r="E873" s="3" t="s">
        <v>10</v>
      </c>
      <c r="F873" s="3" t="s">
        <v>22</v>
      </c>
      <c r="G873" s="3">
        <v>7.5</v>
      </c>
    </row>
    <row r="874" spans="1:7" x14ac:dyDescent="0.25">
      <c r="A874" t="s">
        <v>3</v>
      </c>
      <c r="B874">
        <v>872</v>
      </c>
      <c r="C874">
        <v>100</v>
      </c>
      <c r="D874" s="2">
        <v>27.891179323196411</v>
      </c>
      <c r="E874" s="2" t="s">
        <v>10</v>
      </c>
      <c r="F874" s="2" t="s">
        <v>22</v>
      </c>
      <c r="G874" s="2">
        <v>7.5</v>
      </c>
    </row>
    <row r="875" spans="1:7" x14ac:dyDescent="0.25">
      <c r="A875" t="s">
        <v>3</v>
      </c>
      <c r="B875">
        <v>873</v>
      </c>
      <c r="C875">
        <v>0</v>
      </c>
      <c r="D875" s="3">
        <v>23.949481010437012</v>
      </c>
      <c r="E875" s="3" t="s">
        <v>10</v>
      </c>
      <c r="F875" s="3" t="s">
        <v>22</v>
      </c>
      <c r="G875" s="3">
        <v>7.5</v>
      </c>
    </row>
    <row r="876" spans="1:7" x14ac:dyDescent="0.25">
      <c r="A876" t="s">
        <v>3</v>
      </c>
      <c r="B876">
        <v>874</v>
      </c>
      <c r="C876">
        <v>100</v>
      </c>
      <c r="D876" s="2">
        <v>22.545111656188965</v>
      </c>
      <c r="E876" s="2" t="s">
        <v>10</v>
      </c>
      <c r="F876" s="2" t="s">
        <v>22</v>
      </c>
      <c r="G876" s="2">
        <v>7.5</v>
      </c>
    </row>
    <row r="877" spans="1:7" x14ac:dyDescent="0.25">
      <c r="A877" t="s">
        <v>3</v>
      </c>
      <c r="B877">
        <v>875</v>
      </c>
      <c r="C877">
        <v>5</v>
      </c>
      <c r="D877" s="3">
        <v>14.717328071594238</v>
      </c>
      <c r="E877" s="3" t="s">
        <v>10</v>
      </c>
      <c r="F877" s="3" t="s">
        <v>22</v>
      </c>
      <c r="G877" s="3">
        <v>7.5</v>
      </c>
    </row>
    <row r="878" spans="1:7" x14ac:dyDescent="0.25">
      <c r="A878" t="s">
        <v>3</v>
      </c>
      <c r="B878">
        <v>876</v>
      </c>
      <c r="C878">
        <v>80</v>
      </c>
      <c r="D878" s="2">
        <v>14.499912977218628</v>
      </c>
      <c r="E878" s="2" t="s">
        <v>10</v>
      </c>
      <c r="F878" s="2" t="s">
        <v>22</v>
      </c>
      <c r="G878" s="2">
        <v>7.5</v>
      </c>
    </row>
    <row r="879" spans="1:7" x14ac:dyDescent="0.25">
      <c r="A879" t="s">
        <v>3</v>
      </c>
      <c r="B879">
        <v>877</v>
      </c>
      <c r="C879">
        <v>70</v>
      </c>
      <c r="D879" s="3">
        <v>15.592883825302124</v>
      </c>
      <c r="E879" s="3" t="s">
        <v>10</v>
      </c>
      <c r="F879" s="3" t="s">
        <v>22</v>
      </c>
      <c r="G879" s="3">
        <v>7.5</v>
      </c>
    </row>
    <row r="880" spans="1:7" x14ac:dyDescent="0.25">
      <c r="A880" t="s">
        <v>3</v>
      </c>
      <c r="B880">
        <v>878</v>
      </c>
      <c r="C880">
        <v>60</v>
      </c>
      <c r="D880" s="2">
        <v>21.027848482131958</v>
      </c>
      <c r="E880" s="2" t="s">
        <v>10</v>
      </c>
      <c r="F880" s="2" t="s">
        <v>22</v>
      </c>
      <c r="G880" s="2">
        <v>7.5</v>
      </c>
    </row>
    <row r="881" spans="1:7" x14ac:dyDescent="0.25">
      <c r="A881" t="s">
        <v>3</v>
      </c>
      <c r="B881">
        <v>879</v>
      </c>
      <c r="C881">
        <v>100</v>
      </c>
      <c r="D881" s="3">
        <v>17.569996118545532</v>
      </c>
      <c r="E881" s="3" t="s">
        <v>10</v>
      </c>
      <c r="F881" s="3" t="s">
        <v>22</v>
      </c>
      <c r="G881" s="3">
        <v>7.5</v>
      </c>
    </row>
    <row r="882" spans="1:7" x14ac:dyDescent="0.25">
      <c r="A882" t="s">
        <v>3</v>
      </c>
      <c r="B882">
        <v>880</v>
      </c>
      <c r="C882">
        <v>100</v>
      </c>
      <c r="D882" s="2">
        <v>17.581377267837524</v>
      </c>
      <c r="E882" s="2" t="s">
        <v>10</v>
      </c>
      <c r="F882" s="2" t="s">
        <v>22</v>
      </c>
      <c r="G882" s="2">
        <v>7.5</v>
      </c>
    </row>
    <row r="883" spans="1:7" x14ac:dyDescent="0.25">
      <c r="A883" t="s">
        <v>3</v>
      </c>
      <c r="B883">
        <v>881</v>
      </c>
      <c r="C883">
        <v>100</v>
      </c>
      <c r="D883" s="3">
        <v>20.61851167678833</v>
      </c>
      <c r="E883" s="3" t="s">
        <v>10</v>
      </c>
      <c r="F883" s="3" t="s">
        <v>23</v>
      </c>
      <c r="G883" s="3">
        <v>7.5</v>
      </c>
    </row>
    <row r="884" spans="1:7" x14ac:dyDescent="0.25">
      <c r="A884" t="s">
        <v>3</v>
      </c>
      <c r="B884">
        <v>882</v>
      </c>
      <c r="C884">
        <v>0</v>
      </c>
      <c r="D884" s="2">
        <v>32.079046249389648</v>
      </c>
      <c r="E884" s="2" t="s">
        <v>10</v>
      </c>
      <c r="F884" s="2" t="s">
        <v>22</v>
      </c>
      <c r="G884" s="2">
        <v>7.5</v>
      </c>
    </row>
    <row r="885" spans="1:7" x14ac:dyDescent="0.25">
      <c r="A885" t="s">
        <v>3</v>
      </c>
      <c r="B885">
        <v>883</v>
      </c>
      <c r="C885">
        <v>5</v>
      </c>
      <c r="D885" s="3">
        <v>14.557203531265259</v>
      </c>
      <c r="E885" s="3" t="s">
        <v>10</v>
      </c>
      <c r="F885" s="3" t="s">
        <v>23</v>
      </c>
      <c r="G885" s="3">
        <v>7.5</v>
      </c>
    </row>
    <row r="886" spans="1:7" x14ac:dyDescent="0.25">
      <c r="A886" t="s">
        <v>3</v>
      </c>
      <c r="B886">
        <v>884</v>
      </c>
      <c r="C886">
        <v>0</v>
      </c>
      <c r="D886" s="2">
        <v>17.720700263977051</v>
      </c>
      <c r="E886" s="2" t="s">
        <v>10</v>
      </c>
      <c r="F886" s="2" t="s">
        <v>22</v>
      </c>
      <c r="G886" s="2">
        <v>7.5</v>
      </c>
    </row>
    <row r="887" spans="1:7" x14ac:dyDescent="0.25">
      <c r="A887" t="s">
        <v>3</v>
      </c>
      <c r="B887">
        <v>885</v>
      </c>
      <c r="C887">
        <v>100</v>
      </c>
      <c r="D887" s="3">
        <v>11.71540379524231</v>
      </c>
      <c r="E887" s="3" t="s">
        <v>10</v>
      </c>
      <c r="F887" s="3" t="s">
        <v>15</v>
      </c>
      <c r="G887" s="3">
        <v>5</v>
      </c>
    </row>
    <row r="888" spans="1:7" x14ac:dyDescent="0.25">
      <c r="A888" t="s">
        <v>3</v>
      </c>
      <c r="B888">
        <v>886</v>
      </c>
      <c r="C888">
        <v>100</v>
      </c>
      <c r="D888" s="2">
        <v>27.670444488525391</v>
      </c>
      <c r="E888" s="2" t="s">
        <v>10</v>
      </c>
      <c r="F888" s="2" t="s">
        <v>15</v>
      </c>
      <c r="G888" s="2">
        <v>5</v>
      </c>
    </row>
    <row r="889" spans="1:7" x14ac:dyDescent="0.25">
      <c r="A889" t="s">
        <v>3</v>
      </c>
      <c r="B889">
        <v>887</v>
      </c>
      <c r="C889">
        <v>0</v>
      </c>
      <c r="D889" s="3">
        <v>25.131507873535156</v>
      </c>
      <c r="E889" s="3" t="s">
        <v>10</v>
      </c>
      <c r="F889" s="3" t="s">
        <v>15</v>
      </c>
      <c r="G889" s="3">
        <v>5</v>
      </c>
    </row>
    <row r="890" spans="1:7" x14ac:dyDescent="0.25">
      <c r="A890" t="s">
        <v>3</v>
      </c>
      <c r="B890">
        <v>888</v>
      </c>
      <c r="C890">
        <v>0</v>
      </c>
      <c r="D890" s="2">
        <v>18.498906135559082</v>
      </c>
      <c r="E890" s="2" t="s">
        <v>10</v>
      </c>
      <c r="F890" s="2" t="s">
        <v>15</v>
      </c>
      <c r="G890" s="2">
        <v>5</v>
      </c>
    </row>
    <row r="891" spans="1:7" x14ac:dyDescent="0.25">
      <c r="A891" t="s">
        <v>3</v>
      </c>
      <c r="B891">
        <v>889</v>
      </c>
      <c r="C891">
        <v>100</v>
      </c>
      <c r="D891" s="3">
        <v>39.776337623596191</v>
      </c>
      <c r="E891" s="3" t="s">
        <v>10</v>
      </c>
      <c r="F891" s="3" t="s">
        <v>15</v>
      </c>
      <c r="G891" s="3">
        <v>5</v>
      </c>
    </row>
    <row r="892" spans="1:7" x14ac:dyDescent="0.25">
      <c r="A892" t="s">
        <v>3</v>
      </c>
      <c r="B892">
        <v>890</v>
      </c>
      <c r="C892">
        <v>100</v>
      </c>
      <c r="D892" s="2">
        <v>24.131871461868286</v>
      </c>
      <c r="E892" s="2" t="s">
        <v>10</v>
      </c>
      <c r="F892" s="2" t="s">
        <v>15</v>
      </c>
      <c r="G892" s="2">
        <v>5</v>
      </c>
    </row>
    <row r="893" spans="1:7" x14ac:dyDescent="0.25">
      <c r="A893" t="s">
        <v>3</v>
      </c>
      <c r="B893">
        <v>891</v>
      </c>
      <c r="C893">
        <v>0</v>
      </c>
      <c r="D893" s="3">
        <v>20.305197715759277</v>
      </c>
      <c r="E893" s="3" t="s">
        <v>10</v>
      </c>
      <c r="F893" s="3" t="s">
        <v>15</v>
      </c>
      <c r="G893" s="3">
        <v>5</v>
      </c>
    </row>
    <row r="894" spans="1:7" x14ac:dyDescent="0.25">
      <c r="A894" t="s">
        <v>3</v>
      </c>
      <c r="B894">
        <v>892</v>
      </c>
      <c r="C894">
        <v>20</v>
      </c>
      <c r="D894" s="2">
        <v>30.085227727890015</v>
      </c>
      <c r="E894" s="2" t="s">
        <v>10</v>
      </c>
      <c r="F894" s="2" t="s">
        <v>13</v>
      </c>
      <c r="G894" s="2">
        <v>4.3</v>
      </c>
    </row>
    <row r="895" spans="1:7" x14ac:dyDescent="0.25">
      <c r="A895" t="s">
        <v>3</v>
      </c>
      <c r="B895">
        <v>893</v>
      </c>
      <c r="C895">
        <v>75</v>
      </c>
      <c r="D895" s="3">
        <v>19.371102809906006</v>
      </c>
      <c r="E895" s="3" t="s">
        <v>10</v>
      </c>
      <c r="F895" s="3" t="s">
        <v>13</v>
      </c>
      <c r="G895" s="3">
        <v>7.7</v>
      </c>
    </row>
    <row r="896" spans="1:7" x14ac:dyDescent="0.25">
      <c r="A896" t="s">
        <v>3</v>
      </c>
      <c r="B896">
        <v>894</v>
      </c>
      <c r="C896">
        <v>100</v>
      </c>
      <c r="D896" s="2">
        <v>17.735745429992676</v>
      </c>
      <c r="E896" s="2" t="s">
        <v>10</v>
      </c>
      <c r="F896" s="2" t="s">
        <v>13</v>
      </c>
      <c r="G896" s="2">
        <v>4</v>
      </c>
    </row>
    <row r="897" spans="1:7" x14ac:dyDescent="0.25">
      <c r="A897" t="s">
        <v>3</v>
      </c>
      <c r="B897">
        <v>895</v>
      </c>
      <c r="C897">
        <v>0</v>
      </c>
      <c r="D897" s="3">
        <v>24.507040739059448</v>
      </c>
      <c r="E897" s="3" t="s">
        <v>10</v>
      </c>
      <c r="F897" s="3" t="s">
        <v>13</v>
      </c>
      <c r="G897" s="3">
        <v>4</v>
      </c>
    </row>
    <row r="898" spans="1:7" x14ac:dyDescent="0.25">
      <c r="A898" t="s">
        <v>3</v>
      </c>
      <c r="B898">
        <v>896</v>
      </c>
      <c r="C898">
        <v>40</v>
      </c>
      <c r="D898" s="2">
        <v>26.68950891494751</v>
      </c>
      <c r="E898" s="2" t="s">
        <v>10</v>
      </c>
      <c r="F898" s="2" t="s">
        <v>13</v>
      </c>
      <c r="G898" s="2">
        <v>4</v>
      </c>
    </row>
    <row r="899" spans="1:7" x14ac:dyDescent="0.25">
      <c r="A899" t="s">
        <v>3</v>
      </c>
      <c r="B899">
        <v>897</v>
      </c>
      <c r="C899">
        <v>100</v>
      </c>
      <c r="D899" s="3">
        <v>23.737119436264038</v>
      </c>
      <c r="E899" s="3" t="s">
        <v>10</v>
      </c>
      <c r="F899" s="3" t="s">
        <v>13</v>
      </c>
      <c r="G899" s="3">
        <v>4</v>
      </c>
    </row>
    <row r="900" spans="1:7" x14ac:dyDescent="0.25">
      <c r="A900" t="s">
        <v>3</v>
      </c>
      <c r="B900">
        <v>898</v>
      </c>
      <c r="C900">
        <v>100</v>
      </c>
      <c r="D900" s="2">
        <v>19.509440660476685</v>
      </c>
      <c r="E900" s="2" t="s">
        <v>10</v>
      </c>
      <c r="F900" s="2" t="s">
        <v>13</v>
      </c>
      <c r="G900" s="2">
        <v>4</v>
      </c>
    </row>
    <row r="901" spans="1:7" x14ac:dyDescent="0.25">
      <c r="A901" t="s">
        <v>3</v>
      </c>
      <c r="B901">
        <v>899</v>
      </c>
      <c r="C901">
        <v>100</v>
      </c>
      <c r="D901" s="3">
        <v>20.791622161865234</v>
      </c>
      <c r="E901" s="3" t="s">
        <v>10</v>
      </c>
      <c r="F901" s="3" t="s">
        <v>13</v>
      </c>
      <c r="G901" s="3">
        <v>4</v>
      </c>
    </row>
    <row r="902" spans="1:7" x14ac:dyDescent="0.25">
      <c r="A902" t="s">
        <v>3</v>
      </c>
      <c r="B902">
        <v>900</v>
      </c>
      <c r="C902">
        <v>5</v>
      </c>
      <c r="D902" s="2">
        <v>27.703366756439209</v>
      </c>
      <c r="E902" s="2" t="s">
        <v>10</v>
      </c>
      <c r="F902" s="2" t="s">
        <v>13</v>
      </c>
      <c r="G902" s="2">
        <v>4</v>
      </c>
    </row>
    <row r="903" spans="1:7" x14ac:dyDescent="0.25">
      <c r="A903" t="s">
        <v>3</v>
      </c>
      <c r="B903">
        <v>901</v>
      </c>
      <c r="C903">
        <v>100</v>
      </c>
      <c r="D903" s="3">
        <v>27.997377634048462</v>
      </c>
      <c r="E903" s="3" t="s">
        <v>10</v>
      </c>
      <c r="F903" s="3" t="s">
        <v>13</v>
      </c>
      <c r="G903" s="3">
        <v>4</v>
      </c>
    </row>
    <row r="904" spans="1:7" x14ac:dyDescent="0.25">
      <c r="A904" t="s">
        <v>3</v>
      </c>
      <c r="B904">
        <v>902</v>
      </c>
      <c r="C904">
        <v>100</v>
      </c>
      <c r="D904" s="2">
        <v>29.095547199249268</v>
      </c>
      <c r="E904" s="2" t="s">
        <v>10</v>
      </c>
      <c r="F904" s="2" t="s">
        <v>13</v>
      </c>
      <c r="G904" s="2">
        <v>4</v>
      </c>
    </row>
    <row r="905" spans="1:7" x14ac:dyDescent="0.25">
      <c r="A905" t="s">
        <v>3</v>
      </c>
      <c r="B905">
        <v>903</v>
      </c>
      <c r="C905">
        <v>100</v>
      </c>
      <c r="D905" s="3">
        <v>33.245402574539185</v>
      </c>
      <c r="E905" s="3" t="s">
        <v>10</v>
      </c>
      <c r="F905" s="3" t="s">
        <v>13</v>
      </c>
      <c r="G905" s="3">
        <v>4</v>
      </c>
    </row>
    <row r="906" spans="1:7" x14ac:dyDescent="0.25">
      <c r="A906" t="s">
        <v>3</v>
      </c>
      <c r="B906">
        <v>904</v>
      </c>
      <c r="C906">
        <v>100</v>
      </c>
      <c r="D906" s="2">
        <v>29.307617425918579</v>
      </c>
      <c r="E906" s="2" t="s">
        <v>10</v>
      </c>
      <c r="F906" s="2" t="s">
        <v>13</v>
      </c>
      <c r="G906" s="2">
        <v>4</v>
      </c>
    </row>
    <row r="907" spans="1:7" x14ac:dyDescent="0.25">
      <c r="A907" t="s">
        <v>3</v>
      </c>
      <c r="B907">
        <v>905</v>
      </c>
      <c r="C907">
        <v>100</v>
      </c>
      <c r="D907" s="3">
        <v>25.334760427474976</v>
      </c>
      <c r="E907" s="3" t="s">
        <v>10</v>
      </c>
      <c r="F907" s="3" t="s">
        <v>13</v>
      </c>
      <c r="G907" s="3">
        <v>4</v>
      </c>
    </row>
    <row r="908" spans="1:7" x14ac:dyDescent="0.25">
      <c r="A908" t="s">
        <v>3</v>
      </c>
      <c r="B908">
        <v>906</v>
      </c>
      <c r="C908">
        <v>100</v>
      </c>
      <c r="D908" s="2">
        <v>29.750963926315308</v>
      </c>
      <c r="E908" s="2" t="s">
        <v>10</v>
      </c>
      <c r="F908" s="2" t="s">
        <v>13</v>
      </c>
      <c r="G908" s="2">
        <v>4</v>
      </c>
    </row>
    <row r="909" spans="1:7" x14ac:dyDescent="0.25">
      <c r="A909" t="s">
        <v>3</v>
      </c>
      <c r="B909">
        <v>907</v>
      </c>
      <c r="C909">
        <v>100</v>
      </c>
      <c r="D909" s="3">
        <v>24.569506645202637</v>
      </c>
      <c r="E909" s="3" t="s">
        <v>10</v>
      </c>
      <c r="F909" s="3" t="s">
        <v>13</v>
      </c>
      <c r="G909" s="3">
        <v>2.1</v>
      </c>
    </row>
    <row r="910" spans="1:7" x14ac:dyDescent="0.25">
      <c r="A910" t="s">
        <v>3</v>
      </c>
      <c r="B910">
        <v>908</v>
      </c>
      <c r="C910">
        <v>100</v>
      </c>
      <c r="D910" s="2">
        <v>20.182159423828125</v>
      </c>
      <c r="E910" s="2" t="s">
        <v>10</v>
      </c>
      <c r="F910" s="2" t="s">
        <v>13</v>
      </c>
      <c r="G910" s="2">
        <v>2.1</v>
      </c>
    </row>
    <row r="911" spans="1:7" x14ac:dyDescent="0.25">
      <c r="A911" t="s">
        <v>3</v>
      </c>
      <c r="B911">
        <v>909</v>
      </c>
      <c r="C911">
        <v>70</v>
      </c>
      <c r="D911" s="3">
        <v>18.994701147079468</v>
      </c>
      <c r="E911" s="3" t="s">
        <v>10</v>
      </c>
      <c r="F911" s="3" t="s">
        <v>21</v>
      </c>
      <c r="G911" s="3">
        <v>4.3</v>
      </c>
    </row>
    <row r="912" spans="1:7" x14ac:dyDescent="0.25">
      <c r="A912" t="s">
        <v>3</v>
      </c>
      <c r="B912">
        <v>910</v>
      </c>
      <c r="C912">
        <v>100</v>
      </c>
      <c r="D912" s="2">
        <v>21.232774257659912</v>
      </c>
      <c r="E912" s="2" t="s">
        <v>10</v>
      </c>
      <c r="F912" s="2" t="s">
        <v>13</v>
      </c>
      <c r="G912" s="2">
        <v>5</v>
      </c>
    </row>
    <row r="913" spans="1:7" x14ac:dyDescent="0.25">
      <c r="A913" t="s">
        <v>3</v>
      </c>
      <c r="B913">
        <v>911</v>
      </c>
      <c r="C913">
        <v>100</v>
      </c>
      <c r="D913" s="3">
        <v>21.641958475112915</v>
      </c>
      <c r="E913" s="3" t="s">
        <v>10</v>
      </c>
      <c r="F913" s="3" t="s">
        <v>13</v>
      </c>
      <c r="G913" s="3">
        <v>5</v>
      </c>
    </row>
    <row r="914" spans="1:7" x14ac:dyDescent="0.25">
      <c r="A914" t="s">
        <v>3</v>
      </c>
      <c r="B914">
        <v>912</v>
      </c>
      <c r="C914">
        <v>100</v>
      </c>
      <c r="D914" s="2">
        <v>27.251761436462402</v>
      </c>
      <c r="E914" s="2" t="s">
        <v>10</v>
      </c>
      <c r="F914" s="2" t="s">
        <v>13</v>
      </c>
      <c r="G914" s="2">
        <v>5</v>
      </c>
    </row>
    <row r="915" spans="1:7" x14ac:dyDescent="0.25">
      <c r="A915" t="s">
        <v>3</v>
      </c>
      <c r="B915">
        <v>913</v>
      </c>
      <c r="C915">
        <v>5</v>
      </c>
      <c r="D915" s="3">
        <v>23.22062349319458</v>
      </c>
      <c r="E915" s="3" t="s">
        <v>10</v>
      </c>
      <c r="F915" s="3" t="s">
        <v>13</v>
      </c>
      <c r="G915" s="3">
        <v>5</v>
      </c>
    </row>
    <row r="916" spans="1:7" x14ac:dyDescent="0.25">
      <c r="A916" t="s">
        <v>3</v>
      </c>
      <c r="B916">
        <v>914</v>
      </c>
      <c r="C916">
        <v>100</v>
      </c>
      <c r="D916" s="2">
        <v>32.627450942993164</v>
      </c>
      <c r="E916" s="2" t="s">
        <v>10</v>
      </c>
      <c r="F916" s="2" t="s">
        <v>13</v>
      </c>
      <c r="G916" s="2">
        <v>5</v>
      </c>
    </row>
    <row r="917" spans="1:7" x14ac:dyDescent="0.25">
      <c r="A917" t="s">
        <v>3</v>
      </c>
      <c r="B917">
        <v>915</v>
      </c>
      <c r="C917">
        <v>95</v>
      </c>
      <c r="D917" s="3">
        <v>25.102177619934082</v>
      </c>
      <c r="E917" s="3" t="s">
        <v>10</v>
      </c>
      <c r="F917" s="3" t="s">
        <v>13</v>
      </c>
      <c r="G917" s="3">
        <v>5</v>
      </c>
    </row>
    <row r="918" spans="1:7" x14ac:dyDescent="0.25">
      <c r="A918" t="s">
        <v>3</v>
      </c>
      <c r="B918">
        <v>916</v>
      </c>
      <c r="C918">
        <v>100</v>
      </c>
      <c r="D918" s="2">
        <v>16.843341112136841</v>
      </c>
      <c r="E918" s="2" t="s">
        <v>10</v>
      </c>
      <c r="F918" s="2" t="s">
        <v>13</v>
      </c>
      <c r="G918" s="2">
        <v>5</v>
      </c>
    </row>
    <row r="919" spans="1:7" x14ac:dyDescent="0.25">
      <c r="A919" t="s">
        <v>3</v>
      </c>
      <c r="B919">
        <v>917</v>
      </c>
      <c r="C919">
        <v>100</v>
      </c>
      <c r="D919" s="3">
        <v>25.480973958969116</v>
      </c>
      <c r="E919" s="3" t="s">
        <v>10</v>
      </c>
      <c r="F919" s="3" t="s">
        <v>13</v>
      </c>
      <c r="G919" s="3">
        <v>5</v>
      </c>
    </row>
    <row r="920" spans="1:7" x14ac:dyDescent="0.25">
      <c r="A920" t="s">
        <v>3</v>
      </c>
      <c r="B920">
        <v>918</v>
      </c>
      <c r="C920">
        <v>70</v>
      </c>
      <c r="D920" s="2">
        <v>24.163499593734741</v>
      </c>
      <c r="E920" s="2" t="s">
        <v>10</v>
      </c>
      <c r="F920" s="2" t="s">
        <v>13</v>
      </c>
      <c r="G920" s="2">
        <v>5</v>
      </c>
    </row>
    <row r="921" spans="1:7" x14ac:dyDescent="0.25">
      <c r="A921" t="s">
        <v>3</v>
      </c>
      <c r="B921">
        <v>919</v>
      </c>
      <c r="C921">
        <v>0</v>
      </c>
      <c r="D921" s="3">
        <v>20.854975461959839</v>
      </c>
      <c r="E921" s="3" t="s">
        <v>10</v>
      </c>
      <c r="F921" s="3" t="s">
        <v>15</v>
      </c>
      <c r="G921" s="3">
        <v>5</v>
      </c>
    </row>
    <row r="922" spans="1:7" x14ac:dyDescent="0.25">
      <c r="A922" t="s">
        <v>3</v>
      </c>
      <c r="B922">
        <v>920</v>
      </c>
      <c r="C922">
        <v>100</v>
      </c>
      <c r="D922" s="2">
        <v>22.122137069702148</v>
      </c>
      <c r="E922" s="2" t="s">
        <v>10</v>
      </c>
      <c r="F922" s="2" t="s">
        <v>15</v>
      </c>
      <c r="G922" s="2">
        <v>5</v>
      </c>
    </row>
    <row r="923" spans="1:7" x14ac:dyDescent="0.25">
      <c r="A923" t="s">
        <v>3</v>
      </c>
      <c r="B923">
        <v>921</v>
      </c>
      <c r="C923">
        <v>100</v>
      </c>
      <c r="D923" s="3">
        <v>40.578942060470581</v>
      </c>
      <c r="E923" s="3" t="s">
        <v>10</v>
      </c>
      <c r="F923" s="3" t="s">
        <v>21</v>
      </c>
      <c r="G923" s="3">
        <v>4.3</v>
      </c>
    </row>
    <row r="924" spans="1:7" x14ac:dyDescent="0.25">
      <c r="A924" t="s">
        <v>3</v>
      </c>
      <c r="B924">
        <v>922</v>
      </c>
      <c r="C924">
        <v>100</v>
      </c>
      <c r="D924" s="2">
        <v>28.576333284378052</v>
      </c>
      <c r="E924" s="2" t="s">
        <v>10</v>
      </c>
      <c r="F924" s="2" t="s">
        <v>21</v>
      </c>
      <c r="G924" s="2">
        <v>4.3</v>
      </c>
    </row>
    <row r="925" spans="1:7" x14ac:dyDescent="0.25">
      <c r="A925" t="s">
        <v>3</v>
      </c>
      <c r="B925">
        <v>923</v>
      </c>
      <c r="C925">
        <v>0</v>
      </c>
      <c r="D925" s="3">
        <v>23.502865552902222</v>
      </c>
      <c r="E925" s="3" t="s">
        <v>10</v>
      </c>
      <c r="F925" s="3" t="s">
        <v>21</v>
      </c>
      <c r="G925" s="3">
        <v>4.3</v>
      </c>
    </row>
    <row r="926" spans="1:7" x14ac:dyDescent="0.25">
      <c r="A926" t="s">
        <v>3</v>
      </c>
      <c r="B926">
        <v>924</v>
      </c>
      <c r="C926">
        <v>100</v>
      </c>
      <c r="D926" s="2">
        <v>17.684297561645508</v>
      </c>
      <c r="E926" s="2" t="s">
        <v>10</v>
      </c>
      <c r="F926" s="2" t="s">
        <v>21</v>
      </c>
      <c r="G926" s="2">
        <v>4.3</v>
      </c>
    </row>
    <row r="927" spans="1:7" x14ac:dyDescent="0.25">
      <c r="A927" t="s">
        <v>3</v>
      </c>
      <c r="B927">
        <v>925</v>
      </c>
      <c r="C927">
        <v>100</v>
      </c>
      <c r="D927" s="3">
        <v>30.733934879302979</v>
      </c>
      <c r="E927" s="3" t="s">
        <v>10</v>
      </c>
      <c r="F927" s="3" t="s">
        <v>21</v>
      </c>
      <c r="G927" s="3">
        <v>4.3</v>
      </c>
    </row>
    <row r="928" spans="1:7" x14ac:dyDescent="0.25">
      <c r="A928" t="s">
        <v>3</v>
      </c>
      <c r="B928">
        <v>926</v>
      </c>
      <c r="C928">
        <v>80</v>
      </c>
      <c r="D928" s="2">
        <v>32.306440353393555</v>
      </c>
      <c r="E928" s="2" t="s">
        <v>10</v>
      </c>
      <c r="F928" s="2" t="s">
        <v>21</v>
      </c>
      <c r="G928" s="2">
        <v>4.3</v>
      </c>
    </row>
    <row r="929" spans="1:7" x14ac:dyDescent="0.25">
      <c r="A929" t="s">
        <v>3</v>
      </c>
      <c r="B929">
        <v>927</v>
      </c>
      <c r="C929">
        <v>100</v>
      </c>
      <c r="D929" s="3">
        <v>41.098260402679443</v>
      </c>
      <c r="E929" s="3" t="s">
        <v>10</v>
      </c>
      <c r="F929" s="3" t="s">
        <v>21</v>
      </c>
      <c r="G929" s="3">
        <v>4.3</v>
      </c>
    </row>
    <row r="930" spans="1:7" x14ac:dyDescent="0.25">
      <c r="A930" t="s">
        <v>3</v>
      </c>
      <c r="B930">
        <v>928</v>
      </c>
      <c r="C930">
        <v>100</v>
      </c>
      <c r="D930" s="2">
        <v>27.670279502868652</v>
      </c>
      <c r="E930" s="2" t="s">
        <v>10</v>
      </c>
      <c r="F930" s="2" t="s">
        <v>21</v>
      </c>
      <c r="G930" s="2">
        <v>4.3</v>
      </c>
    </row>
    <row r="931" spans="1:7" x14ac:dyDescent="0.25">
      <c r="A931" t="s">
        <v>3</v>
      </c>
      <c r="B931">
        <v>929</v>
      </c>
      <c r="C931">
        <v>15</v>
      </c>
      <c r="D931" s="3">
        <v>28.577680110931396</v>
      </c>
      <c r="E931" s="3" t="s">
        <v>10</v>
      </c>
      <c r="F931" s="3" t="s">
        <v>21</v>
      </c>
      <c r="G931" s="3">
        <v>4.3</v>
      </c>
    </row>
    <row r="932" spans="1:7" x14ac:dyDescent="0.25">
      <c r="A932" t="s">
        <v>3</v>
      </c>
      <c r="B932">
        <v>930</v>
      </c>
      <c r="C932">
        <v>0</v>
      </c>
      <c r="D932" s="2">
        <v>23.989214658737183</v>
      </c>
      <c r="E932" s="2" t="s">
        <v>10</v>
      </c>
      <c r="F932" s="2" t="s">
        <v>21</v>
      </c>
      <c r="G932" s="2">
        <v>4.3</v>
      </c>
    </row>
    <row r="933" spans="1:7" x14ac:dyDescent="0.25">
      <c r="A933" t="s">
        <v>3</v>
      </c>
      <c r="B933">
        <v>931</v>
      </c>
      <c r="C933">
        <v>100</v>
      </c>
      <c r="D933" s="3">
        <v>15.483380556106567</v>
      </c>
      <c r="E933" s="3" t="s">
        <v>10</v>
      </c>
      <c r="F933" s="3" t="s">
        <v>21</v>
      </c>
      <c r="G933" s="3">
        <v>4.3</v>
      </c>
    </row>
    <row r="934" spans="1:7" x14ac:dyDescent="0.25">
      <c r="A934" t="s">
        <v>3</v>
      </c>
      <c r="B934">
        <v>932</v>
      </c>
      <c r="C934">
        <v>100</v>
      </c>
      <c r="D934" s="2">
        <v>16.147783041000366</v>
      </c>
      <c r="E934" s="2" t="s">
        <v>10</v>
      </c>
      <c r="F934" s="2" t="s">
        <v>21</v>
      </c>
      <c r="G934" s="2">
        <v>4.3</v>
      </c>
    </row>
    <row r="935" spans="1:7" x14ac:dyDescent="0.25">
      <c r="A935" t="s">
        <v>3</v>
      </c>
      <c r="B935">
        <v>933</v>
      </c>
      <c r="C935">
        <v>0</v>
      </c>
      <c r="D935" s="3">
        <v>32.721616744995117</v>
      </c>
      <c r="E935" s="3" t="s">
        <v>10</v>
      </c>
      <c r="F935" s="3" t="s">
        <v>21</v>
      </c>
      <c r="G935" s="3">
        <v>4.3</v>
      </c>
    </row>
    <row r="936" spans="1:7" x14ac:dyDescent="0.25">
      <c r="A936" t="s">
        <v>3</v>
      </c>
      <c r="B936">
        <v>934</v>
      </c>
      <c r="C936">
        <v>100</v>
      </c>
      <c r="D936" s="2">
        <v>12.210191965103149</v>
      </c>
      <c r="E936" s="2" t="s">
        <v>10</v>
      </c>
      <c r="F936" s="2" t="s">
        <v>21</v>
      </c>
      <c r="G936" s="2">
        <v>4.3</v>
      </c>
    </row>
    <row r="937" spans="1:7" x14ac:dyDescent="0.25">
      <c r="A937" t="s">
        <v>3</v>
      </c>
      <c r="B937">
        <v>935</v>
      </c>
      <c r="C937">
        <v>100</v>
      </c>
      <c r="D937" s="3">
        <v>22.580358743667603</v>
      </c>
      <c r="E937" s="3" t="s">
        <v>10</v>
      </c>
      <c r="F937" s="3" t="s">
        <v>21</v>
      </c>
      <c r="G937" s="3">
        <v>4.3</v>
      </c>
    </row>
    <row r="938" spans="1:7" x14ac:dyDescent="0.25">
      <c r="A938" t="s">
        <v>3</v>
      </c>
      <c r="B938">
        <v>936</v>
      </c>
      <c r="C938">
        <v>100</v>
      </c>
      <c r="D938" s="2">
        <v>15.951409101486206</v>
      </c>
      <c r="E938" s="2" t="s">
        <v>10</v>
      </c>
      <c r="F938" s="2" t="s">
        <v>21</v>
      </c>
      <c r="G938" s="2">
        <v>4.3</v>
      </c>
    </row>
    <row r="939" spans="1:7" x14ac:dyDescent="0.25">
      <c r="A939" t="s">
        <v>3</v>
      </c>
      <c r="B939">
        <v>937</v>
      </c>
      <c r="C939">
        <v>100</v>
      </c>
      <c r="D939" s="3">
        <v>40.623331785202026</v>
      </c>
      <c r="E939" s="3" t="s">
        <v>10</v>
      </c>
      <c r="F939" s="3" t="s">
        <v>21</v>
      </c>
      <c r="G939" s="3">
        <v>4.3</v>
      </c>
    </row>
    <row r="940" spans="1:7" x14ac:dyDescent="0.25">
      <c r="A940" t="s">
        <v>3</v>
      </c>
      <c r="B940">
        <v>938</v>
      </c>
      <c r="C940">
        <v>100</v>
      </c>
      <c r="D940" s="2">
        <v>28.298578977584839</v>
      </c>
      <c r="E940" s="2" t="s">
        <v>10</v>
      </c>
      <c r="F940" s="2" t="s">
        <v>21</v>
      </c>
      <c r="G940" s="2">
        <v>4.3</v>
      </c>
    </row>
    <row r="941" spans="1:7" x14ac:dyDescent="0.25">
      <c r="A941" t="s">
        <v>3</v>
      </c>
      <c r="B941">
        <v>939</v>
      </c>
      <c r="C941">
        <v>100</v>
      </c>
      <c r="D941" s="3">
        <v>15.481575965881348</v>
      </c>
      <c r="E941" s="3" t="s">
        <v>10</v>
      </c>
      <c r="F941" s="3" t="s">
        <v>21</v>
      </c>
      <c r="G941" s="3">
        <v>4.3</v>
      </c>
    </row>
    <row r="942" spans="1:7" x14ac:dyDescent="0.25">
      <c r="A942" t="s">
        <v>3</v>
      </c>
      <c r="B942">
        <v>940</v>
      </c>
      <c r="C942">
        <v>0</v>
      </c>
      <c r="D942" s="2">
        <v>13.050325155258179</v>
      </c>
      <c r="E942" s="2" t="s">
        <v>10</v>
      </c>
      <c r="F942" s="2" t="s">
        <v>21</v>
      </c>
      <c r="G942" s="2">
        <v>4.3</v>
      </c>
    </row>
    <row r="943" spans="1:7" x14ac:dyDescent="0.25">
      <c r="A943" t="s">
        <v>3</v>
      </c>
      <c r="B943">
        <v>941</v>
      </c>
      <c r="C943">
        <v>0</v>
      </c>
      <c r="D943" s="3">
        <v>12.532969236373901</v>
      </c>
      <c r="E943" s="3" t="s">
        <v>10</v>
      </c>
      <c r="F943" s="3" t="s">
        <v>21</v>
      </c>
      <c r="G943" s="3">
        <v>4.3</v>
      </c>
    </row>
    <row r="944" spans="1:7" x14ac:dyDescent="0.25">
      <c r="A944" t="s">
        <v>3</v>
      </c>
      <c r="B944">
        <v>942</v>
      </c>
      <c r="C944">
        <v>40</v>
      </c>
      <c r="D944" s="2">
        <v>41.43037223815918</v>
      </c>
      <c r="E944" s="2" t="s">
        <v>10</v>
      </c>
      <c r="F944" s="2" t="s">
        <v>13</v>
      </c>
      <c r="G944" s="2">
        <v>2.1</v>
      </c>
    </row>
    <row r="945" spans="1:7" x14ac:dyDescent="0.25">
      <c r="A945" t="s">
        <v>3</v>
      </c>
      <c r="B945">
        <v>943</v>
      </c>
      <c r="C945">
        <v>100</v>
      </c>
      <c r="D945" s="3">
        <v>24.365240097045898</v>
      </c>
      <c r="E945" s="3" t="s">
        <v>10</v>
      </c>
      <c r="F945" s="3" t="s">
        <v>20</v>
      </c>
      <c r="G945" s="3">
        <v>7.5</v>
      </c>
    </row>
    <row r="946" spans="1:7" x14ac:dyDescent="0.25">
      <c r="A946" t="s">
        <v>3</v>
      </c>
      <c r="B946">
        <v>944</v>
      </c>
      <c r="C946">
        <v>40</v>
      </c>
      <c r="D946" s="2">
        <v>31.556895971298218</v>
      </c>
      <c r="E946" s="2" t="s">
        <v>10</v>
      </c>
      <c r="F946" s="2" t="s">
        <v>13</v>
      </c>
      <c r="G946" s="2">
        <v>4.3</v>
      </c>
    </row>
    <row r="947" spans="1:7" x14ac:dyDescent="0.25">
      <c r="A947" t="s">
        <v>3</v>
      </c>
      <c r="B947">
        <v>945</v>
      </c>
      <c r="C947">
        <v>0</v>
      </c>
      <c r="D947" s="3">
        <v>17.939082860946655</v>
      </c>
      <c r="E947" s="3" t="s">
        <v>10</v>
      </c>
      <c r="F947" s="3" t="s">
        <v>27</v>
      </c>
      <c r="G947" s="3">
        <v>5</v>
      </c>
    </row>
    <row r="948" spans="1:7" x14ac:dyDescent="0.25">
      <c r="A948" t="s">
        <v>3</v>
      </c>
      <c r="B948">
        <v>946</v>
      </c>
      <c r="C948">
        <v>0</v>
      </c>
      <c r="D948" s="2">
        <v>35.211234569549561</v>
      </c>
      <c r="E948" s="2" t="s">
        <v>10</v>
      </c>
      <c r="F948" s="2" t="s">
        <v>27</v>
      </c>
      <c r="G948" s="2">
        <v>5</v>
      </c>
    </row>
    <row r="949" spans="1:7" x14ac:dyDescent="0.25">
      <c r="A949" t="s">
        <v>3</v>
      </c>
      <c r="B949">
        <v>947</v>
      </c>
      <c r="C949">
        <v>100</v>
      </c>
      <c r="D949" s="3">
        <v>12.485767841339111</v>
      </c>
      <c r="E949" s="3" t="s">
        <v>10</v>
      </c>
      <c r="F949" s="3" t="s">
        <v>28</v>
      </c>
      <c r="G949" s="3">
        <v>4.5999999999999996</v>
      </c>
    </row>
    <row r="950" spans="1:7" x14ac:dyDescent="0.25">
      <c r="A950" t="s">
        <v>3</v>
      </c>
      <c r="B950">
        <v>948</v>
      </c>
      <c r="C950">
        <v>100</v>
      </c>
      <c r="D950" s="2">
        <v>15.844801664352417</v>
      </c>
      <c r="E950" s="2" t="s">
        <v>10</v>
      </c>
      <c r="F950" s="2" t="s">
        <v>28</v>
      </c>
      <c r="G950" s="2">
        <v>4.5999999999999996</v>
      </c>
    </row>
    <row r="951" spans="1:7" x14ac:dyDescent="0.25">
      <c r="A951" t="s">
        <v>3</v>
      </c>
      <c r="B951">
        <v>949</v>
      </c>
      <c r="C951">
        <v>100</v>
      </c>
      <c r="D951" s="3">
        <v>30.990113258361816</v>
      </c>
      <c r="E951" s="3" t="s">
        <v>10</v>
      </c>
      <c r="F951" s="3" t="s">
        <v>28</v>
      </c>
      <c r="G951" s="3">
        <v>4.5999999999999996</v>
      </c>
    </row>
    <row r="952" spans="1:7" x14ac:dyDescent="0.25">
      <c r="A952" t="s">
        <v>3</v>
      </c>
      <c r="B952">
        <v>950</v>
      </c>
      <c r="C952">
        <v>0</v>
      </c>
      <c r="D952" s="2">
        <v>27.700142621994019</v>
      </c>
      <c r="E952" s="2" t="s">
        <v>10</v>
      </c>
      <c r="F952" s="2" t="s">
        <v>39</v>
      </c>
      <c r="G952" s="2">
        <v>6.8</v>
      </c>
    </row>
    <row r="953" spans="1:7" x14ac:dyDescent="0.25">
      <c r="A953" t="s">
        <v>3</v>
      </c>
      <c r="B953">
        <v>951</v>
      </c>
      <c r="C953">
        <v>100</v>
      </c>
      <c r="D953" s="3">
        <v>13.735106229782104</v>
      </c>
      <c r="E953" s="3" t="s">
        <v>10</v>
      </c>
      <c r="F953" s="3" t="s">
        <v>40</v>
      </c>
      <c r="G953" s="3">
        <v>7.5</v>
      </c>
    </row>
    <row r="954" spans="1:7" x14ac:dyDescent="0.25">
      <c r="A954" t="s">
        <v>3</v>
      </c>
      <c r="B954">
        <v>952</v>
      </c>
      <c r="C954">
        <v>100</v>
      </c>
      <c r="D954" s="2">
        <v>57.920934438705444</v>
      </c>
      <c r="E954" s="2" t="s">
        <v>10</v>
      </c>
      <c r="F954" s="2" t="s">
        <v>13</v>
      </c>
      <c r="G954" s="2">
        <v>6.8</v>
      </c>
    </row>
    <row r="955" spans="1:7" x14ac:dyDescent="0.25">
      <c r="A955" t="s">
        <v>3</v>
      </c>
      <c r="B955">
        <v>953</v>
      </c>
      <c r="C955">
        <v>100</v>
      </c>
      <c r="D955" s="3">
        <v>26.52204155921936</v>
      </c>
      <c r="E955" s="3" t="s">
        <v>10</v>
      </c>
      <c r="F955" s="3" t="s">
        <v>13</v>
      </c>
      <c r="G955" s="3">
        <v>6.8</v>
      </c>
    </row>
    <row r="956" spans="1:7" x14ac:dyDescent="0.25">
      <c r="A956" t="s">
        <v>3</v>
      </c>
      <c r="B956">
        <v>954</v>
      </c>
      <c r="C956">
        <v>0</v>
      </c>
      <c r="D956" s="2">
        <v>27.680073738098145</v>
      </c>
      <c r="E956" s="2" t="s">
        <v>10</v>
      </c>
      <c r="F956" s="2" t="s">
        <v>13</v>
      </c>
      <c r="G956" s="2">
        <v>6.8</v>
      </c>
    </row>
    <row r="957" spans="1:7" x14ac:dyDescent="0.25">
      <c r="A957" t="s">
        <v>3</v>
      </c>
      <c r="B957">
        <v>955</v>
      </c>
      <c r="C957">
        <v>100</v>
      </c>
      <c r="D957" s="3">
        <v>17.529680490493774</v>
      </c>
      <c r="E957" s="3" t="s">
        <v>10</v>
      </c>
      <c r="F957" s="3" t="s">
        <v>13</v>
      </c>
      <c r="G957" s="3">
        <v>6.8</v>
      </c>
    </row>
    <row r="958" spans="1:7" x14ac:dyDescent="0.25">
      <c r="A958" t="s">
        <v>3</v>
      </c>
      <c r="B958">
        <v>956</v>
      </c>
      <c r="C958">
        <v>100</v>
      </c>
      <c r="D958" s="2">
        <v>28.88697624206543</v>
      </c>
      <c r="E958" s="2" t="s">
        <v>10</v>
      </c>
      <c r="F958" s="2" t="s">
        <v>13</v>
      </c>
      <c r="G958" s="2">
        <v>6.8</v>
      </c>
    </row>
    <row r="959" spans="1:7" x14ac:dyDescent="0.25">
      <c r="A959" t="s">
        <v>3</v>
      </c>
      <c r="B959">
        <v>957</v>
      </c>
      <c r="C959">
        <v>0</v>
      </c>
      <c r="D959" s="3">
        <v>30.27408766746521</v>
      </c>
      <c r="E959" s="3" t="s">
        <v>10</v>
      </c>
      <c r="F959" s="3" t="s">
        <v>41</v>
      </c>
      <c r="G959" s="3">
        <v>5</v>
      </c>
    </row>
    <row r="960" spans="1:7" x14ac:dyDescent="0.25">
      <c r="A960" t="s">
        <v>3</v>
      </c>
      <c r="B960">
        <v>958</v>
      </c>
      <c r="C960">
        <v>100</v>
      </c>
      <c r="D960" s="2">
        <v>23.483138799667358</v>
      </c>
      <c r="E960" s="2" t="s">
        <v>10</v>
      </c>
      <c r="F960" s="2" t="s">
        <v>40</v>
      </c>
      <c r="G960" s="2">
        <v>7.5</v>
      </c>
    </row>
    <row r="961" spans="1:7" x14ac:dyDescent="0.25">
      <c r="A961" t="s">
        <v>3</v>
      </c>
      <c r="B961">
        <v>959</v>
      </c>
      <c r="C961">
        <v>100</v>
      </c>
      <c r="D961" s="3">
        <v>24.183971166610718</v>
      </c>
      <c r="E961" s="3" t="s">
        <v>10</v>
      </c>
      <c r="F961" s="3" t="s">
        <v>40</v>
      </c>
      <c r="G961" s="3">
        <v>7.5</v>
      </c>
    </row>
    <row r="962" spans="1:7" x14ac:dyDescent="0.25">
      <c r="A962" t="s">
        <v>3</v>
      </c>
      <c r="B962">
        <v>960</v>
      </c>
      <c r="C962">
        <v>0</v>
      </c>
      <c r="D962" s="2">
        <v>22.65909481048584</v>
      </c>
      <c r="E962" s="2" t="s">
        <v>10</v>
      </c>
      <c r="F962" s="2" t="s">
        <v>41</v>
      </c>
      <c r="G962" s="2">
        <v>4.3</v>
      </c>
    </row>
    <row r="963" spans="1:7" x14ac:dyDescent="0.25">
      <c r="A963" t="s">
        <v>3</v>
      </c>
      <c r="B963">
        <v>961</v>
      </c>
      <c r="C963">
        <v>100</v>
      </c>
      <c r="D963" s="3">
        <v>12.845752000808716</v>
      </c>
      <c r="E963" s="3" t="s">
        <v>10</v>
      </c>
      <c r="F963" s="3" t="s">
        <v>13</v>
      </c>
      <c r="G963" s="3">
        <v>5.8</v>
      </c>
    </row>
    <row r="964" spans="1:7" x14ac:dyDescent="0.25">
      <c r="A964" t="s">
        <v>3</v>
      </c>
      <c r="B964">
        <v>962</v>
      </c>
      <c r="C964">
        <v>0</v>
      </c>
      <c r="D964" s="2">
        <v>33.485822200775146</v>
      </c>
      <c r="E964" s="2" t="s">
        <v>10</v>
      </c>
      <c r="F964" s="2" t="s">
        <v>13</v>
      </c>
      <c r="G964" s="2">
        <v>5.8</v>
      </c>
    </row>
    <row r="965" spans="1:7" x14ac:dyDescent="0.25">
      <c r="A965" t="s">
        <v>3</v>
      </c>
      <c r="B965">
        <v>963</v>
      </c>
      <c r="C965">
        <v>0</v>
      </c>
      <c r="D965" s="3">
        <v>31.753089189529419</v>
      </c>
      <c r="E965" s="3" t="s">
        <v>10</v>
      </c>
      <c r="F965" s="3" t="s">
        <v>42</v>
      </c>
      <c r="G965" s="3">
        <v>7.5</v>
      </c>
    </row>
    <row r="966" spans="1:7" x14ac:dyDescent="0.25">
      <c r="A966" t="s">
        <v>3</v>
      </c>
      <c r="B966">
        <v>964</v>
      </c>
      <c r="C966">
        <v>100</v>
      </c>
      <c r="D966" s="2">
        <v>30.64323353767395</v>
      </c>
      <c r="E966" s="2" t="s">
        <v>10</v>
      </c>
      <c r="F966" s="2" t="s">
        <v>41</v>
      </c>
      <c r="G966" s="2">
        <v>4.9000000000000004</v>
      </c>
    </row>
    <row r="967" spans="1:7" x14ac:dyDescent="0.25">
      <c r="A967" t="s">
        <v>3</v>
      </c>
      <c r="B967">
        <v>965</v>
      </c>
      <c r="C967">
        <v>100</v>
      </c>
      <c r="D967" s="3">
        <v>37.926733255386353</v>
      </c>
      <c r="E967" s="3" t="s">
        <v>10</v>
      </c>
      <c r="F967" s="3" t="s">
        <v>41</v>
      </c>
      <c r="G967" s="3">
        <v>4</v>
      </c>
    </row>
    <row r="968" spans="1:7" x14ac:dyDescent="0.25">
      <c r="A968" t="s">
        <v>3</v>
      </c>
      <c r="B968">
        <v>966</v>
      </c>
      <c r="C968">
        <v>5</v>
      </c>
      <c r="D968" s="2">
        <v>31.394576787948608</v>
      </c>
      <c r="E968" s="2" t="s">
        <v>10</v>
      </c>
      <c r="F968" s="2" t="s">
        <v>41</v>
      </c>
      <c r="G968" s="2">
        <v>4.7</v>
      </c>
    </row>
    <row r="969" spans="1:7" x14ac:dyDescent="0.25">
      <c r="A969" t="s">
        <v>3</v>
      </c>
      <c r="B969">
        <v>967</v>
      </c>
      <c r="C969">
        <v>100</v>
      </c>
      <c r="D969" s="3">
        <v>28.161957025527954</v>
      </c>
      <c r="E969" s="3" t="s">
        <v>10</v>
      </c>
      <c r="F969" s="3" t="s">
        <v>43</v>
      </c>
      <c r="G969" s="3">
        <v>1.9</v>
      </c>
    </row>
    <row r="970" spans="1:7" x14ac:dyDescent="0.25">
      <c r="A970" t="s">
        <v>3</v>
      </c>
      <c r="B970">
        <v>968</v>
      </c>
      <c r="C970">
        <v>0</v>
      </c>
      <c r="D970" s="2">
        <v>33.97406792640686</v>
      </c>
      <c r="E970" s="2" t="s">
        <v>10</v>
      </c>
      <c r="F970" s="2" t="s">
        <v>43</v>
      </c>
      <c r="G970" s="2">
        <v>1.9</v>
      </c>
    </row>
    <row r="971" spans="1:7" x14ac:dyDescent="0.25">
      <c r="A971" t="s">
        <v>3</v>
      </c>
      <c r="B971">
        <v>969</v>
      </c>
      <c r="C971">
        <v>100</v>
      </c>
      <c r="D971" s="3">
        <v>31.173373699188232</v>
      </c>
      <c r="E971" s="3" t="s">
        <v>10</v>
      </c>
      <c r="F971" s="3" t="s">
        <v>43</v>
      </c>
      <c r="G971" s="3">
        <v>1.9</v>
      </c>
    </row>
    <row r="972" spans="1:7" x14ac:dyDescent="0.25">
      <c r="A972" t="s">
        <v>3</v>
      </c>
      <c r="B972">
        <v>970</v>
      </c>
      <c r="C972">
        <v>100</v>
      </c>
      <c r="D972" s="2">
        <v>31.024388790130615</v>
      </c>
      <c r="E972" s="2" t="s">
        <v>10</v>
      </c>
      <c r="F972" s="2" t="s">
        <v>43</v>
      </c>
      <c r="G972" s="2">
        <v>1.9</v>
      </c>
    </row>
    <row r="973" spans="1:7" x14ac:dyDescent="0.25">
      <c r="A973" t="s">
        <v>3</v>
      </c>
      <c r="B973">
        <v>971</v>
      </c>
      <c r="C973">
        <v>100</v>
      </c>
      <c r="D973" s="3">
        <v>29.079220056533813</v>
      </c>
      <c r="E973" s="3" t="s">
        <v>10</v>
      </c>
      <c r="F973" s="3" t="s">
        <v>43</v>
      </c>
      <c r="G973" s="3">
        <v>1.9</v>
      </c>
    </row>
    <row r="974" spans="1:7" x14ac:dyDescent="0.25">
      <c r="A974" t="s">
        <v>3</v>
      </c>
      <c r="B974">
        <v>972</v>
      </c>
      <c r="C974">
        <v>0</v>
      </c>
      <c r="D974" s="2">
        <v>19.030786752700806</v>
      </c>
      <c r="E974" s="2" t="s">
        <v>10</v>
      </c>
      <c r="F974" s="2" t="s">
        <v>44</v>
      </c>
      <c r="G974" s="2">
        <v>6.6</v>
      </c>
    </row>
    <row r="975" spans="1:7" x14ac:dyDescent="0.25">
      <c r="A975" t="s">
        <v>3</v>
      </c>
      <c r="B975">
        <v>973</v>
      </c>
      <c r="C975">
        <v>100</v>
      </c>
      <c r="D975" s="3">
        <v>21.42126989364624</v>
      </c>
      <c r="E975" s="3" t="s">
        <v>10</v>
      </c>
      <c r="F975" s="3" t="s">
        <v>44</v>
      </c>
      <c r="G975" s="3">
        <v>6.6</v>
      </c>
    </row>
    <row r="976" spans="1:7" x14ac:dyDescent="0.25">
      <c r="A976" t="s">
        <v>3</v>
      </c>
      <c r="B976">
        <v>974</v>
      </c>
      <c r="C976">
        <v>100</v>
      </c>
      <c r="D976" s="2">
        <v>24.078394889831543</v>
      </c>
      <c r="E976" s="2" t="s">
        <v>10</v>
      </c>
      <c r="F976" s="2" t="s">
        <v>45</v>
      </c>
      <c r="G976" s="2">
        <v>5</v>
      </c>
    </row>
    <row r="977" spans="1:7" x14ac:dyDescent="0.25">
      <c r="A977" t="s">
        <v>3</v>
      </c>
      <c r="B977">
        <v>975</v>
      </c>
      <c r="C977">
        <v>100</v>
      </c>
      <c r="D977" s="3">
        <v>33.944813251495361</v>
      </c>
      <c r="E977" s="3" t="s">
        <v>10</v>
      </c>
      <c r="F977" s="3" t="s">
        <v>45</v>
      </c>
      <c r="G977" s="3">
        <v>5</v>
      </c>
    </row>
    <row r="978" spans="1:7" x14ac:dyDescent="0.25">
      <c r="A978" t="s">
        <v>3</v>
      </c>
      <c r="B978">
        <v>976</v>
      </c>
      <c r="C978">
        <v>0</v>
      </c>
      <c r="D978" s="2">
        <v>29.853317260742188</v>
      </c>
      <c r="E978" s="2" t="s">
        <v>10</v>
      </c>
      <c r="F978" s="2" t="s">
        <v>41</v>
      </c>
      <c r="G978" s="2">
        <v>5.4</v>
      </c>
    </row>
    <row r="979" spans="1:7" x14ac:dyDescent="0.25">
      <c r="A979" t="s">
        <v>3</v>
      </c>
      <c r="B979">
        <v>977</v>
      </c>
      <c r="C979">
        <v>100</v>
      </c>
      <c r="D979" s="3">
        <v>32.377294301986694</v>
      </c>
      <c r="E979" s="3" t="s">
        <v>10</v>
      </c>
      <c r="F979" s="3" t="s">
        <v>41</v>
      </c>
      <c r="G979" s="3">
        <v>5.4</v>
      </c>
    </row>
    <row r="980" spans="1:7" x14ac:dyDescent="0.25">
      <c r="A980" t="s">
        <v>3</v>
      </c>
      <c r="B980">
        <v>978</v>
      </c>
      <c r="C980">
        <v>15</v>
      </c>
      <c r="D980" s="2">
        <v>28.551304578781128</v>
      </c>
      <c r="E980" s="2" t="s">
        <v>10</v>
      </c>
      <c r="F980" s="2" t="s">
        <v>41</v>
      </c>
      <c r="G980" s="2">
        <v>5.4</v>
      </c>
    </row>
    <row r="981" spans="1:7" x14ac:dyDescent="0.25">
      <c r="A981" t="s">
        <v>3</v>
      </c>
      <c r="B981">
        <v>979</v>
      </c>
      <c r="C981">
        <v>100</v>
      </c>
      <c r="D981" s="3">
        <v>29.832386255264282</v>
      </c>
      <c r="E981" s="3" t="s">
        <v>10</v>
      </c>
      <c r="F981" s="3" t="s">
        <v>41</v>
      </c>
      <c r="G981" s="3">
        <v>5.4</v>
      </c>
    </row>
    <row r="982" spans="1:7" x14ac:dyDescent="0.25">
      <c r="A982" t="s">
        <v>3</v>
      </c>
      <c r="B982">
        <v>980</v>
      </c>
      <c r="C982">
        <v>100</v>
      </c>
      <c r="D982" s="2">
        <v>32.529572486877441</v>
      </c>
      <c r="E982" s="2" t="s">
        <v>10</v>
      </c>
      <c r="F982" s="2" t="s">
        <v>41</v>
      </c>
      <c r="G982" s="2">
        <v>5.4</v>
      </c>
    </row>
    <row r="983" spans="1:7" x14ac:dyDescent="0.25">
      <c r="A983" t="s">
        <v>3</v>
      </c>
      <c r="B983">
        <v>981</v>
      </c>
      <c r="C983">
        <v>0</v>
      </c>
      <c r="D983" s="3">
        <v>27.137310266494751</v>
      </c>
      <c r="E983" s="3" t="s">
        <v>10</v>
      </c>
      <c r="F983" s="3" t="s">
        <v>41</v>
      </c>
      <c r="G983" s="3">
        <v>5.4</v>
      </c>
    </row>
    <row r="984" spans="1:7" x14ac:dyDescent="0.25">
      <c r="A984" t="s">
        <v>3</v>
      </c>
      <c r="B984">
        <v>982</v>
      </c>
      <c r="C984">
        <v>20</v>
      </c>
      <c r="D984" s="2">
        <v>29.510471820831299</v>
      </c>
      <c r="E984" s="2" t="s">
        <v>10</v>
      </c>
      <c r="F984" s="2" t="s">
        <v>41</v>
      </c>
      <c r="G984" s="2">
        <v>5.4</v>
      </c>
    </row>
    <row r="985" spans="1:7" x14ac:dyDescent="0.25">
      <c r="A985" t="s">
        <v>3</v>
      </c>
      <c r="B985">
        <v>983</v>
      </c>
      <c r="C985">
        <v>15</v>
      </c>
      <c r="D985" s="3">
        <v>17.176173448562622</v>
      </c>
      <c r="E985" s="3" t="s">
        <v>10</v>
      </c>
      <c r="F985" s="3" t="s">
        <v>41</v>
      </c>
      <c r="G985" s="3">
        <v>5.4</v>
      </c>
    </row>
    <row r="986" spans="1:7" x14ac:dyDescent="0.25">
      <c r="A986" t="s">
        <v>3</v>
      </c>
      <c r="B986">
        <v>984</v>
      </c>
      <c r="C986">
        <v>0</v>
      </c>
      <c r="D986" s="2">
        <v>27.470273017883301</v>
      </c>
      <c r="E986" s="2" t="s">
        <v>10</v>
      </c>
      <c r="F986" s="2" t="s">
        <v>41</v>
      </c>
      <c r="G986" s="2">
        <v>5.4</v>
      </c>
    </row>
    <row r="987" spans="1:7" x14ac:dyDescent="0.25">
      <c r="A987" t="s">
        <v>3</v>
      </c>
      <c r="B987">
        <v>985</v>
      </c>
      <c r="C987">
        <v>0</v>
      </c>
      <c r="D987" s="3">
        <v>25.153948783874512</v>
      </c>
      <c r="E987" s="3" t="s">
        <v>10</v>
      </c>
      <c r="F987" s="3" t="s">
        <v>41</v>
      </c>
      <c r="G987" s="3">
        <v>5.4</v>
      </c>
    </row>
    <row r="988" spans="1:7" x14ac:dyDescent="0.25">
      <c r="A988" t="s">
        <v>3</v>
      </c>
      <c r="B988">
        <v>986</v>
      </c>
      <c r="C988">
        <v>0</v>
      </c>
      <c r="D988" s="2">
        <v>17.744111299514771</v>
      </c>
      <c r="E988" s="2" t="s">
        <v>10</v>
      </c>
      <c r="F988" s="2" t="s">
        <v>41</v>
      </c>
      <c r="G988" s="2">
        <v>5.4</v>
      </c>
    </row>
    <row r="989" spans="1:7" x14ac:dyDescent="0.25">
      <c r="A989" t="s">
        <v>3</v>
      </c>
      <c r="B989">
        <v>987</v>
      </c>
      <c r="C989">
        <v>100</v>
      </c>
      <c r="D989" s="3">
        <v>41.418238639831543</v>
      </c>
      <c r="E989" s="3" t="s">
        <v>10</v>
      </c>
      <c r="F989" s="3" t="s">
        <v>41</v>
      </c>
      <c r="G989" s="3">
        <v>5.4</v>
      </c>
    </row>
    <row r="990" spans="1:7" x14ac:dyDescent="0.25">
      <c r="A990" t="s">
        <v>3</v>
      </c>
      <c r="B990">
        <v>988</v>
      </c>
      <c r="C990">
        <v>100</v>
      </c>
      <c r="D990" s="2">
        <v>32.310827493667603</v>
      </c>
      <c r="E990" s="2" t="s">
        <v>10</v>
      </c>
      <c r="F990" s="2" t="s">
        <v>41</v>
      </c>
      <c r="G990" s="2">
        <v>5.4</v>
      </c>
    </row>
    <row r="991" spans="1:7" x14ac:dyDescent="0.25">
      <c r="A991" t="s">
        <v>3</v>
      </c>
      <c r="B991">
        <v>989</v>
      </c>
      <c r="C991">
        <v>100</v>
      </c>
      <c r="D991" s="3">
        <v>31.240127325057983</v>
      </c>
      <c r="E991" s="3" t="s">
        <v>10</v>
      </c>
      <c r="F991" s="3" t="s">
        <v>41</v>
      </c>
      <c r="G991" s="3">
        <v>5.4</v>
      </c>
    </row>
    <row r="992" spans="1:7" x14ac:dyDescent="0.25">
      <c r="A992" t="s">
        <v>3</v>
      </c>
      <c r="B992">
        <v>990</v>
      </c>
      <c r="C992">
        <v>100</v>
      </c>
      <c r="D992" s="2">
        <v>26.326962471008301</v>
      </c>
      <c r="E992" s="2" t="s">
        <v>10</v>
      </c>
      <c r="F992" s="2" t="s">
        <v>41</v>
      </c>
      <c r="G992" s="2">
        <v>5.4</v>
      </c>
    </row>
    <row r="993" spans="1:7" x14ac:dyDescent="0.25">
      <c r="A993" t="s">
        <v>3</v>
      </c>
      <c r="B993">
        <v>991</v>
      </c>
      <c r="C993">
        <v>100</v>
      </c>
      <c r="D993" s="3">
        <v>33.020137310028076</v>
      </c>
      <c r="E993" s="3" t="s">
        <v>10</v>
      </c>
      <c r="F993" s="3" t="s">
        <v>41</v>
      </c>
      <c r="G993" s="3">
        <v>5.4</v>
      </c>
    </row>
    <row r="994" spans="1:7" x14ac:dyDescent="0.25">
      <c r="A994" t="s">
        <v>3</v>
      </c>
      <c r="B994">
        <v>992</v>
      </c>
      <c r="C994">
        <v>100</v>
      </c>
      <c r="D994" s="2">
        <v>40.387606143951416</v>
      </c>
      <c r="E994" s="2" t="s">
        <v>10</v>
      </c>
      <c r="F994" s="2" t="s">
        <v>41</v>
      </c>
      <c r="G994" s="2">
        <v>5.4</v>
      </c>
    </row>
    <row r="995" spans="1:7" x14ac:dyDescent="0.25">
      <c r="A995" t="s">
        <v>3</v>
      </c>
      <c r="B995">
        <v>993</v>
      </c>
      <c r="C995">
        <v>80</v>
      </c>
      <c r="D995" s="3">
        <v>30.274180173873901</v>
      </c>
      <c r="E995" s="3" t="s">
        <v>10</v>
      </c>
      <c r="F995" s="3" t="s">
        <v>41</v>
      </c>
      <c r="G995" s="3">
        <v>5.4</v>
      </c>
    </row>
    <row r="996" spans="1:7" x14ac:dyDescent="0.25">
      <c r="A996" t="s">
        <v>3</v>
      </c>
      <c r="B996">
        <v>994</v>
      </c>
      <c r="C996">
        <v>100</v>
      </c>
      <c r="D996" s="2">
        <v>16.733329772949219</v>
      </c>
      <c r="E996" s="2" t="s">
        <v>10</v>
      </c>
      <c r="F996" s="2" t="s">
        <v>41</v>
      </c>
      <c r="G996" s="2">
        <v>5.4</v>
      </c>
    </row>
    <row r="997" spans="1:7" x14ac:dyDescent="0.25">
      <c r="A997" t="s">
        <v>3</v>
      </c>
      <c r="B997">
        <v>995</v>
      </c>
      <c r="C997">
        <v>40</v>
      </c>
      <c r="D997" s="3">
        <v>17.467481851577759</v>
      </c>
      <c r="E997" s="3" t="s">
        <v>10</v>
      </c>
      <c r="F997" s="3" t="s">
        <v>41</v>
      </c>
      <c r="G997" s="3">
        <v>5.4</v>
      </c>
    </row>
    <row r="998" spans="1:7" x14ac:dyDescent="0.25">
      <c r="A998" t="s">
        <v>3</v>
      </c>
      <c r="B998">
        <v>996</v>
      </c>
      <c r="C998">
        <v>50</v>
      </c>
      <c r="D998" s="2">
        <v>21.303617238998413</v>
      </c>
      <c r="E998" s="2" t="s">
        <v>10</v>
      </c>
      <c r="F998" s="2" t="s">
        <v>41</v>
      </c>
      <c r="G998" s="2">
        <v>5.4</v>
      </c>
    </row>
    <row r="999" spans="1:7" x14ac:dyDescent="0.25">
      <c r="A999" t="s">
        <v>3</v>
      </c>
      <c r="B999">
        <v>997</v>
      </c>
      <c r="C999">
        <v>35</v>
      </c>
      <c r="D999" s="3">
        <v>17.644655227661133</v>
      </c>
      <c r="E999" s="3" t="s">
        <v>10</v>
      </c>
      <c r="F999" s="3" t="s">
        <v>41</v>
      </c>
      <c r="G999" s="3">
        <v>5.4</v>
      </c>
    </row>
    <row r="1000" spans="1:7" x14ac:dyDescent="0.25">
      <c r="A1000" t="s">
        <v>3</v>
      </c>
      <c r="B1000">
        <v>998</v>
      </c>
      <c r="C1000">
        <v>100</v>
      </c>
      <c r="D1000" s="2">
        <v>26.424401760101318</v>
      </c>
      <c r="E1000" s="2" t="s">
        <v>10</v>
      </c>
      <c r="F1000" s="2" t="s">
        <v>41</v>
      </c>
      <c r="G1000" s="2">
        <v>5.4</v>
      </c>
    </row>
    <row r="1001" spans="1:7" x14ac:dyDescent="0.25">
      <c r="A1001" t="s">
        <v>3</v>
      </c>
      <c r="B1001">
        <v>999</v>
      </c>
      <c r="C1001">
        <v>100</v>
      </c>
      <c r="D1001" s="3">
        <v>32.273478031158447</v>
      </c>
      <c r="E1001" s="3" t="s">
        <v>10</v>
      </c>
      <c r="F1001" s="3" t="s">
        <v>41</v>
      </c>
      <c r="G1001" s="3">
        <v>5.4</v>
      </c>
    </row>
    <row r="1002" spans="1:7" x14ac:dyDescent="0.25">
      <c r="A1002" t="s">
        <v>3</v>
      </c>
      <c r="B1002">
        <v>1000</v>
      </c>
      <c r="C1002">
        <v>100</v>
      </c>
      <c r="D1002" s="2">
        <v>37.323978185653687</v>
      </c>
      <c r="E1002" s="2" t="s">
        <v>10</v>
      </c>
      <c r="F1002" s="2" t="s">
        <v>41</v>
      </c>
      <c r="G1002" s="2">
        <v>5.4</v>
      </c>
    </row>
    <row r="1003" spans="1:7" x14ac:dyDescent="0.25">
      <c r="A1003" t="s">
        <v>3</v>
      </c>
      <c r="B1003">
        <v>1001</v>
      </c>
      <c r="C1003">
        <v>100</v>
      </c>
      <c r="D1003" s="3">
        <v>35.346651077270508</v>
      </c>
      <c r="E1003" s="3" t="s">
        <v>10</v>
      </c>
      <c r="F1003" s="3" t="s">
        <v>41</v>
      </c>
      <c r="G1003" s="3">
        <v>5.4</v>
      </c>
    </row>
    <row r="1004" spans="1:7" x14ac:dyDescent="0.25">
      <c r="A1004" t="s">
        <v>3</v>
      </c>
      <c r="B1004">
        <v>1002</v>
      </c>
      <c r="C1004">
        <v>100</v>
      </c>
      <c r="D1004" s="2">
        <v>33.014953851699829</v>
      </c>
      <c r="E1004" s="2" t="s">
        <v>10</v>
      </c>
      <c r="F1004" s="2" t="s">
        <v>41</v>
      </c>
      <c r="G1004" s="2">
        <v>5.4</v>
      </c>
    </row>
    <row r="1005" spans="1:7" x14ac:dyDescent="0.25">
      <c r="A1005" t="s">
        <v>3</v>
      </c>
      <c r="B1005">
        <v>1003</v>
      </c>
      <c r="C1005">
        <v>100</v>
      </c>
      <c r="D1005" s="3">
        <v>12.994401454925537</v>
      </c>
      <c r="E1005" s="3" t="s">
        <v>10</v>
      </c>
      <c r="F1005" s="3" t="s">
        <v>41</v>
      </c>
      <c r="G1005" s="3">
        <v>5.4</v>
      </c>
    </row>
    <row r="1006" spans="1:7" x14ac:dyDescent="0.25">
      <c r="A1006" t="s">
        <v>3</v>
      </c>
      <c r="B1006">
        <v>1004</v>
      </c>
      <c r="C1006">
        <v>100</v>
      </c>
      <c r="D1006" s="2">
        <v>28.391331911087036</v>
      </c>
      <c r="E1006" s="2" t="s">
        <v>10</v>
      </c>
      <c r="F1006" s="2" t="s">
        <v>41</v>
      </c>
      <c r="G1006" s="2">
        <v>5.4</v>
      </c>
    </row>
    <row r="1007" spans="1:7" x14ac:dyDescent="0.25">
      <c r="A1007" t="s">
        <v>3</v>
      </c>
      <c r="B1007">
        <v>1005</v>
      </c>
      <c r="C1007">
        <v>100</v>
      </c>
      <c r="D1007" s="3">
        <v>29.680346012115479</v>
      </c>
      <c r="E1007" s="3" t="s">
        <v>10</v>
      </c>
      <c r="F1007" s="3" t="s">
        <v>41</v>
      </c>
      <c r="G1007" s="3">
        <v>5.4</v>
      </c>
    </row>
    <row r="1008" spans="1:7" x14ac:dyDescent="0.25">
      <c r="A1008" t="s">
        <v>3</v>
      </c>
      <c r="B1008">
        <v>1006</v>
      </c>
      <c r="C1008">
        <v>0</v>
      </c>
      <c r="D1008" s="2">
        <v>31.612573385238647</v>
      </c>
      <c r="E1008" s="2" t="s">
        <v>10</v>
      </c>
      <c r="F1008" s="2" t="s">
        <v>41</v>
      </c>
      <c r="G1008" s="2">
        <v>5.4</v>
      </c>
    </row>
    <row r="1009" spans="1:7" x14ac:dyDescent="0.25">
      <c r="A1009" t="s">
        <v>3</v>
      </c>
      <c r="B1009">
        <v>1007</v>
      </c>
      <c r="C1009">
        <v>100</v>
      </c>
      <c r="D1009" s="3">
        <v>25.832574605941772</v>
      </c>
      <c r="E1009" s="3" t="s">
        <v>10</v>
      </c>
      <c r="F1009" s="3" t="s">
        <v>41</v>
      </c>
      <c r="G1009" s="3">
        <v>5.4</v>
      </c>
    </row>
    <row r="1010" spans="1:7" x14ac:dyDescent="0.25">
      <c r="A1010" t="s">
        <v>3</v>
      </c>
      <c r="B1010">
        <v>1008</v>
      </c>
      <c r="C1010">
        <v>100</v>
      </c>
      <c r="D1010" s="2">
        <v>35.970500707626343</v>
      </c>
      <c r="E1010" s="2" t="s">
        <v>10</v>
      </c>
      <c r="F1010" s="2" t="s">
        <v>41</v>
      </c>
      <c r="G1010" s="2">
        <v>5.4</v>
      </c>
    </row>
    <row r="1011" spans="1:7" x14ac:dyDescent="0.25">
      <c r="A1011" t="s">
        <v>3</v>
      </c>
      <c r="B1011">
        <v>1009</v>
      </c>
      <c r="C1011">
        <v>100</v>
      </c>
      <c r="D1011" s="3">
        <v>29.175762414932251</v>
      </c>
      <c r="E1011" s="3" t="s">
        <v>10</v>
      </c>
      <c r="F1011" s="3" t="s">
        <v>41</v>
      </c>
      <c r="G1011" s="3">
        <v>5.4</v>
      </c>
    </row>
    <row r="1012" spans="1:7" x14ac:dyDescent="0.25">
      <c r="A1012" t="s">
        <v>3</v>
      </c>
      <c r="B1012">
        <v>1010</v>
      </c>
      <c r="C1012">
        <v>100</v>
      </c>
      <c r="D1012" s="2">
        <v>27.524725675582886</v>
      </c>
      <c r="E1012" s="2" t="s">
        <v>10</v>
      </c>
      <c r="F1012" s="2" t="s">
        <v>41</v>
      </c>
      <c r="G1012" s="2">
        <v>5.4</v>
      </c>
    </row>
    <row r="1013" spans="1:7" x14ac:dyDescent="0.25">
      <c r="A1013" t="s">
        <v>3</v>
      </c>
      <c r="B1013">
        <v>1011</v>
      </c>
      <c r="C1013">
        <v>100</v>
      </c>
      <c r="D1013" s="3">
        <v>34.31602144241333</v>
      </c>
      <c r="E1013" s="3" t="s">
        <v>10</v>
      </c>
      <c r="F1013" s="3" t="s">
        <v>41</v>
      </c>
      <c r="G1013" s="3">
        <v>5.4</v>
      </c>
    </row>
    <row r="1014" spans="1:7" x14ac:dyDescent="0.25">
      <c r="A1014" t="s">
        <v>3</v>
      </c>
      <c r="B1014">
        <v>1012</v>
      </c>
      <c r="C1014">
        <v>100</v>
      </c>
      <c r="D1014" s="2">
        <v>36.379417419433594</v>
      </c>
      <c r="E1014" s="2" t="s">
        <v>10</v>
      </c>
      <c r="F1014" s="2" t="s">
        <v>13</v>
      </c>
      <c r="G1014" s="2">
        <v>5.8</v>
      </c>
    </row>
    <row r="1015" spans="1:7" x14ac:dyDescent="0.25">
      <c r="A1015" t="s">
        <v>3</v>
      </c>
      <c r="B1015">
        <v>1013</v>
      </c>
      <c r="C1015">
        <v>100</v>
      </c>
      <c r="D1015" s="3">
        <v>34.614917993545532</v>
      </c>
      <c r="E1015" s="3" t="s">
        <v>10</v>
      </c>
      <c r="F1015" s="3" t="s">
        <v>13</v>
      </c>
      <c r="G1015" s="3">
        <v>5.8</v>
      </c>
    </row>
    <row r="1016" spans="1:7" x14ac:dyDescent="0.25">
      <c r="A1016" t="s">
        <v>3</v>
      </c>
      <c r="B1016">
        <v>1014</v>
      </c>
      <c r="C1016">
        <v>100</v>
      </c>
      <c r="D1016" s="2">
        <v>33.881964683532715</v>
      </c>
      <c r="E1016" s="2" t="s">
        <v>10</v>
      </c>
      <c r="F1016" s="2" t="s">
        <v>13</v>
      </c>
      <c r="G1016" s="2">
        <v>1.9</v>
      </c>
    </row>
    <row r="1017" spans="1:7" x14ac:dyDescent="0.25">
      <c r="A1017" t="s">
        <v>3</v>
      </c>
      <c r="B1017">
        <v>1015</v>
      </c>
      <c r="C1017">
        <v>100</v>
      </c>
      <c r="D1017" s="3">
        <v>29.348386764526367</v>
      </c>
      <c r="E1017" s="3" t="s">
        <v>10</v>
      </c>
      <c r="F1017" s="3" t="s">
        <v>13</v>
      </c>
      <c r="G1017" s="3">
        <v>1.9</v>
      </c>
    </row>
    <row r="1018" spans="1:7" x14ac:dyDescent="0.25">
      <c r="A1018" t="s">
        <v>3</v>
      </c>
      <c r="B1018">
        <v>1016</v>
      </c>
      <c r="C1018">
        <v>100</v>
      </c>
      <c r="D1018" s="2">
        <v>34.165930986404419</v>
      </c>
      <c r="E1018" s="2" t="s">
        <v>10</v>
      </c>
      <c r="F1018" s="2" t="s">
        <v>13</v>
      </c>
      <c r="G1018" s="2">
        <v>1.9</v>
      </c>
    </row>
    <row r="1019" spans="1:7" x14ac:dyDescent="0.25">
      <c r="A1019" t="s">
        <v>3</v>
      </c>
      <c r="B1019">
        <v>1017</v>
      </c>
      <c r="C1019">
        <v>0</v>
      </c>
      <c r="D1019" s="3">
        <v>48.888131141662598</v>
      </c>
      <c r="E1019" s="3" t="s">
        <v>10</v>
      </c>
      <c r="F1019" s="3" t="s">
        <v>41</v>
      </c>
      <c r="G1019" s="3">
        <v>6.2</v>
      </c>
    </row>
    <row r="1020" spans="1:7" x14ac:dyDescent="0.25">
      <c r="A1020" t="s">
        <v>3</v>
      </c>
      <c r="B1020">
        <v>1018</v>
      </c>
      <c r="C1020">
        <v>96</v>
      </c>
      <c r="D1020" s="2">
        <v>38.670413494110107</v>
      </c>
      <c r="E1020" s="2" t="s">
        <v>10</v>
      </c>
      <c r="F1020" s="2" t="s">
        <v>44</v>
      </c>
      <c r="G1020" s="2">
        <v>5.6</v>
      </c>
    </row>
    <row r="1021" spans="1:7" x14ac:dyDescent="0.25">
      <c r="A1021" t="s">
        <v>3</v>
      </c>
      <c r="B1021">
        <v>1019</v>
      </c>
      <c r="C1021">
        <v>70</v>
      </c>
      <c r="D1021" s="3">
        <v>35.547049045562744</v>
      </c>
      <c r="E1021" s="3" t="s">
        <v>10</v>
      </c>
      <c r="F1021" s="3" t="s">
        <v>43</v>
      </c>
      <c r="G1021" s="3">
        <v>2.1</v>
      </c>
    </row>
    <row r="1022" spans="1:7" x14ac:dyDescent="0.25">
      <c r="A1022" t="s">
        <v>3</v>
      </c>
      <c r="B1022">
        <v>1020</v>
      </c>
      <c r="C1022">
        <v>70</v>
      </c>
      <c r="D1022" s="2">
        <v>26.988654613494873</v>
      </c>
      <c r="E1022" s="2" t="s">
        <v>10</v>
      </c>
      <c r="F1022" s="2" t="s">
        <v>41</v>
      </c>
      <c r="G1022" s="2">
        <v>7.8</v>
      </c>
    </row>
    <row r="1023" spans="1:7" x14ac:dyDescent="0.25">
      <c r="A1023" t="s">
        <v>3</v>
      </c>
      <c r="B1023">
        <v>1021</v>
      </c>
      <c r="C1023">
        <v>0</v>
      </c>
      <c r="D1023" s="3">
        <v>31.766625642776489</v>
      </c>
      <c r="E1023" s="3" t="s">
        <v>10</v>
      </c>
      <c r="F1023" s="3" t="s">
        <v>41</v>
      </c>
      <c r="G1023" s="3">
        <v>7.8</v>
      </c>
    </row>
    <row r="1024" spans="1:7" x14ac:dyDescent="0.25">
      <c r="A1024" t="s">
        <v>3</v>
      </c>
      <c r="B1024">
        <v>1022</v>
      </c>
      <c r="C1024">
        <v>100</v>
      </c>
      <c r="D1024" s="2">
        <v>25.941511631011963</v>
      </c>
      <c r="E1024" s="2" t="s">
        <v>10</v>
      </c>
      <c r="F1024" s="2" t="s">
        <v>41</v>
      </c>
      <c r="G1024" s="2">
        <v>7.8</v>
      </c>
    </row>
    <row r="1025" spans="1:7" x14ac:dyDescent="0.25">
      <c r="A1025" t="s">
        <v>3</v>
      </c>
      <c r="B1025">
        <v>1023</v>
      </c>
      <c r="C1025">
        <v>100</v>
      </c>
      <c r="D1025" s="3">
        <v>33.820558071136475</v>
      </c>
      <c r="E1025" s="3" t="s">
        <v>10</v>
      </c>
      <c r="F1025" s="3" t="s">
        <v>46</v>
      </c>
      <c r="G1025" s="3">
        <v>7.6</v>
      </c>
    </row>
    <row r="1026" spans="1:7" x14ac:dyDescent="0.25">
      <c r="A1026" t="s">
        <v>3</v>
      </c>
      <c r="B1026">
        <v>1024</v>
      </c>
      <c r="C1026">
        <v>100</v>
      </c>
      <c r="D1026" s="2">
        <v>35.267159938812256</v>
      </c>
      <c r="E1026" s="2" t="s">
        <v>10</v>
      </c>
      <c r="F1026" s="2" t="s">
        <v>41</v>
      </c>
      <c r="G1026" s="2">
        <v>4.9000000000000004</v>
      </c>
    </row>
    <row r="1027" spans="1:7" x14ac:dyDescent="0.25">
      <c r="A1027" t="s">
        <v>3</v>
      </c>
      <c r="B1027">
        <v>1025</v>
      </c>
      <c r="C1027">
        <v>100</v>
      </c>
      <c r="D1027" s="3">
        <v>36.592245578765869</v>
      </c>
      <c r="E1027" s="3" t="s">
        <v>10</v>
      </c>
      <c r="F1027" s="3" t="s">
        <v>46</v>
      </c>
      <c r="G1027" s="3">
        <v>4.7</v>
      </c>
    </row>
    <row r="1028" spans="1:7" x14ac:dyDescent="0.25">
      <c r="A1028" t="s">
        <v>3</v>
      </c>
      <c r="B1028">
        <v>1026</v>
      </c>
      <c r="C1028">
        <v>100</v>
      </c>
      <c r="D1028" s="2">
        <v>34.708181858062744</v>
      </c>
      <c r="E1028" s="2" t="s">
        <v>10</v>
      </c>
      <c r="F1028" s="2" t="s">
        <v>41</v>
      </c>
      <c r="G1028" s="2">
        <v>7.8</v>
      </c>
    </row>
    <row r="1029" spans="1:7" x14ac:dyDescent="0.25">
      <c r="A1029" t="s">
        <v>3</v>
      </c>
      <c r="B1029">
        <v>1027</v>
      </c>
      <c r="C1029">
        <v>70</v>
      </c>
      <c r="D1029" s="3">
        <v>34.252621173858643</v>
      </c>
      <c r="E1029" s="3" t="s">
        <v>10</v>
      </c>
      <c r="F1029" s="3" t="s">
        <v>41</v>
      </c>
      <c r="G1029" s="3">
        <v>7.8</v>
      </c>
    </row>
    <row r="1030" spans="1:7" x14ac:dyDescent="0.25">
      <c r="A1030" t="s">
        <v>3</v>
      </c>
      <c r="B1030">
        <v>1028</v>
      </c>
      <c r="C1030">
        <v>0</v>
      </c>
      <c r="D1030" s="2">
        <v>31.918400049209595</v>
      </c>
      <c r="E1030" s="2" t="s">
        <v>10</v>
      </c>
      <c r="F1030" s="2" t="s">
        <v>47</v>
      </c>
      <c r="G1030" s="2">
        <v>5</v>
      </c>
    </row>
    <row r="1031" spans="1:7" x14ac:dyDescent="0.25">
      <c r="A1031" t="s">
        <v>3</v>
      </c>
      <c r="B1031">
        <v>1029</v>
      </c>
      <c r="C1031">
        <v>100</v>
      </c>
      <c r="D1031" s="3">
        <v>34.271982669830322</v>
      </c>
      <c r="E1031" s="3" t="s">
        <v>10</v>
      </c>
      <c r="F1031" s="3" t="s">
        <v>13</v>
      </c>
      <c r="G1031" s="3">
        <v>2.1</v>
      </c>
    </row>
    <row r="1032" spans="1:7" x14ac:dyDescent="0.25">
      <c r="A1032" t="s">
        <v>3</v>
      </c>
      <c r="B1032">
        <v>1030</v>
      </c>
      <c r="C1032">
        <v>0</v>
      </c>
      <c r="D1032" s="2">
        <v>37.615875482559204</v>
      </c>
      <c r="E1032" s="2" t="s">
        <v>10</v>
      </c>
      <c r="F1032" s="2" t="s">
        <v>41</v>
      </c>
      <c r="G1032" s="2">
        <v>4.9000000000000004</v>
      </c>
    </row>
    <row r="1033" spans="1:7" x14ac:dyDescent="0.25">
      <c r="A1033" t="s">
        <v>3</v>
      </c>
      <c r="B1033">
        <v>1031</v>
      </c>
      <c r="C1033">
        <v>100</v>
      </c>
      <c r="D1033" s="3">
        <v>29.569821834564209</v>
      </c>
      <c r="E1033" s="3" t="s">
        <v>10</v>
      </c>
      <c r="F1033" s="3" t="s">
        <v>41</v>
      </c>
      <c r="G1033" s="3">
        <v>4.9000000000000004</v>
      </c>
    </row>
    <row r="1034" spans="1:7" x14ac:dyDescent="0.25">
      <c r="A1034" t="s">
        <v>3</v>
      </c>
      <c r="B1034">
        <v>1032</v>
      </c>
      <c r="C1034">
        <v>100</v>
      </c>
      <c r="D1034" s="2">
        <v>25.524900674819946</v>
      </c>
      <c r="E1034" s="2" t="s">
        <v>10</v>
      </c>
      <c r="F1034" s="2" t="s">
        <v>46</v>
      </c>
      <c r="G1034" s="2">
        <v>4.9000000000000004</v>
      </c>
    </row>
    <row r="1035" spans="1:7" x14ac:dyDescent="0.25">
      <c r="A1035" t="s">
        <v>3</v>
      </c>
      <c r="B1035">
        <v>1033</v>
      </c>
      <c r="C1035">
        <v>100</v>
      </c>
      <c r="D1035" s="3">
        <v>145.52589273452759</v>
      </c>
      <c r="E1035" s="3" t="s">
        <v>10</v>
      </c>
      <c r="F1035" s="3" t="s">
        <v>46</v>
      </c>
      <c r="G1035" s="3">
        <v>4.9000000000000004</v>
      </c>
    </row>
    <row r="1036" spans="1:7" x14ac:dyDescent="0.25">
      <c r="A1036" t="s">
        <v>3</v>
      </c>
      <c r="B1036">
        <v>1034</v>
      </c>
      <c r="C1036">
        <v>100</v>
      </c>
      <c r="D1036" s="2">
        <v>37.633229970932007</v>
      </c>
      <c r="E1036" s="2" t="s">
        <v>10</v>
      </c>
      <c r="F1036" s="2" t="s">
        <v>41</v>
      </c>
      <c r="G1036" s="2">
        <v>4.5999999999999996</v>
      </c>
    </row>
    <row r="1037" spans="1:7" x14ac:dyDescent="0.25">
      <c r="A1037" t="s">
        <v>3</v>
      </c>
      <c r="B1037">
        <v>1035</v>
      </c>
      <c r="C1037">
        <v>100</v>
      </c>
      <c r="D1037" s="3">
        <v>40.382961988449097</v>
      </c>
      <c r="E1037" s="3" t="s">
        <v>10</v>
      </c>
      <c r="F1037" s="3" t="s">
        <v>48</v>
      </c>
      <c r="G1037" s="3">
        <v>7.2</v>
      </c>
    </row>
    <row r="1038" spans="1:7" x14ac:dyDescent="0.25">
      <c r="A1038" t="s">
        <v>3</v>
      </c>
      <c r="B1038">
        <v>1036</v>
      </c>
      <c r="C1038">
        <v>10</v>
      </c>
      <c r="D1038" s="2">
        <v>33.158693552017212</v>
      </c>
      <c r="E1038" s="2" t="s">
        <v>10</v>
      </c>
      <c r="F1038" s="2" t="s">
        <v>48</v>
      </c>
      <c r="G1038" s="2">
        <v>7.2</v>
      </c>
    </row>
    <row r="1039" spans="1:7" x14ac:dyDescent="0.25">
      <c r="A1039" t="s">
        <v>3</v>
      </c>
      <c r="B1039">
        <v>1037</v>
      </c>
      <c r="C1039">
        <v>100</v>
      </c>
      <c r="D1039" s="3">
        <v>24.458854675292969</v>
      </c>
      <c r="E1039" s="3" t="s">
        <v>10</v>
      </c>
      <c r="F1039" s="3" t="s">
        <v>13</v>
      </c>
      <c r="G1039" s="3">
        <v>1.2</v>
      </c>
    </row>
    <row r="1040" spans="1:7" x14ac:dyDescent="0.25">
      <c r="A1040" t="s">
        <v>3</v>
      </c>
      <c r="B1040">
        <v>1038</v>
      </c>
      <c r="C1040">
        <v>100</v>
      </c>
      <c r="D1040" s="2">
        <v>36.434674978256226</v>
      </c>
      <c r="E1040" s="2" t="s">
        <v>10</v>
      </c>
      <c r="F1040" s="2" t="s">
        <v>49</v>
      </c>
      <c r="G1040" s="2">
        <v>7.2</v>
      </c>
    </row>
    <row r="1041" spans="1:7" x14ac:dyDescent="0.25">
      <c r="A1041" t="s">
        <v>3</v>
      </c>
      <c r="B1041">
        <v>1039</v>
      </c>
      <c r="C1041">
        <v>100</v>
      </c>
      <c r="D1041" s="3">
        <v>30.629518032073975</v>
      </c>
      <c r="E1041" s="3" t="s">
        <v>10</v>
      </c>
      <c r="F1041" s="3" t="s">
        <v>50</v>
      </c>
      <c r="G1041" s="3">
        <v>4</v>
      </c>
    </row>
    <row r="1042" spans="1:7" x14ac:dyDescent="0.25">
      <c r="A1042" t="s">
        <v>3</v>
      </c>
      <c r="B1042">
        <v>1040</v>
      </c>
      <c r="C1042">
        <v>100</v>
      </c>
      <c r="D1042" s="2">
        <v>22.575026750564575</v>
      </c>
      <c r="E1042" s="2" t="s">
        <v>10</v>
      </c>
      <c r="F1042" s="2" t="s">
        <v>50</v>
      </c>
      <c r="G1042" s="2">
        <v>4</v>
      </c>
    </row>
    <row r="1043" spans="1:7" x14ac:dyDescent="0.25">
      <c r="A1043" t="s">
        <v>3</v>
      </c>
      <c r="B1043">
        <v>1041</v>
      </c>
      <c r="C1043">
        <v>0</v>
      </c>
      <c r="D1043" s="3">
        <v>33.278508901596069</v>
      </c>
      <c r="E1043" s="3" t="s">
        <v>10</v>
      </c>
      <c r="F1043" s="3" t="s">
        <v>50</v>
      </c>
      <c r="G1043" s="3">
        <v>4</v>
      </c>
    </row>
    <row r="1044" spans="1:7" x14ac:dyDescent="0.25">
      <c r="A1044" t="s">
        <v>3</v>
      </c>
      <c r="B1044">
        <v>1042</v>
      </c>
      <c r="C1044">
        <v>0</v>
      </c>
      <c r="D1044" s="2">
        <v>22.68840765953064</v>
      </c>
      <c r="E1044" s="2" t="s">
        <v>10</v>
      </c>
      <c r="F1044" s="2" t="s">
        <v>50</v>
      </c>
      <c r="G1044" s="2">
        <v>4</v>
      </c>
    </row>
    <row r="1045" spans="1:7" x14ac:dyDescent="0.25">
      <c r="A1045" t="s">
        <v>3</v>
      </c>
      <c r="B1045">
        <v>1043</v>
      </c>
      <c r="C1045">
        <v>0</v>
      </c>
      <c r="D1045" s="3">
        <v>36.152803897857666</v>
      </c>
      <c r="E1045" s="3" t="s">
        <v>10</v>
      </c>
      <c r="F1045" s="3" t="s">
        <v>50</v>
      </c>
      <c r="G1045" s="3">
        <v>4</v>
      </c>
    </row>
    <row r="1046" spans="1:7" x14ac:dyDescent="0.25">
      <c r="A1046" t="s">
        <v>3</v>
      </c>
      <c r="B1046">
        <v>1044</v>
      </c>
      <c r="C1046">
        <v>0</v>
      </c>
      <c r="D1046" s="2">
        <v>38.277951240539551</v>
      </c>
      <c r="E1046" s="2" t="s">
        <v>10</v>
      </c>
      <c r="F1046" s="2" t="s">
        <v>50</v>
      </c>
      <c r="G1046" s="2">
        <v>4</v>
      </c>
    </row>
    <row r="1047" spans="1:7" x14ac:dyDescent="0.25">
      <c r="A1047" t="s">
        <v>3</v>
      </c>
      <c r="B1047">
        <v>1045</v>
      </c>
      <c r="C1047">
        <v>100</v>
      </c>
      <c r="D1047" s="3">
        <v>34.19608736038208</v>
      </c>
      <c r="E1047" s="3" t="s">
        <v>10</v>
      </c>
      <c r="F1047" s="3" t="s">
        <v>50</v>
      </c>
      <c r="G1047" s="3">
        <v>4</v>
      </c>
    </row>
    <row r="1048" spans="1:7" x14ac:dyDescent="0.25">
      <c r="A1048" t="s">
        <v>3</v>
      </c>
      <c r="B1048">
        <v>1046</v>
      </c>
      <c r="C1048">
        <v>11</v>
      </c>
      <c r="D1048" s="2">
        <v>32.94546103477478</v>
      </c>
      <c r="E1048" s="2" t="s">
        <v>10</v>
      </c>
      <c r="F1048" s="2" t="s">
        <v>50</v>
      </c>
      <c r="G1048" s="2">
        <v>4</v>
      </c>
    </row>
    <row r="1049" spans="1:7" x14ac:dyDescent="0.25">
      <c r="A1049" t="s">
        <v>3</v>
      </c>
      <c r="B1049">
        <v>1047</v>
      </c>
      <c r="C1049">
        <v>70</v>
      </c>
      <c r="D1049" s="3">
        <v>20.556563138961792</v>
      </c>
      <c r="E1049" s="3" t="s">
        <v>10</v>
      </c>
      <c r="F1049" s="3" t="s">
        <v>50</v>
      </c>
      <c r="G1049" s="3">
        <v>4</v>
      </c>
    </row>
    <row r="1050" spans="1:7" x14ac:dyDescent="0.25">
      <c r="A1050" t="s">
        <v>3</v>
      </c>
      <c r="B1050">
        <v>1048</v>
      </c>
      <c r="C1050">
        <v>0</v>
      </c>
      <c r="D1050" s="2">
        <v>29.467476606369019</v>
      </c>
      <c r="E1050" s="2" t="s">
        <v>10</v>
      </c>
      <c r="F1050" s="2" t="s">
        <v>50</v>
      </c>
      <c r="G1050" s="2">
        <v>4</v>
      </c>
    </row>
    <row r="1051" spans="1:7" x14ac:dyDescent="0.25">
      <c r="A1051" t="s">
        <v>3</v>
      </c>
      <c r="B1051">
        <v>1049</v>
      </c>
      <c r="C1051">
        <v>100</v>
      </c>
      <c r="D1051" s="3">
        <v>30.950605392456055</v>
      </c>
      <c r="E1051" s="3" t="s">
        <v>10</v>
      </c>
      <c r="F1051" s="3" t="s">
        <v>50</v>
      </c>
      <c r="G1051" s="3">
        <v>4</v>
      </c>
    </row>
    <row r="1052" spans="1:7" x14ac:dyDescent="0.25">
      <c r="A1052" t="s">
        <v>3</v>
      </c>
      <c r="B1052">
        <v>1050</v>
      </c>
      <c r="C1052">
        <v>35</v>
      </c>
      <c r="D1052" s="2">
        <v>15.453874588012695</v>
      </c>
      <c r="E1052" s="2" t="s">
        <v>10</v>
      </c>
      <c r="F1052" s="2" t="s">
        <v>46</v>
      </c>
      <c r="G1052" s="2">
        <v>5</v>
      </c>
    </row>
    <row r="1053" spans="1:7" x14ac:dyDescent="0.25">
      <c r="A1053" t="s">
        <v>3</v>
      </c>
      <c r="B1053">
        <v>1051</v>
      </c>
      <c r="C1053">
        <v>100</v>
      </c>
      <c r="D1053" s="3">
        <v>27.008971929550171</v>
      </c>
      <c r="E1053" s="3" t="s">
        <v>10</v>
      </c>
      <c r="F1053" s="3" t="s">
        <v>46</v>
      </c>
      <c r="G1053" s="3">
        <v>5</v>
      </c>
    </row>
    <row r="1054" spans="1:7" x14ac:dyDescent="0.25">
      <c r="A1054" t="s">
        <v>3</v>
      </c>
      <c r="B1054">
        <v>1052</v>
      </c>
      <c r="C1054">
        <v>100</v>
      </c>
      <c r="D1054" s="2">
        <v>31.969157695770264</v>
      </c>
      <c r="E1054" s="2" t="s">
        <v>10</v>
      </c>
      <c r="F1054" s="2" t="s">
        <v>45</v>
      </c>
      <c r="G1054" s="2">
        <v>7.2</v>
      </c>
    </row>
    <row r="1055" spans="1:7" x14ac:dyDescent="0.25">
      <c r="A1055" t="s">
        <v>3</v>
      </c>
      <c r="B1055">
        <v>1053</v>
      </c>
      <c r="C1055">
        <v>100</v>
      </c>
      <c r="D1055" s="3">
        <v>23.694538116455078</v>
      </c>
      <c r="E1055" s="3" t="s">
        <v>10</v>
      </c>
      <c r="F1055" s="3" t="s">
        <v>41</v>
      </c>
      <c r="G1055" s="3">
        <v>4.9000000000000004</v>
      </c>
    </row>
    <row r="1056" spans="1:7" x14ac:dyDescent="0.25">
      <c r="A1056" t="s">
        <v>3</v>
      </c>
      <c r="B1056">
        <v>1054</v>
      </c>
      <c r="C1056">
        <v>100</v>
      </c>
      <c r="D1056" s="2">
        <v>31.438390731811523</v>
      </c>
      <c r="E1056" s="2" t="s">
        <v>10</v>
      </c>
      <c r="F1056" s="2" t="s">
        <v>41</v>
      </c>
      <c r="G1056" s="2">
        <v>4.9000000000000004</v>
      </c>
    </row>
    <row r="1057" spans="1:7" x14ac:dyDescent="0.25">
      <c r="A1057" t="s">
        <v>3</v>
      </c>
      <c r="B1057">
        <v>1055</v>
      </c>
      <c r="C1057">
        <v>0</v>
      </c>
      <c r="D1057" s="3">
        <v>37.266244888305664</v>
      </c>
      <c r="E1057" s="3" t="s">
        <v>10</v>
      </c>
      <c r="F1057" s="3" t="s">
        <v>41</v>
      </c>
      <c r="G1057" s="3">
        <v>7.1</v>
      </c>
    </row>
    <row r="1058" spans="1:7" x14ac:dyDescent="0.25">
      <c r="A1058" t="s">
        <v>3</v>
      </c>
      <c r="B1058">
        <v>1056</v>
      </c>
      <c r="C1058">
        <v>0</v>
      </c>
      <c r="D1058" s="2">
        <v>24.579886198043823</v>
      </c>
      <c r="E1058" s="2" t="s">
        <v>10</v>
      </c>
      <c r="F1058" s="2" t="s">
        <v>41</v>
      </c>
      <c r="G1058" s="2">
        <v>4.9000000000000004</v>
      </c>
    </row>
    <row r="1059" spans="1:7" x14ac:dyDescent="0.25">
      <c r="A1059" t="s">
        <v>3</v>
      </c>
      <c r="B1059">
        <v>1057</v>
      </c>
      <c r="C1059">
        <v>0</v>
      </c>
      <c r="D1059" s="3">
        <v>34.71679162979126</v>
      </c>
      <c r="E1059" s="3" t="s">
        <v>10</v>
      </c>
      <c r="F1059" s="3" t="s">
        <v>41</v>
      </c>
      <c r="G1059" s="3">
        <v>4.9000000000000004</v>
      </c>
    </row>
    <row r="1060" spans="1:7" x14ac:dyDescent="0.25">
      <c r="A1060" t="s">
        <v>3</v>
      </c>
      <c r="B1060">
        <v>1058</v>
      </c>
      <c r="C1060">
        <v>100</v>
      </c>
      <c r="D1060" s="2">
        <v>21.817172765731812</v>
      </c>
      <c r="E1060" s="2" t="s">
        <v>10</v>
      </c>
      <c r="F1060" s="2" t="s">
        <v>41</v>
      </c>
      <c r="G1060" s="2">
        <v>5</v>
      </c>
    </row>
    <row r="1061" spans="1:7" x14ac:dyDescent="0.25">
      <c r="A1061" t="s">
        <v>3</v>
      </c>
      <c r="B1061">
        <v>1059</v>
      </c>
      <c r="C1061">
        <v>100</v>
      </c>
      <c r="D1061" s="3">
        <v>33.685263633728027</v>
      </c>
      <c r="E1061" s="3" t="s">
        <v>10</v>
      </c>
      <c r="F1061" s="3" t="s">
        <v>46</v>
      </c>
      <c r="G1061" s="3">
        <v>4.3</v>
      </c>
    </row>
    <row r="1062" spans="1:7" x14ac:dyDescent="0.25">
      <c r="A1062" t="s">
        <v>3</v>
      </c>
      <c r="B1062">
        <v>1060</v>
      </c>
      <c r="C1062">
        <v>100</v>
      </c>
      <c r="D1062" s="2">
        <v>23.068858861923218</v>
      </c>
      <c r="E1062" s="2" t="s">
        <v>10</v>
      </c>
      <c r="F1062" s="2" t="s">
        <v>46</v>
      </c>
      <c r="G1062" s="2">
        <v>4.3</v>
      </c>
    </row>
    <row r="1063" spans="1:7" x14ac:dyDescent="0.25">
      <c r="A1063" t="s">
        <v>3</v>
      </c>
      <c r="B1063">
        <v>1061</v>
      </c>
      <c r="C1063">
        <v>100</v>
      </c>
      <c r="D1063" s="3">
        <v>40.300613641738892</v>
      </c>
      <c r="E1063" s="3" t="s">
        <v>10</v>
      </c>
      <c r="F1063" s="3" t="s">
        <v>46</v>
      </c>
      <c r="G1063" s="3">
        <v>4.3</v>
      </c>
    </row>
    <row r="1064" spans="1:7" x14ac:dyDescent="0.25">
      <c r="A1064" t="s">
        <v>3</v>
      </c>
      <c r="B1064">
        <v>1062</v>
      </c>
      <c r="C1064">
        <v>100</v>
      </c>
      <c r="D1064" s="2">
        <v>25.068129301071167</v>
      </c>
      <c r="E1064" s="2" t="s">
        <v>10</v>
      </c>
      <c r="F1064" s="2" t="s">
        <v>41</v>
      </c>
      <c r="G1064" s="2">
        <v>5.2</v>
      </c>
    </row>
    <row r="1065" spans="1:7" x14ac:dyDescent="0.25">
      <c r="A1065" t="s">
        <v>3</v>
      </c>
      <c r="B1065">
        <v>1063</v>
      </c>
      <c r="C1065">
        <v>100</v>
      </c>
      <c r="D1065" s="3">
        <v>27.386280298233032</v>
      </c>
      <c r="E1065" s="3" t="s">
        <v>10</v>
      </c>
      <c r="F1065" s="3" t="s">
        <v>41</v>
      </c>
      <c r="G1065" s="3">
        <v>5.2</v>
      </c>
    </row>
    <row r="1066" spans="1:7" x14ac:dyDescent="0.25">
      <c r="A1066" t="s">
        <v>3</v>
      </c>
      <c r="B1066">
        <v>1064</v>
      </c>
      <c r="C1066">
        <v>25</v>
      </c>
      <c r="D1066" s="2">
        <v>31.694631814956665</v>
      </c>
      <c r="E1066" s="2" t="s">
        <v>10</v>
      </c>
      <c r="F1066" s="2" t="s">
        <v>41</v>
      </c>
      <c r="G1066" s="2">
        <v>5.2</v>
      </c>
    </row>
    <row r="1067" spans="1:7" x14ac:dyDescent="0.25">
      <c r="A1067" t="s">
        <v>3</v>
      </c>
      <c r="B1067">
        <v>1065</v>
      </c>
      <c r="C1067">
        <v>100</v>
      </c>
      <c r="D1067" s="3">
        <v>31.257153987884521</v>
      </c>
      <c r="E1067" s="3" t="s">
        <v>10</v>
      </c>
      <c r="F1067" s="3" t="s">
        <v>41</v>
      </c>
      <c r="G1067" s="3">
        <v>5.2</v>
      </c>
    </row>
    <row r="1068" spans="1:7" x14ac:dyDescent="0.25">
      <c r="A1068" t="s">
        <v>3</v>
      </c>
      <c r="B1068">
        <v>1066</v>
      </c>
      <c r="C1068">
        <v>95</v>
      </c>
      <c r="D1068" s="2">
        <v>28.236403942108154</v>
      </c>
      <c r="E1068" s="2" t="s">
        <v>10</v>
      </c>
      <c r="F1068" s="2" t="s">
        <v>41</v>
      </c>
      <c r="G1068" s="2">
        <v>5.2</v>
      </c>
    </row>
    <row r="1069" spans="1:7" x14ac:dyDescent="0.25">
      <c r="A1069" t="s">
        <v>3</v>
      </c>
      <c r="B1069">
        <v>1067</v>
      </c>
      <c r="C1069">
        <v>100</v>
      </c>
      <c r="D1069" s="3">
        <v>33.322640657424927</v>
      </c>
      <c r="E1069" s="3" t="s">
        <v>10</v>
      </c>
      <c r="F1069" s="3" t="s">
        <v>41</v>
      </c>
      <c r="G1069" s="3">
        <v>5.2</v>
      </c>
    </row>
    <row r="1070" spans="1:7" x14ac:dyDescent="0.25">
      <c r="A1070" t="s">
        <v>3</v>
      </c>
      <c r="B1070">
        <v>1068</v>
      </c>
      <c r="C1070">
        <v>0</v>
      </c>
      <c r="D1070" s="2">
        <v>40.912863492965698</v>
      </c>
      <c r="E1070" s="2" t="s">
        <v>10</v>
      </c>
      <c r="F1070" s="2" t="s">
        <v>41</v>
      </c>
      <c r="G1070" s="2">
        <v>5.2</v>
      </c>
    </row>
    <row r="1071" spans="1:7" x14ac:dyDescent="0.25">
      <c r="A1071" t="s">
        <v>3</v>
      </c>
      <c r="B1071">
        <v>1069</v>
      </c>
      <c r="C1071">
        <v>100</v>
      </c>
      <c r="D1071" s="3">
        <v>35.805665969848633</v>
      </c>
      <c r="E1071" s="3" t="s">
        <v>10</v>
      </c>
      <c r="F1071" s="3" t="s">
        <v>41</v>
      </c>
      <c r="G1071" s="3">
        <v>5.2</v>
      </c>
    </row>
    <row r="1072" spans="1:7" x14ac:dyDescent="0.25">
      <c r="A1072" t="s">
        <v>3</v>
      </c>
      <c r="B1072">
        <v>1070</v>
      </c>
      <c r="C1072">
        <v>100</v>
      </c>
      <c r="D1072" s="2">
        <v>33.238386631011963</v>
      </c>
      <c r="E1072" s="2" t="s">
        <v>10</v>
      </c>
      <c r="F1072" s="2" t="s">
        <v>41</v>
      </c>
      <c r="G1072" s="2">
        <v>5.2</v>
      </c>
    </row>
    <row r="1073" spans="1:7" x14ac:dyDescent="0.25">
      <c r="A1073" t="s">
        <v>3</v>
      </c>
      <c r="B1073">
        <v>1071</v>
      </c>
      <c r="C1073">
        <v>100</v>
      </c>
      <c r="D1073" s="3">
        <v>37.855410814285278</v>
      </c>
      <c r="E1073" s="3" t="s">
        <v>10</v>
      </c>
      <c r="F1073" s="3" t="s">
        <v>41</v>
      </c>
      <c r="G1073" s="3">
        <v>5.2</v>
      </c>
    </row>
    <row r="1074" spans="1:7" x14ac:dyDescent="0.25">
      <c r="A1074" t="s">
        <v>3</v>
      </c>
      <c r="B1074">
        <v>1072</v>
      </c>
      <c r="C1074">
        <v>0</v>
      </c>
      <c r="D1074" s="2">
        <v>34.607220411300659</v>
      </c>
      <c r="E1074" s="2" t="s">
        <v>10</v>
      </c>
      <c r="F1074" s="2" t="s">
        <v>41</v>
      </c>
      <c r="G1074" s="2">
        <v>5.2</v>
      </c>
    </row>
    <row r="1075" spans="1:7" x14ac:dyDescent="0.25">
      <c r="A1075" t="s">
        <v>3</v>
      </c>
      <c r="B1075">
        <v>1073</v>
      </c>
      <c r="C1075">
        <v>100</v>
      </c>
      <c r="D1075" s="3">
        <v>26.284352540969849</v>
      </c>
      <c r="E1075" s="3" t="s">
        <v>10</v>
      </c>
      <c r="F1075" s="3" t="s">
        <v>41</v>
      </c>
      <c r="G1075" s="3">
        <v>5.2</v>
      </c>
    </row>
    <row r="1076" spans="1:7" x14ac:dyDescent="0.25">
      <c r="A1076" t="s">
        <v>3</v>
      </c>
      <c r="B1076">
        <v>1074</v>
      </c>
      <c r="C1076">
        <v>0</v>
      </c>
      <c r="D1076" s="2">
        <v>26.156855583190918</v>
      </c>
      <c r="E1076" s="2" t="s">
        <v>10</v>
      </c>
      <c r="F1076" s="2" t="s">
        <v>46</v>
      </c>
      <c r="G1076" s="2">
        <v>5</v>
      </c>
    </row>
    <row r="1077" spans="1:7" x14ac:dyDescent="0.25">
      <c r="A1077" t="s">
        <v>3</v>
      </c>
      <c r="B1077">
        <v>1075</v>
      </c>
      <c r="C1077">
        <v>100</v>
      </c>
      <c r="D1077" s="3">
        <v>18.357520580291748</v>
      </c>
      <c r="E1077" s="3" t="s">
        <v>10</v>
      </c>
      <c r="F1077" s="3" t="s">
        <v>46</v>
      </c>
      <c r="G1077" s="3">
        <v>5</v>
      </c>
    </row>
    <row r="1078" spans="1:7" x14ac:dyDescent="0.25">
      <c r="A1078" t="s">
        <v>3</v>
      </c>
      <c r="B1078">
        <v>1076</v>
      </c>
      <c r="C1078">
        <v>100</v>
      </c>
      <c r="D1078" s="2">
        <v>33.728479146957397</v>
      </c>
      <c r="E1078" s="2" t="s">
        <v>10</v>
      </c>
      <c r="F1078" s="2" t="s">
        <v>46</v>
      </c>
      <c r="G1078" s="2">
        <v>5</v>
      </c>
    </row>
    <row r="1079" spans="1:7" x14ac:dyDescent="0.25">
      <c r="A1079" t="s">
        <v>3</v>
      </c>
      <c r="B1079">
        <v>1077</v>
      </c>
      <c r="C1079">
        <v>0</v>
      </c>
      <c r="D1079" s="3">
        <v>20.795099258422852</v>
      </c>
      <c r="E1079" s="3" t="s">
        <v>10</v>
      </c>
      <c r="F1079" s="3" t="s">
        <v>46</v>
      </c>
      <c r="G1079" s="3">
        <v>5</v>
      </c>
    </row>
    <row r="1080" spans="1:7" x14ac:dyDescent="0.25">
      <c r="A1080" t="s">
        <v>3</v>
      </c>
      <c r="B1080">
        <v>1078</v>
      </c>
      <c r="C1080">
        <v>100</v>
      </c>
      <c r="D1080" s="2">
        <v>39.759789705276489</v>
      </c>
      <c r="E1080" s="2" t="s">
        <v>10</v>
      </c>
      <c r="F1080" s="2" t="s">
        <v>46</v>
      </c>
      <c r="G1080" s="2">
        <v>5</v>
      </c>
    </row>
    <row r="1081" spans="1:7" x14ac:dyDescent="0.25">
      <c r="A1081" t="s">
        <v>3</v>
      </c>
      <c r="B1081">
        <v>1079</v>
      </c>
      <c r="C1081">
        <v>100</v>
      </c>
      <c r="D1081" s="3">
        <v>34.903396368026733</v>
      </c>
      <c r="E1081" s="3" t="s">
        <v>10</v>
      </c>
      <c r="F1081" s="3" t="s">
        <v>41</v>
      </c>
      <c r="G1081" s="3">
        <v>10</v>
      </c>
    </row>
    <row r="1082" spans="1:7" x14ac:dyDescent="0.25">
      <c r="A1082" t="s">
        <v>3</v>
      </c>
      <c r="B1082">
        <v>1080</v>
      </c>
      <c r="C1082">
        <v>100</v>
      </c>
      <c r="D1082" s="2">
        <v>28.179291486740112</v>
      </c>
      <c r="E1082" s="2" t="s">
        <v>10</v>
      </c>
      <c r="F1082" s="2" t="s">
        <v>41</v>
      </c>
      <c r="G1082" s="2">
        <v>7.2</v>
      </c>
    </row>
    <row r="1083" spans="1:7" x14ac:dyDescent="0.25">
      <c r="A1083" t="s">
        <v>3</v>
      </c>
      <c r="B1083">
        <v>1081</v>
      </c>
      <c r="C1083">
        <v>100</v>
      </c>
      <c r="D1083" s="3">
        <v>31.362352132797241</v>
      </c>
      <c r="E1083" s="3" t="s">
        <v>10</v>
      </c>
      <c r="F1083" s="3" t="s">
        <v>41</v>
      </c>
      <c r="G1083" s="3">
        <v>4.9000000000000004</v>
      </c>
    </row>
    <row r="1084" spans="1:7" x14ac:dyDescent="0.25">
      <c r="A1084" t="s">
        <v>3</v>
      </c>
      <c r="B1084">
        <v>1082</v>
      </c>
      <c r="C1084">
        <v>12</v>
      </c>
      <c r="D1084" s="2">
        <v>26.107282638549805</v>
      </c>
      <c r="E1084" s="2" t="s">
        <v>10</v>
      </c>
      <c r="F1084" s="2" t="s">
        <v>41</v>
      </c>
      <c r="G1084" s="2">
        <v>4</v>
      </c>
    </row>
    <row r="1085" spans="1:7" x14ac:dyDescent="0.25">
      <c r="A1085" t="s">
        <v>3</v>
      </c>
      <c r="B1085">
        <v>1083</v>
      </c>
      <c r="C1085">
        <v>0</v>
      </c>
      <c r="D1085" s="3">
        <v>23.495820760726929</v>
      </c>
      <c r="E1085" s="3" t="s">
        <v>10</v>
      </c>
      <c r="F1085" s="3" t="s">
        <v>43</v>
      </c>
      <c r="G1085" s="3">
        <v>4.9000000000000004</v>
      </c>
    </row>
    <row r="1086" spans="1:7" x14ac:dyDescent="0.25">
      <c r="A1086" t="s">
        <v>3</v>
      </c>
      <c r="B1086">
        <v>1084</v>
      </c>
      <c r="C1086">
        <v>5</v>
      </c>
      <c r="D1086" s="2">
        <v>21.096426725387573</v>
      </c>
      <c r="E1086" s="2" t="s">
        <v>10</v>
      </c>
      <c r="F1086" s="2" t="s">
        <v>41</v>
      </c>
      <c r="G1086" s="2">
        <v>4.9000000000000004</v>
      </c>
    </row>
    <row r="1087" spans="1:7" x14ac:dyDescent="0.25">
      <c r="A1087" t="s">
        <v>3</v>
      </c>
      <c r="B1087">
        <v>1085</v>
      </c>
      <c r="C1087">
        <v>100</v>
      </c>
      <c r="D1087" s="3">
        <v>28.635704517364502</v>
      </c>
      <c r="E1087" s="3" t="s">
        <v>10</v>
      </c>
      <c r="F1087" s="3" t="s">
        <v>42</v>
      </c>
      <c r="G1087" s="3">
        <v>5.0999999999999996</v>
      </c>
    </row>
    <row r="1088" spans="1:7" x14ac:dyDescent="0.25">
      <c r="A1088" t="s">
        <v>3</v>
      </c>
      <c r="B1088">
        <v>1086</v>
      </c>
      <c r="C1088">
        <v>1</v>
      </c>
      <c r="D1088" s="2">
        <v>29.920371294021606</v>
      </c>
      <c r="E1088" s="2" t="s">
        <v>10</v>
      </c>
      <c r="F1088" s="2" t="s">
        <v>42</v>
      </c>
      <c r="G1088" s="2">
        <v>5.0999999999999996</v>
      </c>
    </row>
    <row r="1089" spans="1:7" x14ac:dyDescent="0.25">
      <c r="A1089" t="s">
        <v>3</v>
      </c>
      <c r="B1089">
        <v>1087</v>
      </c>
      <c r="C1089">
        <v>100</v>
      </c>
      <c r="D1089" s="3">
        <v>62.096503496170044</v>
      </c>
      <c r="E1089" s="3" t="s">
        <v>10</v>
      </c>
      <c r="F1089" s="3" t="s">
        <v>41</v>
      </c>
      <c r="G1089" s="3">
        <v>7.8</v>
      </c>
    </row>
    <row r="1090" spans="1:7" x14ac:dyDescent="0.25">
      <c r="A1090" t="s">
        <v>3</v>
      </c>
      <c r="B1090">
        <v>1088</v>
      </c>
      <c r="C1090">
        <v>60</v>
      </c>
      <c r="D1090" s="2">
        <v>27.388144493103027</v>
      </c>
      <c r="E1090" s="2" t="s">
        <v>10</v>
      </c>
      <c r="F1090" s="2" t="s">
        <v>41</v>
      </c>
      <c r="G1090" s="2">
        <v>4.9000000000000004</v>
      </c>
    </row>
    <row r="1091" spans="1:7" x14ac:dyDescent="0.25">
      <c r="A1091" t="s">
        <v>3</v>
      </c>
      <c r="B1091">
        <v>1089</v>
      </c>
      <c r="C1091">
        <v>100</v>
      </c>
      <c r="D1091" s="3">
        <v>22.179912090301514</v>
      </c>
      <c r="E1091" s="3" t="s">
        <v>10</v>
      </c>
      <c r="F1091" s="3" t="s">
        <v>41</v>
      </c>
      <c r="G1091" s="3">
        <v>4.9000000000000004</v>
      </c>
    </row>
    <row r="1092" spans="1:7" x14ac:dyDescent="0.25">
      <c r="A1092" t="s">
        <v>3</v>
      </c>
      <c r="B1092">
        <v>1090</v>
      </c>
      <c r="C1092">
        <v>45</v>
      </c>
      <c r="D1092" s="2">
        <v>38.199336290359497</v>
      </c>
      <c r="E1092" s="2" t="s">
        <v>10</v>
      </c>
      <c r="F1092" s="2" t="s">
        <v>41</v>
      </c>
      <c r="G1092" s="2">
        <v>4.7</v>
      </c>
    </row>
    <row r="1093" spans="1:7" x14ac:dyDescent="0.25">
      <c r="A1093" t="s">
        <v>3</v>
      </c>
      <c r="B1093">
        <v>1091</v>
      </c>
      <c r="C1093">
        <v>100</v>
      </c>
      <c r="D1093" s="3">
        <v>32.252442836761475</v>
      </c>
      <c r="E1093" s="3" t="s">
        <v>10</v>
      </c>
      <c r="F1093" s="3" t="s">
        <v>51</v>
      </c>
      <c r="G1093" s="3">
        <v>7.2</v>
      </c>
    </row>
    <row r="1094" spans="1:7" x14ac:dyDescent="0.25">
      <c r="A1094" t="s">
        <v>3</v>
      </c>
      <c r="B1094">
        <v>1092</v>
      </c>
      <c r="C1094">
        <v>100</v>
      </c>
      <c r="D1094" s="2">
        <v>33.601363897323608</v>
      </c>
      <c r="E1094" s="2" t="s">
        <v>10</v>
      </c>
      <c r="F1094" s="2" t="s">
        <v>46</v>
      </c>
      <c r="G1094" s="2">
        <v>4.9000000000000004</v>
      </c>
    </row>
    <row r="1095" spans="1:7" x14ac:dyDescent="0.25">
      <c r="A1095" t="s">
        <v>3</v>
      </c>
      <c r="B1095">
        <v>1093</v>
      </c>
      <c r="C1095">
        <v>100</v>
      </c>
      <c r="D1095" s="3">
        <v>26.991394996643066</v>
      </c>
      <c r="E1095" s="3" t="s">
        <v>10</v>
      </c>
      <c r="F1095" s="3" t="s">
        <v>43</v>
      </c>
      <c r="G1095" s="3">
        <v>4.3</v>
      </c>
    </row>
    <row r="1096" spans="1:7" x14ac:dyDescent="0.25">
      <c r="A1096" t="s">
        <v>3</v>
      </c>
      <c r="B1096">
        <v>1094</v>
      </c>
      <c r="C1096">
        <v>0</v>
      </c>
      <c r="D1096" s="2">
        <v>13.240388154983521</v>
      </c>
      <c r="E1096" s="2" t="s">
        <v>10</v>
      </c>
      <c r="F1096" s="2" t="s">
        <v>43</v>
      </c>
      <c r="G1096" s="2">
        <v>4.3</v>
      </c>
    </row>
    <row r="1097" spans="1:7" x14ac:dyDescent="0.25">
      <c r="A1097" t="s">
        <v>3</v>
      </c>
      <c r="B1097">
        <v>1095</v>
      </c>
      <c r="C1097">
        <v>5</v>
      </c>
      <c r="D1097" s="3">
        <v>15.588659763336182</v>
      </c>
      <c r="E1097" s="3" t="s">
        <v>10</v>
      </c>
      <c r="F1097" s="3" t="s">
        <v>43</v>
      </c>
      <c r="G1097" s="3">
        <v>4.3</v>
      </c>
    </row>
    <row r="1098" spans="1:7" x14ac:dyDescent="0.25">
      <c r="A1098" t="s">
        <v>3</v>
      </c>
      <c r="B1098">
        <v>1096</v>
      </c>
      <c r="C1098">
        <v>70</v>
      </c>
      <c r="D1098" s="2">
        <v>28.443042278289795</v>
      </c>
      <c r="E1098" s="2" t="s">
        <v>10</v>
      </c>
      <c r="F1098" s="2" t="s">
        <v>43</v>
      </c>
      <c r="G1098" s="2">
        <v>4.3</v>
      </c>
    </row>
    <row r="1099" spans="1:7" x14ac:dyDescent="0.25">
      <c r="A1099" t="s">
        <v>3</v>
      </c>
      <c r="B1099">
        <v>1097</v>
      </c>
      <c r="C1099">
        <v>100</v>
      </c>
      <c r="D1099" s="3">
        <v>22.989391088485718</v>
      </c>
      <c r="E1099" s="3" t="s">
        <v>10</v>
      </c>
      <c r="F1099" s="3" t="s">
        <v>43</v>
      </c>
      <c r="G1099" s="3">
        <v>4.3</v>
      </c>
    </row>
    <row r="1100" spans="1:7" x14ac:dyDescent="0.25">
      <c r="A1100" t="s">
        <v>3</v>
      </c>
      <c r="B1100">
        <v>1098</v>
      </c>
      <c r="C1100">
        <v>100</v>
      </c>
      <c r="D1100" s="2">
        <v>30.156853199005127</v>
      </c>
      <c r="E1100" s="2" t="s">
        <v>10</v>
      </c>
      <c r="F1100" s="2" t="s">
        <v>43</v>
      </c>
      <c r="G1100" s="2">
        <v>4.3</v>
      </c>
    </row>
    <row r="1101" spans="1:7" x14ac:dyDescent="0.25">
      <c r="A1101" t="s">
        <v>3</v>
      </c>
      <c r="B1101">
        <v>1099</v>
      </c>
      <c r="C1101">
        <v>0</v>
      </c>
      <c r="D1101" s="3">
        <v>28.670199394226074</v>
      </c>
      <c r="E1101" s="3" t="s">
        <v>10</v>
      </c>
      <c r="F1101" s="3" t="s">
        <v>43</v>
      </c>
      <c r="G1101" s="3">
        <v>4.3</v>
      </c>
    </row>
    <row r="1102" spans="1:7" x14ac:dyDescent="0.25">
      <c r="A1102" t="s">
        <v>3</v>
      </c>
      <c r="B1102">
        <v>1100</v>
      </c>
      <c r="C1102">
        <v>100</v>
      </c>
      <c r="D1102" s="2">
        <v>24.806257009506226</v>
      </c>
      <c r="E1102" s="2" t="s">
        <v>10</v>
      </c>
      <c r="F1102" s="2" t="s">
        <v>52</v>
      </c>
      <c r="G1102" s="2">
        <v>7.5</v>
      </c>
    </row>
    <row r="1103" spans="1:7" x14ac:dyDescent="0.25">
      <c r="A1103" t="s">
        <v>3</v>
      </c>
      <c r="B1103">
        <v>1101</v>
      </c>
      <c r="C1103">
        <v>100</v>
      </c>
      <c r="D1103" s="3">
        <v>31.430752038955688</v>
      </c>
      <c r="E1103" s="3" t="s">
        <v>10</v>
      </c>
      <c r="F1103" s="3" t="s">
        <v>52</v>
      </c>
      <c r="G1103" s="3">
        <v>7.5</v>
      </c>
    </row>
    <row r="1104" spans="1:7" x14ac:dyDescent="0.25">
      <c r="A1104" t="s">
        <v>3</v>
      </c>
      <c r="B1104">
        <v>1102</v>
      </c>
      <c r="C1104">
        <v>100</v>
      </c>
      <c r="D1104" s="2">
        <v>21.833948373794556</v>
      </c>
      <c r="E1104" s="2" t="s">
        <v>10</v>
      </c>
      <c r="F1104" s="2" t="s">
        <v>52</v>
      </c>
      <c r="G1104" s="2">
        <v>7.5</v>
      </c>
    </row>
    <row r="1105" spans="1:7" x14ac:dyDescent="0.25">
      <c r="A1105" t="s">
        <v>3</v>
      </c>
      <c r="B1105">
        <v>1103</v>
      </c>
      <c r="C1105">
        <v>100</v>
      </c>
      <c r="D1105" s="3">
        <v>29.367117404937744</v>
      </c>
      <c r="E1105" s="3" t="s">
        <v>10</v>
      </c>
      <c r="F1105" s="3" t="s">
        <v>50</v>
      </c>
      <c r="G1105" s="3">
        <v>7.2</v>
      </c>
    </row>
    <row r="1106" spans="1:7" x14ac:dyDescent="0.25">
      <c r="A1106" t="s">
        <v>3</v>
      </c>
      <c r="B1106">
        <v>1104</v>
      </c>
      <c r="C1106">
        <v>100</v>
      </c>
      <c r="D1106" s="2">
        <v>26.883850574493408</v>
      </c>
      <c r="E1106" s="2" t="s">
        <v>10</v>
      </c>
      <c r="F1106" s="2" t="s">
        <v>50</v>
      </c>
      <c r="G1106" s="2">
        <v>7.2</v>
      </c>
    </row>
    <row r="1107" spans="1:7" x14ac:dyDescent="0.25">
      <c r="A1107" t="s">
        <v>3</v>
      </c>
      <c r="B1107">
        <v>1105</v>
      </c>
      <c r="C1107">
        <v>30</v>
      </c>
      <c r="D1107" s="3">
        <v>33.845817089080811</v>
      </c>
      <c r="E1107" s="3" t="s">
        <v>10</v>
      </c>
      <c r="F1107" s="3" t="s">
        <v>44</v>
      </c>
      <c r="G1107" s="3">
        <v>6.4</v>
      </c>
    </row>
    <row r="1108" spans="1:7" x14ac:dyDescent="0.25">
      <c r="A1108" t="s">
        <v>3</v>
      </c>
      <c r="B1108">
        <v>1106</v>
      </c>
      <c r="C1108">
        <v>0</v>
      </c>
      <c r="D1108" s="2">
        <v>31.162120580673218</v>
      </c>
      <c r="E1108" s="2" t="s">
        <v>10</v>
      </c>
      <c r="F1108" s="2" t="s">
        <v>44</v>
      </c>
      <c r="G1108" s="2">
        <v>6.4</v>
      </c>
    </row>
    <row r="1109" spans="1:7" x14ac:dyDescent="0.25">
      <c r="A1109" t="s">
        <v>3</v>
      </c>
      <c r="B1109">
        <v>1107</v>
      </c>
      <c r="C1109">
        <v>100</v>
      </c>
      <c r="D1109" s="3">
        <v>30.101118564605713</v>
      </c>
      <c r="E1109" s="3" t="s">
        <v>10</v>
      </c>
      <c r="F1109" s="3" t="s">
        <v>53</v>
      </c>
      <c r="G1109" s="3">
        <v>7.8</v>
      </c>
    </row>
    <row r="1110" spans="1:7" x14ac:dyDescent="0.25">
      <c r="A1110" t="s">
        <v>3</v>
      </c>
      <c r="B1110">
        <v>1108</v>
      </c>
      <c r="C1110">
        <v>0</v>
      </c>
      <c r="D1110" s="2">
        <v>37.060124635696411</v>
      </c>
      <c r="E1110" s="2" t="s">
        <v>10</v>
      </c>
      <c r="F1110" s="2" t="s">
        <v>53</v>
      </c>
      <c r="G1110" s="2">
        <v>7.8</v>
      </c>
    </row>
    <row r="1111" spans="1:7" x14ac:dyDescent="0.25">
      <c r="A1111" t="s">
        <v>3</v>
      </c>
      <c r="B1111">
        <v>1109</v>
      </c>
      <c r="C1111">
        <v>0</v>
      </c>
      <c r="D1111" s="3">
        <v>38.327487707138062</v>
      </c>
      <c r="E1111" s="3" t="s">
        <v>10</v>
      </c>
      <c r="F1111" s="3" t="s">
        <v>53</v>
      </c>
      <c r="G1111" s="3">
        <v>7.8</v>
      </c>
    </row>
    <row r="1112" spans="1:7" x14ac:dyDescent="0.25">
      <c r="A1112" t="s">
        <v>3</v>
      </c>
      <c r="B1112">
        <v>1110</v>
      </c>
      <c r="C1112">
        <v>70</v>
      </c>
      <c r="D1112" s="2">
        <v>23.106013536453247</v>
      </c>
      <c r="E1112" s="2" t="s">
        <v>10</v>
      </c>
      <c r="F1112" s="2" t="s">
        <v>54</v>
      </c>
      <c r="G1112" s="2">
        <v>4.9000000000000004</v>
      </c>
    </row>
    <row r="1113" spans="1:7" x14ac:dyDescent="0.25">
      <c r="A1113" t="s">
        <v>3</v>
      </c>
      <c r="B1113">
        <v>1111</v>
      </c>
      <c r="C1113">
        <v>0</v>
      </c>
      <c r="D1113" s="3">
        <v>26.534856557846069</v>
      </c>
      <c r="E1113" s="3" t="s">
        <v>10</v>
      </c>
      <c r="F1113" s="3" t="s">
        <v>54</v>
      </c>
      <c r="G1113" s="3">
        <v>4.9000000000000004</v>
      </c>
    </row>
    <row r="1114" spans="1:7" x14ac:dyDescent="0.25">
      <c r="A1114" t="s">
        <v>3</v>
      </c>
      <c r="B1114">
        <v>1112</v>
      </c>
      <c r="C1114">
        <v>100</v>
      </c>
      <c r="D1114" s="2">
        <v>19.751274347305298</v>
      </c>
      <c r="E1114" s="2" t="s">
        <v>10</v>
      </c>
      <c r="F1114" s="2" t="s">
        <v>54</v>
      </c>
      <c r="G1114" s="2">
        <v>4.9000000000000004</v>
      </c>
    </row>
    <row r="1115" spans="1:7" x14ac:dyDescent="0.25">
      <c r="A1115" t="s">
        <v>3</v>
      </c>
      <c r="B1115">
        <v>1113</v>
      </c>
      <c r="C1115">
        <v>100</v>
      </c>
      <c r="D1115" s="3">
        <v>32.651205062866211</v>
      </c>
      <c r="E1115" s="3" t="s">
        <v>10</v>
      </c>
      <c r="F1115" s="3" t="s">
        <v>54</v>
      </c>
      <c r="G1115" s="3">
        <v>4.9000000000000004</v>
      </c>
    </row>
    <row r="1116" spans="1:7" x14ac:dyDescent="0.25">
      <c r="A1116" t="s">
        <v>3</v>
      </c>
      <c r="B1116">
        <v>1114</v>
      </c>
      <c r="C1116">
        <v>100</v>
      </c>
      <c r="D1116" s="2">
        <v>25.794611930847168</v>
      </c>
      <c r="E1116" s="2" t="s">
        <v>10</v>
      </c>
      <c r="F1116" s="2" t="s">
        <v>54</v>
      </c>
      <c r="G1116" s="2">
        <v>4.9000000000000004</v>
      </c>
    </row>
    <row r="1117" spans="1:7" x14ac:dyDescent="0.25">
      <c r="A1117" t="s">
        <v>3</v>
      </c>
      <c r="B1117">
        <v>1115</v>
      </c>
      <c r="C1117">
        <v>100</v>
      </c>
      <c r="D1117" s="3">
        <v>37.889948844909668</v>
      </c>
      <c r="E1117" s="3" t="s">
        <v>10</v>
      </c>
      <c r="F1117" s="3" t="s">
        <v>46</v>
      </c>
      <c r="G1117" s="3">
        <v>4.9000000000000004</v>
      </c>
    </row>
    <row r="1118" spans="1:7" x14ac:dyDescent="0.25">
      <c r="A1118" t="s">
        <v>3</v>
      </c>
      <c r="B1118">
        <v>1116</v>
      </c>
      <c r="C1118">
        <v>100</v>
      </c>
      <c r="D1118" s="2">
        <v>32.706666946411133</v>
      </c>
      <c r="E1118" s="2" t="s">
        <v>10</v>
      </c>
      <c r="F1118" s="2" t="s">
        <v>41</v>
      </c>
      <c r="G1118" s="2">
        <v>4.9000000000000004</v>
      </c>
    </row>
    <row r="1119" spans="1:7" x14ac:dyDescent="0.25">
      <c r="A1119" t="s">
        <v>3</v>
      </c>
      <c r="B1119">
        <v>1117</v>
      </c>
      <c r="C1119">
        <v>100</v>
      </c>
      <c r="D1119" s="3">
        <v>35.615919351577759</v>
      </c>
      <c r="E1119" s="3" t="s">
        <v>10</v>
      </c>
      <c r="F1119" s="3" t="s">
        <v>41</v>
      </c>
      <c r="G1119" s="3">
        <v>7.1</v>
      </c>
    </row>
    <row r="1120" spans="1:7" x14ac:dyDescent="0.25">
      <c r="A1120" t="s">
        <v>3</v>
      </c>
      <c r="B1120">
        <v>1118</v>
      </c>
      <c r="C1120">
        <v>100</v>
      </c>
      <c r="D1120" s="2">
        <v>37.022949934005737</v>
      </c>
      <c r="E1120" s="2" t="s">
        <v>10</v>
      </c>
      <c r="F1120" s="2" t="s">
        <v>41</v>
      </c>
      <c r="G1120" s="2">
        <v>4.9000000000000004</v>
      </c>
    </row>
    <row r="1121" spans="1:7" x14ac:dyDescent="0.25">
      <c r="A1121" t="s">
        <v>3</v>
      </c>
      <c r="B1121">
        <v>1119</v>
      </c>
      <c r="C1121">
        <v>30</v>
      </c>
      <c r="D1121" s="3">
        <v>34.227473974227905</v>
      </c>
      <c r="E1121" s="3" t="s">
        <v>10</v>
      </c>
      <c r="F1121" s="3" t="s">
        <v>41</v>
      </c>
      <c r="G1121" s="3">
        <v>4.9000000000000004</v>
      </c>
    </row>
    <row r="1122" spans="1:7" x14ac:dyDescent="0.25">
      <c r="A1122" t="s">
        <v>3</v>
      </c>
      <c r="B1122">
        <v>1120</v>
      </c>
      <c r="C1122">
        <v>100</v>
      </c>
      <c r="D1122" s="2">
        <v>34.097859144210815</v>
      </c>
      <c r="E1122" s="2" t="s">
        <v>10</v>
      </c>
      <c r="F1122" s="2" t="s">
        <v>41</v>
      </c>
      <c r="G1122" s="2">
        <v>4.9000000000000004</v>
      </c>
    </row>
    <row r="1123" spans="1:7" x14ac:dyDescent="0.25">
      <c r="A1123" t="s">
        <v>3</v>
      </c>
      <c r="B1123">
        <v>1121</v>
      </c>
      <c r="C1123">
        <v>100</v>
      </c>
      <c r="D1123" s="3">
        <v>30.667452573776245</v>
      </c>
      <c r="E1123" s="3" t="s">
        <v>10</v>
      </c>
      <c r="F1123" s="3" t="s">
        <v>41</v>
      </c>
      <c r="G1123" s="3">
        <v>4.9000000000000004</v>
      </c>
    </row>
    <row r="1124" spans="1:7" x14ac:dyDescent="0.25">
      <c r="A1124" t="s">
        <v>3</v>
      </c>
      <c r="B1124">
        <v>1122</v>
      </c>
      <c r="C1124">
        <v>100</v>
      </c>
      <c r="D1124" s="2">
        <v>35.627437353134155</v>
      </c>
      <c r="E1124" s="2" t="s">
        <v>10</v>
      </c>
      <c r="F1124" s="2" t="s">
        <v>41</v>
      </c>
      <c r="G1124" s="2">
        <v>4.9000000000000004</v>
      </c>
    </row>
    <row r="1125" spans="1:7" x14ac:dyDescent="0.25">
      <c r="A1125" t="s">
        <v>3</v>
      </c>
      <c r="B1125">
        <v>1123</v>
      </c>
      <c r="C1125">
        <v>100</v>
      </c>
      <c r="D1125" s="3">
        <v>24.637598514556885</v>
      </c>
      <c r="E1125" s="3" t="s">
        <v>10</v>
      </c>
      <c r="F1125" s="3" t="s">
        <v>41</v>
      </c>
      <c r="G1125" s="3">
        <v>4.9000000000000004</v>
      </c>
    </row>
    <row r="1126" spans="1:7" x14ac:dyDescent="0.25">
      <c r="A1126" t="s">
        <v>3</v>
      </c>
      <c r="B1126">
        <v>1124</v>
      </c>
      <c r="C1126">
        <v>0</v>
      </c>
      <c r="D1126" s="2">
        <v>26.866508722305298</v>
      </c>
      <c r="E1126" s="2" t="s">
        <v>10</v>
      </c>
      <c r="F1126" s="2" t="s">
        <v>41</v>
      </c>
      <c r="G1126" s="2">
        <v>4.9000000000000004</v>
      </c>
    </row>
    <row r="1127" spans="1:7" x14ac:dyDescent="0.25">
      <c r="A1127" t="s">
        <v>3</v>
      </c>
      <c r="B1127">
        <v>1125</v>
      </c>
      <c r="C1127">
        <v>100</v>
      </c>
      <c r="D1127" s="3">
        <v>27.604434013366699</v>
      </c>
      <c r="E1127" s="3" t="s">
        <v>10</v>
      </c>
      <c r="F1127" s="3" t="s">
        <v>41</v>
      </c>
      <c r="G1127" s="3">
        <v>4.9000000000000004</v>
      </c>
    </row>
    <row r="1128" spans="1:7" x14ac:dyDescent="0.25">
      <c r="A1128" t="s">
        <v>3</v>
      </c>
      <c r="B1128">
        <v>1126</v>
      </c>
      <c r="C1128">
        <v>100</v>
      </c>
      <c r="D1128" s="2">
        <v>32.670601606369019</v>
      </c>
      <c r="E1128" s="2" t="s">
        <v>10</v>
      </c>
      <c r="F1128" s="2" t="s">
        <v>41</v>
      </c>
      <c r="G1128" s="2">
        <v>4.9000000000000004</v>
      </c>
    </row>
    <row r="1129" spans="1:7" x14ac:dyDescent="0.25">
      <c r="A1129" t="s">
        <v>3</v>
      </c>
      <c r="B1129">
        <v>1127</v>
      </c>
      <c r="C1129">
        <v>100</v>
      </c>
      <c r="D1129" s="3">
        <v>22.7293701171875</v>
      </c>
      <c r="E1129" s="3" t="s">
        <v>10</v>
      </c>
      <c r="F1129" s="3" t="s">
        <v>41</v>
      </c>
      <c r="G1129" s="3">
        <v>4.9000000000000004</v>
      </c>
    </row>
    <row r="1130" spans="1:7" x14ac:dyDescent="0.25">
      <c r="A1130" t="s">
        <v>3</v>
      </c>
      <c r="B1130">
        <v>1128</v>
      </c>
      <c r="C1130">
        <v>100</v>
      </c>
      <c r="D1130" s="2">
        <v>31.699092626571655</v>
      </c>
      <c r="E1130" s="2" t="s">
        <v>10</v>
      </c>
      <c r="F1130" s="2" t="s">
        <v>41</v>
      </c>
      <c r="G1130" s="2">
        <v>4.9000000000000004</v>
      </c>
    </row>
    <row r="1131" spans="1:7" x14ac:dyDescent="0.25">
      <c r="A1131" t="s">
        <v>3</v>
      </c>
      <c r="B1131">
        <v>1129</v>
      </c>
      <c r="C1131">
        <v>100</v>
      </c>
      <c r="D1131" s="3">
        <v>26.473860263824463</v>
      </c>
      <c r="E1131" s="3" t="s">
        <v>10</v>
      </c>
      <c r="F1131" s="3" t="s">
        <v>41</v>
      </c>
      <c r="G1131" s="3">
        <v>4.9000000000000004</v>
      </c>
    </row>
    <row r="1132" spans="1:7" x14ac:dyDescent="0.25">
      <c r="A1132" t="s">
        <v>3</v>
      </c>
      <c r="B1132">
        <v>1130</v>
      </c>
      <c r="C1132">
        <v>100</v>
      </c>
      <c r="D1132" s="2">
        <v>27.098661422729492</v>
      </c>
      <c r="E1132" s="2" t="s">
        <v>10</v>
      </c>
      <c r="F1132" s="2" t="s">
        <v>41</v>
      </c>
      <c r="G1132" s="2">
        <v>4.9000000000000004</v>
      </c>
    </row>
    <row r="1133" spans="1:7" x14ac:dyDescent="0.25">
      <c r="A1133" t="s">
        <v>3</v>
      </c>
      <c r="B1133">
        <v>1131</v>
      </c>
      <c r="C1133">
        <v>40</v>
      </c>
      <c r="D1133" s="3">
        <v>28.576445341110229</v>
      </c>
      <c r="E1133" s="3" t="s">
        <v>10</v>
      </c>
      <c r="F1133" s="3" t="s">
        <v>41</v>
      </c>
      <c r="G1133" s="3">
        <v>4.9000000000000004</v>
      </c>
    </row>
    <row r="1134" spans="1:7" x14ac:dyDescent="0.25">
      <c r="A1134" t="s">
        <v>3</v>
      </c>
      <c r="B1134">
        <v>1132</v>
      </c>
      <c r="C1134">
        <v>100</v>
      </c>
      <c r="D1134" s="2">
        <v>20.803659439086914</v>
      </c>
      <c r="E1134" s="2" t="s">
        <v>10</v>
      </c>
      <c r="F1134" s="2" t="s">
        <v>41</v>
      </c>
      <c r="G1134" s="2">
        <v>4.9000000000000004</v>
      </c>
    </row>
    <row r="1135" spans="1:7" x14ac:dyDescent="0.25">
      <c r="A1135" t="s">
        <v>3</v>
      </c>
      <c r="B1135">
        <v>1133</v>
      </c>
      <c r="C1135">
        <v>0</v>
      </c>
      <c r="D1135" s="3">
        <v>16.067300796508789</v>
      </c>
      <c r="E1135" s="3" t="s">
        <v>10</v>
      </c>
      <c r="F1135" s="3" t="s">
        <v>41</v>
      </c>
      <c r="G1135" s="3">
        <v>4.9000000000000004</v>
      </c>
    </row>
    <row r="1136" spans="1:7" x14ac:dyDescent="0.25">
      <c r="A1136" t="s">
        <v>3</v>
      </c>
      <c r="B1136">
        <v>1134</v>
      </c>
      <c r="C1136">
        <v>100</v>
      </c>
      <c r="D1136" s="2">
        <v>36.807586908340454</v>
      </c>
      <c r="E1136" s="2" t="s">
        <v>10</v>
      </c>
      <c r="F1136" s="2" t="s">
        <v>41</v>
      </c>
      <c r="G1136" s="2">
        <v>4.9000000000000004</v>
      </c>
    </row>
    <row r="1137" spans="1:7" x14ac:dyDescent="0.25">
      <c r="A1137" t="s">
        <v>3</v>
      </c>
      <c r="B1137">
        <v>1135</v>
      </c>
      <c r="C1137">
        <v>100</v>
      </c>
      <c r="D1137" s="3">
        <v>31.232955455780029</v>
      </c>
      <c r="E1137" s="3" t="s">
        <v>10</v>
      </c>
      <c r="F1137" s="3" t="s">
        <v>41</v>
      </c>
      <c r="G1137" s="3">
        <v>4.9000000000000004</v>
      </c>
    </row>
    <row r="1138" spans="1:7" x14ac:dyDescent="0.25">
      <c r="A1138" t="s">
        <v>3</v>
      </c>
      <c r="B1138">
        <v>1136</v>
      </c>
      <c r="C1138">
        <v>100</v>
      </c>
      <c r="D1138" s="2">
        <v>35.77254581451416</v>
      </c>
      <c r="E1138" s="2" t="s">
        <v>10</v>
      </c>
      <c r="F1138" s="2" t="s">
        <v>41</v>
      </c>
      <c r="G1138" s="2">
        <v>4.9000000000000004</v>
      </c>
    </row>
    <row r="1139" spans="1:7" x14ac:dyDescent="0.25">
      <c r="A1139" t="s">
        <v>3</v>
      </c>
      <c r="B1139">
        <v>1137</v>
      </c>
      <c r="C1139">
        <v>100</v>
      </c>
      <c r="D1139" s="3">
        <v>43.165433883666992</v>
      </c>
      <c r="E1139" s="3" t="s">
        <v>10</v>
      </c>
      <c r="F1139" s="3" t="s">
        <v>41</v>
      </c>
      <c r="G1139" s="3">
        <v>4.9000000000000004</v>
      </c>
    </row>
    <row r="1140" spans="1:7" x14ac:dyDescent="0.25">
      <c r="A1140" t="s">
        <v>3</v>
      </c>
      <c r="B1140">
        <v>1138</v>
      </c>
      <c r="C1140">
        <v>100</v>
      </c>
      <c r="D1140" s="2">
        <v>29.674540042877197</v>
      </c>
      <c r="E1140" s="2" t="s">
        <v>10</v>
      </c>
      <c r="F1140" s="2" t="s">
        <v>41</v>
      </c>
      <c r="G1140" s="2">
        <v>4.9000000000000004</v>
      </c>
    </row>
    <row r="1141" spans="1:7" x14ac:dyDescent="0.25">
      <c r="A1141" t="s">
        <v>3</v>
      </c>
      <c r="B1141">
        <v>1139</v>
      </c>
      <c r="C1141">
        <v>70</v>
      </c>
      <c r="D1141" s="3">
        <v>20.368837356567383</v>
      </c>
      <c r="E1141" s="3" t="s">
        <v>10</v>
      </c>
      <c r="F1141" s="3" t="s">
        <v>41</v>
      </c>
      <c r="G1141" s="3">
        <v>4.9000000000000004</v>
      </c>
    </row>
    <row r="1142" spans="1:7" x14ac:dyDescent="0.25">
      <c r="A1142" t="s">
        <v>3</v>
      </c>
      <c r="B1142">
        <v>1140</v>
      </c>
      <c r="C1142">
        <v>100</v>
      </c>
      <c r="D1142" s="2">
        <v>32.609086275100708</v>
      </c>
      <c r="E1142" s="2" t="s">
        <v>10</v>
      </c>
      <c r="F1142" s="2" t="s">
        <v>41</v>
      </c>
      <c r="G1142" s="2">
        <v>4.9000000000000004</v>
      </c>
    </row>
    <row r="1143" spans="1:7" x14ac:dyDescent="0.25">
      <c r="A1143" t="s">
        <v>3</v>
      </c>
      <c r="B1143">
        <v>1141</v>
      </c>
      <c r="C1143">
        <v>100</v>
      </c>
      <c r="D1143" s="3">
        <v>25.135238647460938</v>
      </c>
      <c r="E1143" s="3" t="s">
        <v>10</v>
      </c>
      <c r="F1143" s="3" t="s">
        <v>41</v>
      </c>
      <c r="G1143" s="3">
        <v>4.9000000000000004</v>
      </c>
    </row>
    <row r="1144" spans="1:7" x14ac:dyDescent="0.25">
      <c r="A1144" t="s">
        <v>3</v>
      </c>
      <c r="B1144">
        <v>1142</v>
      </c>
      <c r="C1144">
        <v>100</v>
      </c>
      <c r="D1144" s="2">
        <v>30.399325847625732</v>
      </c>
      <c r="E1144" s="2" t="s">
        <v>10</v>
      </c>
      <c r="F1144" s="2" t="s">
        <v>41</v>
      </c>
      <c r="G1144" s="2">
        <v>4.9000000000000004</v>
      </c>
    </row>
    <row r="1145" spans="1:7" x14ac:dyDescent="0.25">
      <c r="A1145" t="s">
        <v>3</v>
      </c>
      <c r="B1145">
        <v>1143</v>
      </c>
      <c r="C1145">
        <v>100</v>
      </c>
      <c r="D1145" s="3">
        <v>16.722926378250122</v>
      </c>
      <c r="E1145" s="3" t="s">
        <v>10</v>
      </c>
      <c r="F1145" s="3" t="s">
        <v>41</v>
      </c>
      <c r="G1145" s="3">
        <v>4.9000000000000004</v>
      </c>
    </row>
    <row r="1146" spans="1:7" x14ac:dyDescent="0.25">
      <c r="A1146" t="s">
        <v>3</v>
      </c>
      <c r="B1146">
        <v>1144</v>
      </c>
      <c r="C1146">
        <v>0</v>
      </c>
      <c r="D1146" s="2">
        <v>35.742141962051392</v>
      </c>
      <c r="E1146" s="2" t="s">
        <v>10</v>
      </c>
      <c r="F1146" s="2" t="s">
        <v>41</v>
      </c>
      <c r="G1146" s="2">
        <v>4.9000000000000004</v>
      </c>
    </row>
    <row r="1147" spans="1:7" x14ac:dyDescent="0.25">
      <c r="A1147" t="s">
        <v>3</v>
      </c>
      <c r="B1147">
        <v>1145</v>
      </c>
      <c r="C1147">
        <v>100</v>
      </c>
      <c r="D1147" s="3">
        <v>63.089433193206787</v>
      </c>
      <c r="E1147" s="3" t="s">
        <v>10</v>
      </c>
      <c r="F1147" s="3" t="s">
        <v>41</v>
      </c>
      <c r="G1147" s="3">
        <v>4.9000000000000004</v>
      </c>
    </row>
    <row r="1148" spans="1:7" x14ac:dyDescent="0.25">
      <c r="A1148" t="s">
        <v>3</v>
      </c>
      <c r="B1148">
        <v>1146</v>
      </c>
      <c r="C1148">
        <v>100</v>
      </c>
      <c r="D1148" s="2">
        <v>21.024831295013428</v>
      </c>
      <c r="E1148" s="2" t="s">
        <v>10</v>
      </c>
      <c r="F1148" s="2" t="s">
        <v>41</v>
      </c>
      <c r="G1148" s="2">
        <v>4.9000000000000004</v>
      </c>
    </row>
    <row r="1149" spans="1:7" x14ac:dyDescent="0.25">
      <c r="A1149" t="s">
        <v>3</v>
      </c>
      <c r="B1149">
        <v>1147</v>
      </c>
      <c r="C1149">
        <v>100</v>
      </c>
      <c r="D1149" s="3">
        <v>16.460261583328247</v>
      </c>
      <c r="E1149" s="3" t="s">
        <v>10</v>
      </c>
      <c r="F1149" s="3" t="s">
        <v>41</v>
      </c>
      <c r="G1149" s="3">
        <v>4.9000000000000004</v>
      </c>
    </row>
    <row r="1150" spans="1:7" x14ac:dyDescent="0.25">
      <c r="A1150" t="s">
        <v>3</v>
      </c>
      <c r="B1150">
        <v>1148</v>
      </c>
      <c r="C1150">
        <v>0</v>
      </c>
      <c r="D1150" s="2">
        <v>22.275026798248291</v>
      </c>
      <c r="E1150" s="2" t="s">
        <v>10</v>
      </c>
      <c r="F1150" s="2" t="s">
        <v>41</v>
      </c>
      <c r="G1150" s="2">
        <v>4.9000000000000004</v>
      </c>
    </row>
    <row r="1151" spans="1:7" x14ac:dyDescent="0.25">
      <c r="A1151" t="s">
        <v>3</v>
      </c>
      <c r="B1151">
        <v>1149</v>
      </c>
      <c r="C1151">
        <v>60</v>
      </c>
      <c r="D1151" s="3">
        <v>24.131115198135376</v>
      </c>
      <c r="E1151" s="3" t="s">
        <v>10</v>
      </c>
      <c r="F1151" s="3" t="s">
        <v>41</v>
      </c>
      <c r="G1151" s="3">
        <v>4.9000000000000004</v>
      </c>
    </row>
    <row r="1152" spans="1:7" x14ac:dyDescent="0.25">
      <c r="A1152" t="s">
        <v>3</v>
      </c>
      <c r="B1152">
        <v>1150</v>
      </c>
      <c r="C1152">
        <v>100</v>
      </c>
      <c r="D1152" s="2">
        <v>34.531072616577148</v>
      </c>
      <c r="E1152" s="2" t="s">
        <v>10</v>
      </c>
      <c r="F1152" s="2" t="s">
        <v>41</v>
      </c>
      <c r="G1152" s="2">
        <v>4.9000000000000004</v>
      </c>
    </row>
    <row r="1153" spans="1:7" x14ac:dyDescent="0.25">
      <c r="A1153" t="s">
        <v>3</v>
      </c>
      <c r="B1153">
        <v>1151</v>
      </c>
      <c r="C1153">
        <v>100</v>
      </c>
      <c r="D1153" s="3">
        <v>36.28918719291687</v>
      </c>
      <c r="E1153" s="3" t="s">
        <v>10</v>
      </c>
      <c r="F1153" s="3" t="s">
        <v>41</v>
      </c>
      <c r="G1153" s="3">
        <v>4.9000000000000004</v>
      </c>
    </row>
    <row r="1154" spans="1:7" x14ac:dyDescent="0.25">
      <c r="A1154" t="s">
        <v>3</v>
      </c>
      <c r="B1154">
        <v>1152</v>
      </c>
      <c r="C1154">
        <v>0</v>
      </c>
      <c r="D1154" s="2">
        <v>32.778950691223145</v>
      </c>
      <c r="E1154" s="2" t="s">
        <v>10</v>
      </c>
      <c r="F1154" s="2" t="s">
        <v>41</v>
      </c>
      <c r="G1154" s="2">
        <v>4.5999999999999996</v>
      </c>
    </row>
    <row r="1155" spans="1:7" x14ac:dyDescent="0.25">
      <c r="A1155" t="s">
        <v>3</v>
      </c>
      <c r="B1155">
        <v>1153</v>
      </c>
      <c r="C1155">
        <v>95</v>
      </c>
      <c r="D1155" s="3">
        <v>43.244529247283936</v>
      </c>
      <c r="E1155" s="3" t="s">
        <v>10</v>
      </c>
      <c r="F1155" s="3" t="s">
        <v>41</v>
      </c>
      <c r="G1155" s="3">
        <v>4.5999999999999996</v>
      </c>
    </row>
    <row r="1156" spans="1:7" x14ac:dyDescent="0.25">
      <c r="A1156" t="s">
        <v>3</v>
      </c>
      <c r="B1156">
        <v>1154</v>
      </c>
      <c r="C1156">
        <v>100</v>
      </c>
      <c r="D1156" s="2">
        <v>33.499920606613159</v>
      </c>
      <c r="E1156" s="2" t="s">
        <v>10</v>
      </c>
      <c r="F1156" s="2" t="s">
        <v>41</v>
      </c>
      <c r="G1156" s="2">
        <v>4.5999999999999996</v>
      </c>
    </row>
    <row r="1157" spans="1:7" x14ac:dyDescent="0.25">
      <c r="A1157" t="s">
        <v>3</v>
      </c>
      <c r="B1157">
        <v>1155</v>
      </c>
      <c r="C1157">
        <v>100</v>
      </c>
      <c r="D1157" s="3">
        <v>27.817212104797363</v>
      </c>
      <c r="E1157" s="3" t="s">
        <v>10</v>
      </c>
      <c r="F1157" s="3" t="s">
        <v>41</v>
      </c>
      <c r="G1157" s="3">
        <v>4.5999999999999996</v>
      </c>
    </row>
    <row r="1158" spans="1:7" x14ac:dyDescent="0.25">
      <c r="A1158" t="s">
        <v>3</v>
      </c>
      <c r="B1158">
        <v>1156</v>
      </c>
      <c r="C1158">
        <v>30</v>
      </c>
      <c r="D1158" s="2">
        <v>21.735719919204712</v>
      </c>
      <c r="E1158" s="2" t="s">
        <v>10</v>
      </c>
      <c r="F1158" s="2" t="s">
        <v>41</v>
      </c>
      <c r="G1158" s="2">
        <v>4.5999999999999996</v>
      </c>
    </row>
    <row r="1159" spans="1:7" x14ac:dyDescent="0.25">
      <c r="A1159" t="s">
        <v>3</v>
      </c>
      <c r="B1159">
        <v>1157</v>
      </c>
      <c r="C1159">
        <v>0</v>
      </c>
      <c r="D1159" s="3">
        <v>28.304350614547729</v>
      </c>
      <c r="E1159" s="3" t="s">
        <v>10</v>
      </c>
      <c r="F1159" s="3" t="s">
        <v>41</v>
      </c>
      <c r="G1159" s="3">
        <v>4.5999999999999996</v>
      </c>
    </row>
    <row r="1160" spans="1:7" x14ac:dyDescent="0.25">
      <c r="A1160" t="s">
        <v>3</v>
      </c>
      <c r="B1160">
        <v>1158</v>
      </c>
      <c r="C1160">
        <v>15</v>
      </c>
      <c r="D1160" s="2">
        <v>20.78328275680542</v>
      </c>
      <c r="E1160" s="2" t="s">
        <v>10</v>
      </c>
      <c r="F1160" s="2" t="s">
        <v>45</v>
      </c>
      <c r="G1160" s="2">
        <v>4.5999999999999996</v>
      </c>
    </row>
    <row r="1161" spans="1:7" x14ac:dyDescent="0.25">
      <c r="A1161" t="s">
        <v>3</v>
      </c>
      <c r="B1161">
        <v>1159</v>
      </c>
      <c r="C1161">
        <v>10</v>
      </c>
      <c r="D1161" s="3">
        <v>19.095115184783936</v>
      </c>
      <c r="E1161" s="3" t="s">
        <v>10</v>
      </c>
      <c r="F1161" s="3" t="s">
        <v>45</v>
      </c>
      <c r="G1161" s="3">
        <v>4.5999999999999996</v>
      </c>
    </row>
    <row r="1162" spans="1:7" x14ac:dyDescent="0.25">
      <c r="A1162" t="s">
        <v>3</v>
      </c>
      <c r="B1162">
        <v>1160</v>
      </c>
      <c r="C1162">
        <v>40</v>
      </c>
      <c r="D1162" s="2">
        <v>20.681960105895996</v>
      </c>
      <c r="E1162" s="2" t="s">
        <v>10</v>
      </c>
      <c r="F1162" s="2" t="s">
        <v>45</v>
      </c>
      <c r="G1162" s="2">
        <v>4.5999999999999996</v>
      </c>
    </row>
    <row r="1163" spans="1:7" x14ac:dyDescent="0.25">
      <c r="A1163" t="s">
        <v>3</v>
      </c>
      <c r="B1163">
        <v>1161</v>
      </c>
      <c r="C1163">
        <v>7</v>
      </c>
      <c r="D1163" s="3">
        <v>24.588195562362671</v>
      </c>
      <c r="E1163" s="3" t="s">
        <v>10</v>
      </c>
      <c r="F1163" s="3" t="s">
        <v>41</v>
      </c>
      <c r="G1163" s="3">
        <v>4.9000000000000004</v>
      </c>
    </row>
    <row r="1164" spans="1:7" x14ac:dyDescent="0.25">
      <c r="A1164" t="s">
        <v>3</v>
      </c>
      <c r="B1164">
        <v>1162</v>
      </c>
      <c r="C1164">
        <v>60</v>
      </c>
      <c r="D1164" s="2">
        <v>13.42323637008667</v>
      </c>
      <c r="E1164" s="2" t="s">
        <v>10</v>
      </c>
      <c r="F1164" s="2" t="s">
        <v>41</v>
      </c>
      <c r="G1164" s="2">
        <v>4.9000000000000004</v>
      </c>
    </row>
    <row r="1165" spans="1:7" x14ac:dyDescent="0.25">
      <c r="A1165" t="s">
        <v>3</v>
      </c>
      <c r="B1165">
        <v>1163</v>
      </c>
      <c r="C1165">
        <v>0</v>
      </c>
      <c r="D1165" s="3">
        <v>27.17840576171875</v>
      </c>
      <c r="E1165" s="3" t="s">
        <v>10</v>
      </c>
      <c r="F1165" s="3" t="s">
        <v>41</v>
      </c>
      <c r="G1165" s="3">
        <v>4.9000000000000004</v>
      </c>
    </row>
    <row r="1166" spans="1:7" x14ac:dyDescent="0.25">
      <c r="A1166" t="s">
        <v>3</v>
      </c>
      <c r="B1166">
        <v>1164</v>
      </c>
      <c r="C1166">
        <v>50</v>
      </c>
      <c r="D1166" s="2">
        <v>26.125398397445679</v>
      </c>
      <c r="E1166" s="2" t="s">
        <v>10</v>
      </c>
      <c r="F1166" s="2" t="s">
        <v>41</v>
      </c>
      <c r="G1166" s="2">
        <v>4.9000000000000004</v>
      </c>
    </row>
    <row r="1167" spans="1:7" x14ac:dyDescent="0.25">
      <c r="A1167" t="s">
        <v>3</v>
      </c>
      <c r="B1167">
        <v>1165</v>
      </c>
      <c r="C1167">
        <v>0</v>
      </c>
      <c r="D1167" s="3">
        <v>29.341373205184937</v>
      </c>
      <c r="E1167" s="3" t="s">
        <v>10</v>
      </c>
      <c r="F1167" s="3" t="s">
        <v>41</v>
      </c>
      <c r="G1167" s="3">
        <v>4.9000000000000004</v>
      </c>
    </row>
    <row r="1168" spans="1:7" x14ac:dyDescent="0.25">
      <c r="A1168" t="s">
        <v>3</v>
      </c>
      <c r="B1168">
        <v>1166</v>
      </c>
      <c r="C1168">
        <v>0</v>
      </c>
      <c r="D1168" s="2">
        <v>115.09015321731567</v>
      </c>
      <c r="E1168" s="2" t="s">
        <v>10</v>
      </c>
      <c r="F1168" s="2" t="s">
        <v>41</v>
      </c>
      <c r="G1168" s="2">
        <v>4.9000000000000004</v>
      </c>
    </row>
    <row r="1169" spans="1:7" x14ac:dyDescent="0.25">
      <c r="A1169" t="s">
        <v>3</v>
      </c>
      <c r="B1169">
        <v>1167</v>
      </c>
      <c r="C1169">
        <v>100</v>
      </c>
      <c r="D1169" s="3">
        <v>18.880099058151245</v>
      </c>
      <c r="E1169" s="3" t="s">
        <v>10</v>
      </c>
      <c r="F1169" s="3" t="s">
        <v>41</v>
      </c>
      <c r="G1169" s="3">
        <v>4.9000000000000004</v>
      </c>
    </row>
    <row r="1170" spans="1:7" x14ac:dyDescent="0.25">
      <c r="A1170" t="s">
        <v>3</v>
      </c>
      <c r="B1170">
        <v>1168</v>
      </c>
      <c r="C1170">
        <v>100</v>
      </c>
      <c r="D1170" s="2">
        <v>27.129892826080322</v>
      </c>
      <c r="E1170" s="2" t="s">
        <v>10</v>
      </c>
      <c r="F1170" s="2" t="s">
        <v>41</v>
      </c>
      <c r="G1170" s="2">
        <v>4.9000000000000004</v>
      </c>
    </row>
    <row r="1171" spans="1:7" x14ac:dyDescent="0.25">
      <c r="A1171" t="s">
        <v>3</v>
      </c>
      <c r="B1171">
        <v>1169</v>
      </c>
      <c r="C1171">
        <v>0</v>
      </c>
      <c r="D1171" s="3">
        <v>26.546504020690918</v>
      </c>
      <c r="E1171" s="3" t="s">
        <v>10</v>
      </c>
      <c r="F1171" s="3" t="s">
        <v>41</v>
      </c>
      <c r="G1171" s="3">
        <v>4.9000000000000004</v>
      </c>
    </row>
    <row r="1172" spans="1:7" x14ac:dyDescent="0.25">
      <c r="A1172" t="s">
        <v>3</v>
      </c>
      <c r="B1172">
        <v>1170</v>
      </c>
      <c r="C1172">
        <v>100</v>
      </c>
      <c r="D1172" s="2">
        <v>28.987250089645386</v>
      </c>
      <c r="E1172" s="2" t="s">
        <v>10</v>
      </c>
      <c r="F1172" s="2" t="s">
        <v>41</v>
      </c>
      <c r="G1172" s="2">
        <v>4.9000000000000004</v>
      </c>
    </row>
    <row r="1173" spans="1:7" x14ac:dyDescent="0.25">
      <c r="A1173" t="s">
        <v>3</v>
      </c>
      <c r="B1173">
        <v>1171</v>
      </c>
      <c r="C1173">
        <v>20</v>
      </c>
      <c r="D1173" s="3">
        <v>20.301103591918945</v>
      </c>
      <c r="E1173" s="3" t="s">
        <v>10</v>
      </c>
      <c r="F1173" s="3" t="s">
        <v>41</v>
      </c>
      <c r="G1173" s="3">
        <v>4.9000000000000004</v>
      </c>
    </row>
    <row r="1174" spans="1:7" x14ac:dyDescent="0.25">
      <c r="A1174" t="s">
        <v>3</v>
      </c>
      <c r="B1174">
        <v>1172</v>
      </c>
      <c r="C1174">
        <v>0</v>
      </c>
      <c r="D1174" s="2">
        <v>27.004210233688354</v>
      </c>
      <c r="E1174" s="2" t="s">
        <v>10</v>
      </c>
      <c r="F1174" s="2" t="s">
        <v>41</v>
      </c>
      <c r="G1174" s="2">
        <v>4.9000000000000004</v>
      </c>
    </row>
    <row r="1175" spans="1:7" x14ac:dyDescent="0.25">
      <c r="A1175" t="s">
        <v>3</v>
      </c>
      <c r="B1175">
        <v>1173</v>
      </c>
      <c r="C1175">
        <v>55</v>
      </c>
      <c r="D1175" s="3">
        <v>83.289346218109131</v>
      </c>
      <c r="E1175" s="3" t="s">
        <v>10</v>
      </c>
      <c r="F1175" s="3" t="s">
        <v>41</v>
      </c>
      <c r="G1175" s="3">
        <v>4.9000000000000004</v>
      </c>
    </row>
    <row r="1176" spans="1:7" x14ac:dyDescent="0.25">
      <c r="A1176" t="s">
        <v>3</v>
      </c>
      <c r="B1176">
        <v>1174</v>
      </c>
      <c r="C1176">
        <v>85</v>
      </c>
      <c r="D1176" s="2">
        <v>16.322325706481934</v>
      </c>
      <c r="E1176" s="2" t="s">
        <v>10</v>
      </c>
      <c r="F1176" s="2" t="s">
        <v>41</v>
      </c>
      <c r="G1176" s="2">
        <v>4.9000000000000004</v>
      </c>
    </row>
    <row r="1177" spans="1:7" x14ac:dyDescent="0.25">
      <c r="A1177" t="s">
        <v>3</v>
      </c>
      <c r="B1177">
        <v>1175</v>
      </c>
      <c r="C1177">
        <v>100</v>
      </c>
      <c r="D1177" s="3">
        <v>15.68826150894165</v>
      </c>
      <c r="E1177" s="3" t="s">
        <v>10</v>
      </c>
      <c r="F1177" s="3" t="s">
        <v>41</v>
      </c>
      <c r="G1177" s="3">
        <v>4.9000000000000004</v>
      </c>
    </row>
    <row r="1178" spans="1:7" x14ac:dyDescent="0.25">
      <c r="A1178" t="s">
        <v>3</v>
      </c>
      <c r="B1178">
        <v>1176</v>
      </c>
      <c r="C1178">
        <v>100</v>
      </c>
      <c r="D1178" s="2">
        <v>36.16504979133606</v>
      </c>
      <c r="E1178" s="2" t="s">
        <v>10</v>
      </c>
      <c r="F1178" s="2" t="s">
        <v>46</v>
      </c>
      <c r="G1178" s="2">
        <v>4.9000000000000004</v>
      </c>
    </row>
    <row r="1179" spans="1:7" x14ac:dyDescent="0.25">
      <c r="A1179" t="s">
        <v>3</v>
      </c>
      <c r="B1179">
        <v>1177</v>
      </c>
      <c r="C1179">
        <v>50</v>
      </c>
      <c r="D1179" s="3">
        <v>28.205757856369019</v>
      </c>
      <c r="E1179" s="3" t="s">
        <v>10</v>
      </c>
      <c r="F1179" s="3" t="s">
        <v>46</v>
      </c>
      <c r="G1179" s="3">
        <v>4.9000000000000004</v>
      </c>
    </row>
    <row r="1180" spans="1:7" x14ac:dyDescent="0.25">
      <c r="A1180" t="s">
        <v>3</v>
      </c>
      <c r="B1180">
        <v>1178</v>
      </c>
      <c r="C1180">
        <v>0</v>
      </c>
      <c r="D1180" s="2">
        <v>29.504036664962769</v>
      </c>
      <c r="E1180" s="2" t="s">
        <v>10</v>
      </c>
      <c r="F1180" s="2" t="s">
        <v>41</v>
      </c>
      <c r="G1180" s="2">
        <v>4.9000000000000004</v>
      </c>
    </row>
    <row r="1181" spans="1:7" x14ac:dyDescent="0.25">
      <c r="A1181" t="s">
        <v>3</v>
      </c>
      <c r="B1181">
        <v>1179</v>
      </c>
      <c r="C1181">
        <v>10</v>
      </c>
      <c r="D1181" s="3">
        <v>39.88816237449646</v>
      </c>
      <c r="E1181" s="3" t="s">
        <v>10</v>
      </c>
      <c r="F1181" s="3" t="s">
        <v>41</v>
      </c>
      <c r="G1181" s="3">
        <v>4.9000000000000004</v>
      </c>
    </row>
    <row r="1182" spans="1:7" x14ac:dyDescent="0.25">
      <c r="A1182" t="s">
        <v>3</v>
      </c>
      <c r="B1182">
        <v>1180</v>
      </c>
      <c r="C1182">
        <v>10</v>
      </c>
      <c r="D1182" s="2">
        <v>17.02363133430481</v>
      </c>
      <c r="E1182" s="2" t="s">
        <v>10</v>
      </c>
      <c r="F1182" s="2" t="s">
        <v>41</v>
      </c>
      <c r="G1182" s="2">
        <v>4.9000000000000004</v>
      </c>
    </row>
    <row r="1183" spans="1:7" x14ac:dyDescent="0.25">
      <c r="A1183" t="s">
        <v>3</v>
      </c>
      <c r="B1183">
        <v>1181</v>
      </c>
      <c r="C1183">
        <v>0</v>
      </c>
      <c r="D1183" s="3">
        <v>22.365249395370483</v>
      </c>
      <c r="E1183" s="3" t="s">
        <v>10</v>
      </c>
      <c r="F1183" s="3" t="s">
        <v>41</v>
      </c>
      <c r="G1183" s="3">
        <v>5.4</v>
      </c>
    </row>
    <row r="1184" spans="1:7" x14ac:dyDescent="0.25">
      <c r="A1184" t="s">
        <v>3</v>
      </c>
      <c r="B1184">
        <v>1182</v>
      </c>
      <c r="C1184">
        <v>100</v>
      </c>
      <c r="D1184" s="2">
        <v>33.741853952407837</v>
      </c>
      <c r="E1184" s="2" t="s">
        <v>10</v>
      </c>
      <c r="F1184" s="2" t="s">
        <v>46</v>
      </c>
      <c r="G1184" s="2">
        <v>5.4</v>
      </c>
    </row>
    <row r="1185" spans="1:7" x14ac:dyDescent="0.25">
      <c r="A1185" t="s">
        <v>3</v>
      </c>
      <c r="B1185">
        <v>1183</v>
      </c>
      <c r="C1185">
        <v>100</v>
      </c>
      <c r="D1185" s="3">
        <v>28.48465633392334</v>
      </c>
      <c r="E1185" s="3" t="s">
        <v>10</v>
      </c>
      <c r="F1185" s="3" t="s">
        <v>46</v>
      </c>
      <c r="G1185" s="3">
        <v>4.9000000000000004</v>
      </c>
    </row>
    <row r="1186" spans="1:7" x14ac:dyDescent="0.25">
      <c r="A1186" t="s">
        <v>3</v>
      </c>
      <c r="B1186">
        <v>1184</v>
      </c>
      <c r="C1186">
        <v>100</v>
      </c>
      <c r="D1186" s="2">
        <v>21.494189023971558</v>
      </c>
      <c r="E1186" s="2" t="s">
        <v>10</v>
      </c>
      <c r="F1186" s="2" t="s">
        <v>41</v>
      </c>
      <c r="G1186" s="2">
        <v>4.9000000000000004</v>
      </c>
    </row>
    <row r="1187" spans="1:7" x14ac:dyDescent="0.25">
      <c r="A1187" t="s">
        <v>3</v>
      </c>
      <c r="B1187">
        <v>1185</v>
      </c>
      <c r="C1187">
        <v>100</v>
      </c>
      <c r="D1187" s="3">
        <v>31.680191993713379</v>
      </c>
      <c r="E1187" s="3" t="s">
        <v>10</v>
      </c>
      <c r="F1187" s="3" t="s">
        <v>41</v>
      </c>
      <c r="G1187" s="3">
        <v>4.9000000000000004</v>
      </c>
    </row>
    <row r="1188" spans="1:7" x14ac:dyDescent="0.25">
      <c r="A1188" t="s">
        <v>3</v>
      </c>
      <c r="B1188">
        <v>1186</v>
      </c>
      <c r="C1188">
        <v>100</v>
      </c>
      <c r="D1188" s="2">
        <v>22.446121215820313</v>
      </c>
      <c r="E1188" s="2" t="s">
        <v>10</v>
      </c>
      <c r="F1188" s="2" t="s">
        <v>41</v>
      </c>
      <c r="G1188" s="2">
        <v>4.9000000000000004</v>
      </c>
    </row>
    <row r="1189" spans="1:7" x14ac:dyDescent="0.25">
      <c r="A1189" t="s">
        <v>3</v>
      </c>
      <c r="B1189">
        <v>1187</v>
      </c>
      <c r="C1189">
        <v>100</v>
      </c>
      <c r="D1189" s="3">
        <v>24.87350606918335</v>
      </c>
      <c r="E1189" s="3" t="s">
        <v>10</v>
      </c>
      <c r="F1189" s="3" t="s">
        <v>41</v>
      </c>
      <c r="G1189" s="3">
        <v>4.9000000000000004</v>
      </c>
    </row>
    <row r="1190" spans="1:7" x14ac:dyDescent="0.25">
      <c r="A1190" t="s">
        <v>3</v>
      </c>
      <c r="B1190">
        <v>1188</v>
      </c>
      <c r="C1190">
        <v>100</v>
      </c>
      <c r="D1190" s="2">
        <v>35.114361763000488</v>
      </c>
      <c r="E1190" s="2" t="s">
        <v>10</v>
      </c>
      <c r="F1190" s="2" t="s">
        <v>41</v>
      </c>
      <c r="G1190" s="2">
        <v>4.9000000000000004</v>
      </c>
    </row>
    <row r="1191" spans="1:7" x14ac:dyDescent="0.25">
      <c r="A1191" t="s">
        <v>3</v>
      </c>
      <c r="B1191">
        <v>1189</v>
      </c>
      <c r="C1191">
        <v>100</v>
      </c>
      <c r="D1191" s="3">
        <v>53.897189140319824</v>
      </c>
      <c r="E1191" s="3" t="s">
        <v>10</v>
      </c>
      <c r="F1191" s="3" t="s">
        <v>41</v>
      </c>
      <c r="G1191" s="3">
        <v>4.9000000000000004</v>
      </c>
    </row>
    <row r="1192" spans="1:7" x14ac:dyDescent="0.25">
      <c r="A1192" t="s">
        <v>3</v>
      </c>
      <c r="B1192">
        <v>1190</v>
      </c>
      <c r="C1192">
        <v>100</v>
      </c>
      <c r="D1192" s="2">
        <v>18.78597354888916</v>
      </c>
      <c r="E1192" s="2" t="s">
        <v>10</v>
      </c>
      <c r="F1192" s="2" t="s">
        <v>41</v>
      </c>
      <c r="G1192" s="2">
        <v>4.9000000000000004</v>
      </c>
    </row>
    <row r="1193" spans="1:7" x14ac:dyDescent="0.25">
      <c r="A1193" t="s">
        <v>3</v>
      </c>
      <c r="B1193">
        <v>1191</v>
      </c>
      <c r="C1193">
        <v>45</v>
      </c>
      <c r="D1193" s="3">
        <v>25.908560037612915</v>
      </c>
      <c r="E1193" s="3" t="s">
        <v>10</v>
      </c>
      <c r="F1193" s="3" t="s">
        <v>41</v>
      </c>
      <c r="G1193" s="3">
        <v>4.9000000000000004</v>
      </c>
    </row>
    <row r="1194" spans="1:7" x14ac:dyDescent="0.25">
      <c r="A1194" t="s">
        <v>3</v>
      </c>
      <c r="B1194">
        <v>1192</v>
      </c>
      <c r="C1194">
        <v>100</v>
      </c>
      <c r="D1194" s="2">
        <v>32.398695707321167</v>
      </c>
      <c r="E1194" s="2" t="s">
        <v>10</v>
      </c>
      <c r="F1194" s="2" t="s">
        <v>41</v>
      </c>
      <c r="G1194" s="2">
        <v>4.9000000000000004</v>
      </c>
    </row>
    <row r="1195" spans="1:7" x14ac:dyDescent="0.25">
      <c r="A1195" t="s">
        <v>3</v>
      </c>
      <c r="B1195">
        <v>1193</v>
      </c>
      <c r="C1195">
        <v>100</v>
      </c>
      <c r="D1195" s="3">
        <v>30.238448858261108</v>
      </c>
      <c r="E1195" s="3" t="s">
        <v>10</v>
      </c>
      <c r="F1195" s="3" t="s">
        <v>41</v>
      </c>
      <c r="G1195" s="3">
        <v>4.9000000000000004</v>
      </c>
    </row>
    <row r="1196" spans="1:7" x14ac:dyDescent="0.25">
      <c r="A1196" t="s">
        <v>3</v>
      </c>
      <c r="B1196">
        <v>1194</v>
      </c>
      <c r="C1196">
        <v>100</v>
      </c>
      <c r="D1196" s="2">
        <v>33.001920938491821</v>
      </c>
      <c r="E1196" s="2" t="s">
        <v>10</v>
      </c>
      <c r="F1196" s="2" t="s">
        <v>41</v>
      </c>
      <c r="G1196" s="2">
        <v>4.9000000000000004</v>
      </c>
    </row>
    <row r="1197" spans="1:7" x14ac:dyDescent="0.25">
      <c r="A1197" t="s">
        <v>3</v>
      </c>
      <c r="B1197">
        <v>1195</v>
      </c>
      <c r="C1197">
        <v>100</v>
      </c>
      <c r="D1197" s="3">
        <v>26.04508113861084</v>
      </c>
      <c r="E1197" s="3" t="s">
        <v>10</v>
      </c>
      <c r="F1197" s="3" t="s">
        <v>55</v>
      </c>
      <c r="G1197" s="3">
        <v>10</v>
      </c>
    </row>
    <row r="1198" spans="1:7" x14ac:dyDescent="0.25">
      <c r="A1198" t="s">
        <v>3</v>
      </c>
      <c r="B1198">
        <v>1196</v>
      </c>
      <c r="C1198">
        <v>20</v>
      </c>
      <c r="D1198" s="2">
        <v>20.183166265487671</v>
      </c>
      <c r="E1198" s="2" t="s">
        <v>10</v>
      </c>
      <c r="F1198" s="2" t="s">
        <v>41</v>
      </c>
      <c r="G1198" s="2">
        <v>6.8</v>
      </c>
    </row>
    <row r="1199" spans="1:7" x14ac:dyDescent="0.25">
      <c r="A1199" t="s">
        <v>3</v>
      </c>
      <c r="B1199">
        <v>1197</v>
      </c>
      <c r="C1199">
        <v>100</v>
      </c>
      <c r="D1199" s="3">
        <v>19.381241321563721</v>
      </c>
      <c r="E1199" s="3" t="s">
        <v>10</v>
      </c>
      <c r="F1199" s="3" t="s">
        <v>41</v>
      </c>
      <c r="G1199" s="3">
        <v>6.8</v>
      </c>
    </row>
    <row r="1200" spans="1:7" x14ac:dyDescent="0.25">
      <c r="A1200" t="s">
        <v>3</v>
      </c>
      <c r="B1200">
        <v>1198</v>
      </c>
      <c r="C1200">
        <v>0</v>
      </c>
      <c r="D1200" s="2">
        <v>23.939042329788208</v>
      </c>
      <c r="E1200" s="2" t="s">
        <v>10</v>
      </c>
      <c r="F1200" s="2" t="s">
        <v>41</v>
      </c>
      <c r="G1200" s="2">
        <v>6.8</v>
      </c>
    </row>
    <row r="1201" spans="1:7" x14ac:dyDescent="0.25">
      <c r="A1201" t="s">
        <v>3</v>
      </c>
      <c r="B1201">
        <v>1199</v>
      </c>
      <c r="C1201">
        <v>100</v>
      </c>
      <c r="D1201" s="3">
        <v>40.33639121055603</v>
      </c>
      <c r="E1201" s="3" t="s">
        <v>10</v>
      </c>
      <c r="F1201" s="3" t="s">
        <v>41</v>
      </c>
      <c r="G1201" s="3">
        <v>6.8</v>
      </c>
    </row>
    <row r="1202" spans="1:7" x14ac:dyDescent="0.25">
      <c r="A1202" t="s">
        <v>3</v>
      </c>
      <c r="B1202">
        <v>1200</v>
      </c>
      <c r="C1202">
        <v>100</v>
      </c>
      <c r="D1202" s="2">
        <v>23.953504323959351</v>
      </c>
      <c r="E1202" s="2" t="s">
        <v>10</v>
      </c>
      <c r="F1202" s="2" t="s">
        <v>41</v>
      </c>
      <c r="G1202" s="2">
        <v>6.8</v>
      </c>
    </row>
    <row r="1203" spans="1:7" x14ac:dyDescent="0.25">
      <c r="A1203" t="s">
        <v>3</v>
      </c>
      <c r="B1203">
        <v>1201</v>
      </c>
      <c r="C1203">
        <v>100</v>
      </c>
      <c r="D1203" s="3">
        <v>26.255293607711792</v>
      </c>
      <c r="E1203" s="3" t="s">
        <v>10</v>
      </c>
      <c r="F1203" s="3" t="s">
        <v>41</v>
      </c>
      <c r="G1203" s="3">
        <v>6.8</v>
      </c>
    </row>
    <row r="1204" spans="1:7" x14ac:dyDescent="0.25">
      <c r="A1204" t="s">
        <v>3</v>
      </c>
      <c r="B1204">
        <v>1202</v>
      </c>
      <c r="C1204">
        <v>100</v>
      </c>
      <c r="D1204" s="2">
        <v>18.159032344818115</v>
      </c>
      <c r="E1204" s="2" t="s">
        <v>10</v>
      </c>
      <c r="F1204" s="2" t="s">
        <v>41</v>
      </c>
      <c r="G1204" s="2">
        <v>6.8</v>
      </c>
    </row>
    <row r="1205" spans="1:7" x14ac:dyDescent="0.25">
      <c r="A1205" t="s">
        <v>3</v>
      </c>
      <c r="B1205">
        <v>1203</v>
      </c>
      <c r="C1205">
        <v>100</v>
      </c>
      <c r="D1205" s="3">
        <v>27.15318775177002</v>
      </c>
      <c r="E1205" s="3" t="s">
        <v>10</v>
      </c>
      <c r="F1205" s="3" t="s">
        <v>41</v>
      </c>
      <c r="G1205" s="3">
        <v>6.8</v>
      </c>
    </row>
    <row r="1206" spans="1:7" x14ac:dyDescent="0.25">
      <c r="A1206" t="s">
        <v>3</v>
      </c>
      <c r="B1206">
        <v>1204</v>
      </c>
      <c r="C1206">
        <v>100</v>
      </c>
      <c r="D1206" s="2">
        <v>33.406041145324707</v>
      </c>
      <c r="E1206" s="2" t="s">
        <v>10</v>
      </c>
      <c r="F1206" s="2" t="s">
        <v>41</v>
      </c>
      <c r="G1206" s="2">
        <v>6.8</v>
      </c>
    </row>
    <row r="1207" spans="1:7" x14ac:dyDescent="0.25">
      <c r="A1207" t="s">
        <v>3</v>
      </c>
      <c r="B1207">
        <v>1205</v>
      </c>
      <c r="C1207">
        <v>100</v>
      </c>
      <c r="D1207" s="3">
        <v>28.970129013061523</v>
      </c>
      <c r="E1207" s="3" t="s">
        <v>10</v>
      </c>
      <c r="F1207" s="3" t="s">
        <v>41</v>
      </c>
      <c r="G1207" s="3">
        <v>6.8</v>
      </c>
    </row>
    <row r="1208" spans="1:7" x14ac:dyDescent="0.25">
      <c r="A1208" t="s">
        <v>3</v>
      </c>
      <c r="B1208">
        <v>1206</v>
      </c>
      <c r="C1208">
        <v>100</v>
      </c>
      <c r="D1208" s="2">
        <v>18.678675651550293</v>
      </c>
      <c r="E1208" s="2" t="s">
        <v>10</v>
      </c>
      <c r="F1208" s="2" t="s">
        <v>41</v>
      </c>
      <c r="G1208" s="2">
        <v>6.8</v>
      </c>
    </row>
    <row r="1209" spans="1:7" x14ac:dyDescent="0.25">
      <c r="A1209" t="s">
        <v>3</v>
      </c>
      <c r="B1209">
        <v>1207</v>
      </c>
      <c r="C1209">
        <v>100</v>
      </c>
      <c r="D1209" s="3">
        <v>19.818607807159424</v>
      </c>
      <c r="E1209" s="3" t="s">
        <v>10</v>
      </c>
      <c r="F1209" s="3" t="s">
        <v>41</v>
      </c>
      <c r="G1209" s="3">
        <v>6.8</v>
      </c>
    </row>
    <row r="1210" spans="1:7" x14ac:dyDescent="0.25">
      <c r="A1210" t="s">
        <v>3</v>
      </c>
      <c r="B1210">
        <v>1208</v>
      </c>
      <c r="C1210">
        <v>30</v>
      </c>
      <c r="D1210" s="2">
        <v>34.965520620346069</v>
      </c>
      <c r="E1210" s="2" t="s">
        <v>10</v>
      </c>
      <c r="F1210" s="2" t="s">
        <v>46</v>
      </c>
      <c r="G1210" s="2">
        <v>4.9000000000000004</v>
      </c>
    </row>
    <row r="1211" spans="1:7" x14ac:dyDescent="0.25">
      <c r="A1211" t="s">
        <v>3</v>
      </c>
      <c r="B1211">
        <v>1209</v>
      </c>
      <c r="C1211">
        <v>100</v>
      </c>
      <c r="D1211" s="3">
        <v>19.079575300216675</v>
      </c>
      <c r="E1211" s="3" t="s">
        <v>10</v>
      </c>
      <c r="F1211" s="3" t="s">
        <v>46</v>
      </c>
      <c r="G1211" s="3">
        <v>4.9000000000000004</v>
      </c>
    </row>
    <row r="1212" spans="1:7" x14ac:dyDescent="0.25">
      <c r="A1212" t="s">
        <v>3</v>
      </c>
      <c r="B1212">
        <v>1210</v>
      </c>
      <c r="C1212">
        <v>100</v>
      </c>
      <c r="D1212" s="2">
        <v>22.382510423660278</v>
      </c>
      <c r="E1212" s="2" t="s">
        <v>10</v>
      </c>
      <c r="F1212" s="2" t="s">
        <v>46</v>
      </c>
      <c r="G1212" s="2">
        <v>4.9000000000000004</v>
      </c>
    </row>
    <row r="1213" spans="1:7" x14ac:dyDescent="0.25">
      <c r="A1213" t="s">
        <v>3</v>
      </c>
      <c r="B1213">
        <v>1211</v>
      </c>
      <c r="C1213">
        <v>100</v>
      </c>
      <c r="D1213" s="3">
        <v>32.017162561416626</v>
      </c>
      <c r="E1213" s="3" t="s">
        <v>10</v>
      </c>
      <c r="F1213" s="3" t="s">
        <v>46</v>
      </c>
      <c r="G1213" s="3">
        <v>4.9000000000000004</v>
      </c>
    </row>
    <row r="1214" spans="1:7" x14ac:dyDescent="0.25">
      <c r="A1214" t="s">
        <v>3</v>
      </c>
      <c r="B1214">
        <v>1212</v>
      </c>
      <c r="C1214">
        <v>100</v>
      </c>
      <c r="D1214" s="2">
        <v>26.398758888244629</v>
      </c>
      <c r="E1214" s="2" t="s">
        <v>10</v>
      </c>
      <c r="F1214" s="2" t="s">
        <v>46</v>
      </c>
      <c r="G1214" s="2">
        <v>4.9000000000000004</v>
      </c>
    </row>
    <row r="1215" spans="1:7" x14ac:dyDescent="0.25">
      <c r="A1215" t="s">
        <v>3</v>
      </c>
      <c r="B1215">
        <v>1213</v>
      </c>
      <c r="C1215">
        <v>100</v>
      </c>
      <c r="D1215" s="3">
        <v>20.227842569351196</v>
      </c>
      <c r="E1215" s="3" t="s">
        <v>10</v>
      </c>
      <c r="F1215" s="3" t="s">
        <v>46</v>
      </c>
      <c r="G1215" s="3">
        <v>4.9000000000000004</v>
      </c>
    </row>
    <row r="1216" spans="1:7" x14ac:dyDescent="0.25">
      <c r="A1216" t="s">
        <v>3</v>
      </c>
      <c r="B1216">
        <v>1214</v>
      </c>
      <c r="C1216">
        <v>100</v>
      </c>
      <c r="D1216" s="2">
        <v>40.649019479751587</v>
      </c>
      <c r="E1216" s="2" t="s">
        <v>10</v>
      </c>
      <c r="F1216" s="2" t="s">
        <v>46</v>
      </c>
      <c r="G1216" s="2">
        <v>4.9000000000000004</v>
      </c>
    </row>
    <row r="1217" spans="1:7" x14ac:dyDescent="0.25">
      <c r="A1217" t="s">
        <v>3</v>
      </c>
      <c r="B1217">
        <v>1215</v>
      </c>
      <c r="C1217">
        <v>0</v>
      </c>
      <c r="D1217" s="3">
        <v>34.870575666427612</v>
      </c>
      <c r="E1217" s="3" t="s">
        <v>10</v>
      </c>
      <c r="F1217" s="3" t="s">
        <v>46</v>
      </c>
      <c r="G1217" s="3">
        <v>4.9000000000000004</v>
      </c>
    </row>
    <row r="1218" spans="1:7" x14ac:dyDescent="0.25">
      <c r="A1218" t="s">
        <v>3</v>
      </c>
      <c r="B1218">
        <v>1216</v>
      </c>
      <c r="C1218">
        <v>100</v>
      </c>
      <c r="D1218" s="2">
        <v>25.166070222854614</v>
      </c>
      <c r="E1218" s="2" t="s">
        <v>10</v>
      </c>
      <c r="F1218" s="2" t="s">
        <v>46</v>
      </c>
      <c r="G1218" s="2">
        <v>4.9000000000000004</v>
      </c>
    </row>
    <row r="1219" spans="1:7" x14ac:dyDescent="0.25">
      <c r="A1219" t="s">
        <v>3</v>
      </c>
      <c r="B1219">
        <v>1217</v>
      </c>
      <c r="C1219">
        <v>0</v>
      </c>
      <c r="D1219" s="3">
        <v>17.357481241226196</v>
      </c>
      <c r="E1219" s="3" t="s">
        <v>10</v>
      </c>
      <c r="F1219" s="3" t="s">
        <v>46</v>
      </c>
      <c r="G1219" s="3">
        <v>4.9000000000000004</v>
      </c>
    </row>
    <row r="1220" spans="1:7" x14ac:dyDescent="0.25">
      <c r="A1220" t="s">
        <v>3</v>
      </c>
      <c r="B1220">
        <v>1218</v>
      </c>
      <c r="C1220">
        <v>0</v>
      </c>
      <c r="D1220" s="2">
        <v>32.010691404342651</v>
      </c>
      <c r="E1220" s="2" t="s">
        <v>10</v>
      </c>
      <c r="F1220" s="2" t="s">
        <v>46</v>
      </c>
      <c r="G1220" s="2">
        <v>4.9000000000000004</v>
      </c>
    </row>
    <row r="1221" spans="1:7" x14ac:dyDescent="0.25">
      <c r="A1221" t="s">
        <v>3</v>
      </c>
      <c r="B1221">
        <v>1219</v>
      </c>
      <c r="C1221">
        <v>100</v>
      </c>
      <c r="D1221" s="3">
        <v>21.568139553070068</v>
      </c>
      <c r="E1221" s="3" t="s">
        <v>10</v>
      </c>
      <c r="F1221" s="3" t="s">
        <v>46</v>
      </c>
      <c r="G1221" s="3">
        <v>4.9000000000000004</v>
      </c>
    </row>
    <row r="1222" spans="1:7" x14ac:dyDescent="0.25">
      <c r="A1222" t="s">
        <v>3</v>
      </c>
      <c r="B1222">
        <v>1220</v>
      </c>
      <c r="C1222">
        <v>0</v>
      </c>
      <c r="D1222" s="2">
        <v>32.284232139587402</v>
      </c>
      <c r="E1222" s="2" t="s">
        <v>10</v>
      </c>
      <c r="F1222" s="2" t="s">
        <v>46</v>
      </c>
      <c r="G1222" s="2">
        <v>4.9000000000000004</v>
      </c>
    </row>
    <row r="1223" spans="1:7" x14ac:dyDescent="0.25">
      <c r="A1223" t="s">
        <v>3</v>
      </c>
      <c r="B1223">
        <v>1221</v>
      </c>
      <c r="C1223">
        <v>30</v>
      </c>
      <c r="D1223" s="3">
        <v>12.896436452865601</v>
      </c>
      <c r="E1223" s="3" t="s">
        <v>10</v>
      </c>
      <c r="F1223" s="3" t="s">
        <v>46</v>
      </c>
      <c r="G1223" s="3">
        <v>4.9000000000000004</v>
      </c>
    </row>
    <row r="1224" spans="1:7" x14ac:dyDescent="0.25">
      <c r="A1224" t="s">
        <v>3</v>
      </c>
      <c r="B1224">
        <v>1222</v>
      </c>
      <c r="C1224">
        <v>0</v>
      </c>
      <c r="D1224" s="2">
        <v>29.146582126617432</v>
      </c>
      <c r="E1224" s="2" t="s">
        <v>10</v>
      </c>
      <c r="F1224" s="2" t="s">
        <v>46</v>
      </c>
      <c r="G1224" s="2">
        <v>4.9000000000000004</v>
      </c>
    </row>
    <row r="1225" spans="1:7" x14ac:dyDescent="0.25">
      <c r="A1225" t="s">
        <v>3</v>
      </c>
      <c r="B1225">
        <v>1223</v>
      </c>
      <c r="C1225">
        <v>100</v>
      </c>
      <c r="D1225" s="3">
        <v>35.460884094238281</v>
      </c>
      <c r="E1225" s="3" t="s">
        <v>10</v>
      </c>
      <c r="F1225" s="3" t="s">
        <v>46</v>
      </c>
      <c r="G1225" s="3">
        <v>4.9000000000000004</v>
      </c>
    </row>
    <row r="1226" spans="1:7" x14ac:dyDescent="0.25">
      <c r="A1226" t="s">
        <v>3</v>
      </c>
      <c r="B1226">
        <v>1224</v>
      </c>
      <c r="C1226">
        <v>100</v>
      </c>
      <c r="D1226" s="2">
        <v>30.571580171585083</v>
      </c>
      <c r="E1226" s="2" t="s">
        <v>10</v>
      </c>
      <c r="F1226" s="2" t="s">
        <v>46</v>
      </c>
      <c r="G1226" s="2">
        <v>4.9000000000000004</v>
      </c>
    </row>
    <row r="1227" spans="1:7" x14ac:dyDescent="0.25">
      <c r="A1227" t="s">
        <v>3</v>
      </c>
      <c r="B1227">
        <v>1225</v>
      </c>
      <c r="C1227">
        <v>100</v>
      </c>
      <c r="D1227" s="3">
        <v>32.511219024658203</v>
      </c>
      <c r="E1227" s="3" t="s">
        <v>10</v>
      </c>
      <c r="F1227" s="3" t="s">
        <v>46</v>
      </c>
      <c r="G1227" s="3">
        <v>4.9000000000000004</v>
      </c>
    </row>
    <row r="1228" spans="1:7" x14ac:dyDescent="0.25">
      <c r="A1228" t="s">
        <v>3</v>
      </c>
      <c r="B1228">
        <v>1226</v>
      </c>
      <c r="C1228">
        <v>100</v>
      </c>
      <c r="D1228" s="2">
        <v>38.46185827255249</v>
      </c>
      <c r="E1228" s="2" t="s">
        <v>10</v>
      </c>
      <c r="F1228" s="2" t="s">
        <v>46</v>
      </c>
      <c r="G1228" s="2">
        <v>4.9000000000000004</v>
      </c>
    </row>
    <row r="1229" spans="1:7" x14ac:dyDescent="0.25">
      <c r="A1229" t="s">
        <v>3</v>
      </c>
      <c r="B1229">
        <v>1227</v>
      </c>
      <c r="C1229">
        <v>100</v>
      </c>
      <c r="D1229" s="3">
        <v>40.329386234283447</v>
      </c>
      <c r="E1229" s="3" t="s">
        <v>10</v>
      </c>
      <c r="F1229" s="3" t="s">
        <v>46</v>
      </c>
      <c r="G1229" s="3">
        <v>4.9000000000000004</v>
      </c>
    </row>
    <row r="1230" spans="1:7" x14ac:dyDescent="0.25">
      <c r="A1230" t="s">
        <v>3</v>
      </c>
      <c r="B1230">
        <v>1228</v>
      </c>
      <c r="C1230">
        <v>100</v>
      </c>
      <c r="D1230" s="2">
        <v>28.717632055282593</v>
      </c>
      <c r="E1230" s="2" t="s">
        <v>10</v>
      </c>
      <c r="F1230" s="2" t="s">
        <v>46</v>
      </c>
      <c r="G1230" s="2">
        <v>4.9000000000000004</v>
      </c>
    </row>
    <row r="1231" spans="1:7" x14ac:dyDescent="0.25">
      <c r="A1231" t="s">
        <v>3</v>
      </c>
      <c r="B1231">
        <v>1229</v>
      </c>
      <c r="C1231">
        <v>100</v>
      </c>
      <c r="D1231" s="3">
        <v>24.302827119827271</v>
      </c>
      <c r="E1231" s="3" t="s">
        <v>10</v>
      </c>
      <c r="F1231" s="3" t="s">
        <v>46</v>
      </c>
      <c r="G1231" s="3">
        <v>4.9000000000000004</v>
      </c>
    </row>
    <row r="1232" spans="1:7" x14ac:dyDescent="0.25">
      <c r="A1232" t="s">
        <v>3</v>
      </c>
      <c r="B1232">
        <v>1230</v>
      </c>
      <c r="C1232">
        <v>100</v>
      </c>
      <c r="D1232" s="2">
        <v>33.484383344650269</v>
      </c>
      <c r="E1232" s="2" t="s">
        <v>10</v>
      </c>
      <c r="F1232" s="2" t="s">
        <v>46</v>
      </c>
      <c r="G1232" s="2">
        <v>4.9000000000000004</v>
      </c>
    </row>
    <row r="1233" spans="1:7" x14ac:dyDescent="0.25">
      <c r="A1233" t="s">
        <v>3</v>
      </c>
      <c r="B1233">
        <v>1231</v>
      </c>
      <c r="C1233">
        <v>100</v>
      </c>
      <c r="D1233" s="3">
        <v>20.159552812576294</v>
      </c>
      <c r="E1233" s="3" t="s">
        <v>10</v>
      </c>
      <c r="F1233" s="3" t="s">
        <v>46</v>
      </c>
      <c r="G1233" s="3">
        <v>4.9000000000000004</v>
      </c>
    </row>
    <row r="1234" spans="1:7" x14ac:dyDescent="0.25">
      <c r="A1234" t="s">
        <v>3</v>
      </c>
      <c r="B1234">
        <v>1232</v>
      </c>
      <c r="C1234">
        <v>100</v>
      </c>
      <c r="D1234" s="2">
        <v>27.36612606048584</v>
      </c>
      <c r="E1234" s="2" t="s">
        <v>10</v>
      </c>
      <c r="F1234" s="2" t="s">
        <v>46</v>
      </c>
      <c r="G1234" s="2">
        <v>4.9000000000000004</v>
      </c>
    </row>
    <row r="1235" spans="1:7" x14ac:dyDescent="0.25">
      <c r="A1235" t="s">
        <v>3</v>
      </c>
      <c r="B1235">
        <v>1233</v>
      </c>
      <c r="C1235">
        <v>100</v>
      </c>
      <c r="D1235" s="3">
        <v>39.533299207687378</v>
      </c>
      <c r="E1235" s="3" t="s">
        <v>10</v>
      </c>
      <c r="F1235" s="3" t="s">
        <v>46</v>
      </c>
      <c r="G1235" s="3">
        <v>4.9000000000000004</v>
      </c>
    </row>
    <row r="1236" spans="1:7" x14ac:dyDescent="0.25">
      <c r="A1236" t="s">
        <v>3</v>
      </c>
      <c r="B1236">
        <v>1234</v>
      </c>
      <c r="C1236">
        <v>100</v>
      </c>
      <c r="D1236" s="2">
        <v>62.307569980621338</v>
      </c>
      <c r="E1236" s="2" t="s">
        <v>10</v>
      </c>
      <c r="F1236" s="2" t="s">
        <v>46</v>
      </c>
      <c r="G1236" s="2">
        <v>4.9000000000000004</v>
      </c>
    </row>
    <row r="1237" spans="1:7" x14ac:dyDescent="0.25">
      <c r="A1237" t="s">
        <v>3</v>
      </c>
      <c r="B1237">
        <v>1235</v>
      </c>
      <c r="C1237">
        <v>100</v>
      </c>
      <c r="D1237" s="3">
        <v>31.666798830032349</v>
      </c>
      <c r="E1237" s="3" t="s">
        <v>10</v>
      </c>
      <c r="F1237" s="3" t="s">
        <v>46</v>
      </c>
      <c r="G1237" s="3">
        <v>4.9000000000000004</v>
      </c>
    </row>
    <row r="1238" spans="1:7" x14ac:dyDescent="0.25">
      <c r="A1238" t="s">
        <v>3</v>
      </c>
      <c r="B1238">
        <v>1236</v>
      </c>
      <c r="C1238">
        <v>100</v>
      </c>
      <c r="D1238" s="2">
        <v>33.503592967987061</v>
      </c>
      <c r="E1238" s="2" t="s">
        <v>10</v>
      </c>
      <c r="F1238" s="2" t="s">
        <v>46</v>
      </c>
      <c r="G1238" s="2">
        <v>4.9000000000000004</v>
      </c>
    </row>
    <row r="1239" spans="1:7" x14ac:dyDescent="0.25">
      <c r="A1239" t="s">
        <v>3</v>
      </c>
      <c r="B1239">
        <v>1237</v>
      </c>
      <c r="C1239">
        <v>100</v>
      </c>
      <c r="D1239" s="3">
        <v>23.362285375595093</v>
      </c>
      <c r="E1239" s="3" t="s">
        <v>10</v>
      </c>
      <c r="F1239" s="3" t="s">
        <v>46</v>
      </c>
      <c r="G1239" s="3">
        <v>4.9000000000000004</v>
      </c>
    </row>
    <row r="1240" spans="1:7" x14ac:dyDescent="0.25">
      <c r="A1240" t="s">
        <v>3</v>
      </c>
      <c r="B1240">
        <v>1238</v>
      </c>
      <c r="C1240">
        <v>100</v>
      </c>
      <c r="D1240" s="2">
        <v>25.554649591445923</v>
      </c>
      <c r="E1240" s="2" t="s">
        <v>10</v>
      </c>
      <c r="F1240" s="2" t="s">
        <v>46</v>
      </c>
      <c r="G1240" s="2">
        <v>4.9000000000000004</v>
      </c>
    </row>
    <row r="1241" spans="1:7" x14ac:dyDescent="0.25">
      <c r="A1241" t="s">
        <v>3</v>
      </c>
      <c r="B1241">
        <v>1239</v>
      </c>
      <c r="C1241">
        <v>100</v>
      </c>
      <c r="D1241" s="3">
        <v>25.199265718460083</v>
      </c>
      <c r="E1241" s="3" t="s">
        <v>10</v>
      </c>
      <c r="F1241" s="3" t="s">
        <v>46</v>
      </c>
      <c r="G1241" s="3">
        <v>4.9000000000000004</v>
      </c>
    </row>
    <row r="1242" spans="1:7" x14ac:dyDescent="0.25">
      <c r="A1242" t="s">
        <v>3</v>
      </c>
      <c r="B1242">
        <v>1240</v>
      </c>
      <c r="C1242">
        <v>100</v>
      </c>
      <c r="D1242" s="2">
        <v>31.59406304359436</v>
      </c>
      <c r="E1242" s="2" t="s">
        <v>10</v>
      </c>
      <c r="F1242" s="2" t="s">
        <v>46</v>
      </c>
      <c r="G1242" s="2">
        <v>4.9000000000000004</v>
      </c>
    </row>
    <row r="1243" spans="1:7" x14ac:dyDescent="0.25">
      <c r="A1243" t="s">
        <v>3</v>
      </c>
      <c r="B1243">
        <v>1241</v>
      </c>
      <c r="C1243">
        <v>100</v>
      </c>
      <c r="D1243" s="3">
        <v>38.405426979064941</v>
      </c>
      <c r="E1243" s="3" t="s">
        <v>10</v>
      </c>
      <c r="F1243" s="3" t="s">
        <v>46</v>
      </c>
      <c r="G1243" s="3">
        <v>4.9000000000000004</v>
      </c>
    </row>
    <row r="1244" spans="1:7" x14ac:dyDescent="0.25">
      <c r="A1244" t="s">
        <v>3</v>
      </c>
      <c r="B1244">
        <v>1242</v>
      </c>
      <c r="C1244">
        <v>100</v>
      </c>
      <c r="D1244" s="2">
        <v>32.109931707382202</v>
      </c>
      <c r="E1244" s="2" t="s">
        <v>10</v>
      </c>
      <c r="F1244" s="2" t="s">
        <v>46</v>
      </c>
      <c r="G1244" s="2">
        <v>4.9000000000000004</v>
      </c>
    </row>
    <row r="1245" spans="1:7" x14ac:dyDescent="0.25">
      <c r="A1245" t="s">
        <v>3</v>
      </c>
      <c r="B1245">
        <v>1243</v>
      </c>
      <c r="C1245">
        <v>100</v>
      </c>
      <c r="D1245" s="3">
        <v>35.477577447891235</v>
      </c>
      <c r="E1245" s="3" t="s">
        <v>10</v>
      </c>
      <c r="F1245" s="3" t="s">
        <v>46</v>
      </c>
      <c r="G1245" s="3">
        <v>4.9000000000000004</v>
      </c>
    </row>
    <row r="1246" spans="1:7" x14ac:dyDescent="0.25">
      <c r="A1246" t="s">
        <v>3</v>
      </c>
      <c r="B1246">
        <v>1244</v>
      </c>
      <c r="C1246">
        <v>100</v>
      </c>
      <c r="D1246" s="2">
        <v>33.501798391342163</v>
      </c>
      <c r="E1246" s="2" t="s">
        <v>10</v>
      </c>
      <c r="F1246" s="2" t="s">
        <v>46</v>
      </c>
      <c r="G1246" s="2">
        <v>4.9000000000000004</v>
      </c>
    </row>
    <row r="1247" spans="1:7" x14ac:dyDescent="0.25">
      <c r="A1247" t="s">
        <v>3</v>
      </c>
      <c r="B1247">
        <v>1245</v>
      </c>
      <c r="C1247">
        <v>100</v>
      </c>
      <c r="D1247" s="3">
        <v>29.359908103942871</v>
      </c>
      <c r="E1247" s="3" t="s">
        <v>10</v>
      </c>
      <c r="F1247" s="3" t="s">
        <v>46</v>
      </c>
      <c r="G1247" s="3">
        <v>4.9000000000000004</v>
      </c>
    </row>
    <row r="1248" spans="1:7" x14ac:dyDescent="0.25">
      <c r="A1248" t="s">
        <v>3</v>
      </c>
      <c r="B1248">
        <v>1246</v>
      </c>
      <c r="C1248">
        <v>0</v>
      </c>
      <c r="D1248" s="2">
        <v>29.275032520294189</v>
      </c>
      <c r="E1248" s="2" t="s">
        <v>10</v>
      </c>
      <c r="F1248" s="2" t="s">
        <v>46</v>
      </c>
      <c r="G1248" s="2">
        <v>4.9000000000000004</v>
      </c>
    </row>
    <row r="1249" spans="1:7" x14ac:dyDescent="0.25">
      <c r="A1249" t="s">
        <v>3</v>
      </c>
      <c r="B1249">
        <v>1247</v>
      </c>
      <c r="C1249">
        <v>100</v>
      </c>
      <c r="D1249" s="3">
        <v>40.163143873214722</v>
      </c>
      <c r="E1249" s="3" t="s">
        <v>10</v>
      </c>
      <c r="F1249" s="3" t="s">
        <v>46</v>
      </c>
      <c r="G1249" s="3">
        <v>4.9000000000000004</v>
      </c>
    </row>
    <row r="1250" spans="1:7" x14ac:dyDescent="0.25">
      <c r="A1250" t="s">
        <v>3</v>
      </c>
      <c r="B1250">
        <v>1248</v>
      </c>
      <c r="C1250">
        <v>0</v>
      </c>
      <c r="D1250" s="2">
        <v>42.251026391983032</v>
      </c>
      <c r="E1250" s="2" t="s">
        <v>10</v>
      </c>
      <c r="F1250" s="2" t="s">
        <v>46</v>
      </c>
      <c r="G1250" s="2">
        <v>4.9000000000000004</v>
      </c>
    </row>
    <row r="1251" spans="1:7" x14ac:dyDescent="0.25">
      <c r="A1251" t="s">
        <v>3</v>
      </c>
      <c r="B1251">
        <v>1249</v>
      </c>
      <c r="C1251">
        <v>0</v>
      </c>
      <c r="D1251" s="3">
        <v>613.78757309913635</v>
      </c>
      <c r="E1251" s="3" t="s">
        <v>10</v>
      </c>
      <c r="F1251" s="3" t="s">
        <v>46</v>
      </c>
      <c r="G1251" s="3">
        <v>4.9000000000000004</v>
      </c>
    </row>
    <row r="1252" spans="1:7" x14ac:dyDescent="0.25">
      <c r="A1252" t="s">
        <v>3</v>
      </c>
      <c r="B1252">
        <v>1250</v>
      </c>
      <c r="C1252">
        <v>0</v>
      </c>
      <c r="D1252" s="2">
        <v>34.218959093093872</v>
      </c>
      <c r="E1252" s="2" t="s">
        <v>10</v>
      </c>
      <c r="F1252" s="2" t="s">
        <v>46</v>
      </c>
      <c r="G1252" s="2">
        <v>4.9000000000000004</v>
      </c>
    </row>
    <row r="1253" spans="1:7" x14ac:dyDescent="0.25">
      <c r="A1253" t="s">
        <v>3</v>
      </c>
      <c r="B1253">
        <v>1251</v>
      </c>
      <c r="C1253">
        <v>1</v>
      </c>
      <c r="D1253" s="3">
        <v>13.771909713745117</v>
      </c>
      <c r="E1253" s="3" t="s">
        <v>10</v>
      </c>
      <c r="F1253" s="3" t="s">
        <v>46</v>
      </c>
      <c r="G1253" s="3">
        <v>4.9000000000000004</v>
      </c>
    </row>
    <row r="1254" spans="1:7" x14ac:dyDescent="0.25">
      <c r="A1254" t="s">
        <v>3</v>
      </c>
      <c r="B1254">
        <v>1252</v>
      </c>
      <c r="C1254">
        <v>100</v>
      </c>
      <c r="D1254" s="2">
        <v>37.732792377471924</v>
      </c>
      <c r="E1254" s="2" t="s">
        <v>10</v>
      </c>
      <c r="F1254" s="2" t="s">
        <v>46</v>
      </c>
      <c r="G1254" s="2">
        <v>4.9000000000000004</v>
      </c>
    </row>
    <row r="1255" spans="1:7" x14ac:dyDescent="0.25">
      <c r="A1255" t="s">
        <v>3</v>
      </c>
      <c r="B1255">
        <v>1253</v>
      </c>
      <c r="C1255">
        <v>100</v>
      </c>
      <c r="D1255" s="3">
        <v>40.406275272369385</v>
      </c>
      <c r="E1255" s="3" t="s">
        <v>10</v>
      </c>
      <c r="F1255" s="3" t="s">
        <v>46</v>
      </c>
      <c r="G1255" s="3">
        <v>4.9000000000000004</v>
      </c>
    </row>
    <row r="1256" spans="1:7" x14ac:dyDescent="0.25">
      <c r="A1256" t="s">
        <v>3</v>
      </c>
      <c r="B1256">
        <v>1254</v>
      </c>
      <c r="C1256">
        <v>0</v>
      </c>
      <c r="D1256" s="2">
        <v>38.741229772567749</v>
      </c>
      <c r="E1256" s="2" t="s">
        <v>10</v>
      </c>
      <c r="F1256" s="2" t="s">
        <v>46</v>
      </c>
      <c r="G1256" s="2">
        <v>4.9000000000000004</v>
      </c>
    </row>
    <row r="1257" spans="1:7" x14ac:dyDescent="0.25">
      <c r="A1257" t="s">
        <v>3</v>
      </c>
      <c r="B1257">
        <v>1255</v>
      </c>
      <c r="C1257">
        <v>0</v>
      </c>
      <c r="D1257" s="3">
        <v>39.978706121444702</v>
      </c>
      <c r="E1257" s="3" t="s">
        <v>10</v>
      </c>
      <c r="F1257" s="3" t="s">
        <v>46</v>
      </c>
      <c r="G1257" s="3">
        <v>4.9000000000000004</v>
      </c>
    </row>
    <row r="1258" spans="1:7" x14ac:dyDescent="0.25">
      <c r="A1258" t="s">
        <v>3</v>
      </c>
      <c r="B1258">
        <v>1256</v>
      </c>
      <c r="C1258">
        <v>0</v>
      </c>
      <c r="D1258" s="2">
        <v>33.41310977935791</v>
      </c>
      <c r="E1258" s="2" t="s">
        <v>10</v>
      </c>
      <c r="F1258" s="2" t="s">
        <v>46</v>
      </c>
      <c r="G1258" s="2">
        <v>4.9000000000000004</v>
      </c>
    </row>
    <row r="1259" spans="1:7" x14ac:dyDescent="0.25">
      <c r="A1259" t="s">
        <v>3</v>
      </c>
      <c r="B1259">
        <v>1257</v>
      </c>
      <c r="C1259">
        <v>100</v>
      </c>
      <c r="D1259" s="3">
        <v>36.63291072845459</v>
      </c>
      <c r="E1259" s="3" t="s">
        <v>10</v>
      </c>
      <c r="F1259" s="3" t="s">
        <v>46</v>
      </c>
      <c r="G1259" s="3">
        <v>4.9000000000000004</v>
      </c>
    </row>
    <row r="1260" spans="1:7" x14ac:dyDescent="0.25">
      <c r="A1260" t="s">
        <v>3</v>
      </c>
      <c r="B1260">
        <v>1258</v>
      </c>
      <c r="C1260">
        <v>100</v>
      </c>
      <c r="D1260" s="2">
        <v>39.549124956130981</v>
      </c>
      <c r="E1260" s="2" t="s">
        <v>10</v>
      </c>
      <c r="F1260" s="2" t="s">
        <v>46</v>
      </c>
      <c r="G1260" s="2">
        <v>4.9000000000000004</v>
      </c>
    </row>
    <row r="1261" spans="1:7" x14ac:dyDescent="0.25">
      <c r="A1261" t="s">
        <v>3</v>
      </c>
      <c r="B1261">
        <v>1259</v>
      </c>
      <c r="C1261">
        <v>100</v>
      </c>
      <c r="D1261" s="3">
        <v>27.395514011383057</v>
      </c>
      <c r="E1261" s="3" t="s">
        <v>10</v>
      </c>
      <c r="F1261" s="3" t="s">
        <v>46</v>
      </c>
      <c r="G1261" s="3">
        <v>4.9000000000000004</v>
      </c>
    </row>
    <row r="1262" spans="1:7" x14ac:dyDescent="0.25">
      <c r="A1262" t="s">
        <v>3</v>
      </c>
      <c r="B1262">
        <v>1260</v>
      </c>
      <c r="C1262">
        <v>100</v>
      </c>
      <c r="D1262" s="2">
        <v>27.577152252197266</v>
      </c>
      <c r="E1262" s="2" t="s">
        <v>10</v>
      </c>
      <c r="F1262" s="2" t="s">
        <v>46</v>
      </c>
      <c r="G1262" s="2">
        <v>4.9000000000000004</v>
      </c>
    </row>
    <row r="1263" spans="1:7" x14ac:dyDescent="0.25">
      <c r="A1263" t="s">
        <v>3</v>
      </c>
      <c r="B1263">
        <v>1261</v>
      </c>
      <c r="C1263">
        <v>70</v>
      </c>
      <c r="D1263" s="3">
        <v>28.59381628036499</v>
      </c>
      <c r="E1263" s="3" t="s">
        <v>10</v>
      </c>
      <c r="F1263" s="3" t="s">
        <v>46</v>
      </c>
      <c r="G1263" s="3">
        <v>4.9000000000000004</v>
      </c>
    </row>
    <row r="1264" spans="1:7" x14ac:dyDescent="0.25">
      <c r="A1264" t="s">
        <v>3</v>
      </c>
      <c r="B1264">
        <v>1262</v>
      </c>
      <c r="C1264">
        <v>0</v>
      </c>
      <c r="D1264" s="2">
        <v>31.064034223556519</v>
      </c>
      <c r="E1264" s="2" t="s">
        <v>10</v>
      </c>
      <c r="F1264" s="2" t="s">
        <v>46</v>
      </c>
      <c r="G1264" s="2">
        <v>4.9000000000000004</v>
      </c>
    </row>
    <row r="1265" spans="1:7" x14ac:dyDescent="0.25">
      <c r="A1265" t="s">
        <v>3</v>
      </c>
      <c r="B1265">
        <v>1263</v>
      </c>
      <c r="C1265">
        <v>100</v>
      </c>
      <c r="D1265" s="3">
        <v>28.660241603851318</v>
      </c>
      <c r="E1265" s="3" t="s">
        <v>10</v>
      </c>
      <c r="F1265" s="3" t="s">
        <v>46</v>
      </c>
      <c r="G1265" s="3">
        <v>4.9000000000000004</v>
      </c>
    </row>
    <row r="1266" spans="1:7" x14ac:dyDescent="0.25">
      <c r="A1266" t="s">
        <v>3</v>
      </c>
      <c r="B1266">
        <v>1264</v>
      </c>
      <c r="C1266">
        <v>100</v>
      </c>
      <c r="D1266" s="2">
        <v>27.831004858016968</v>
      </c>
      <c r="E1266" s="2" t="s">
        <v>10</v>
      </c>
      <c r="F1266" s="2" t="s">
        <v>46</v>
      </c>
      <c r="G1266" s="2">
        <v>4.9000000000000004</v>
      </c>
    </row>
    <row r="1267" spans="1:7" x14ac:dyDescent="0.25">
      <c r="A1267" t="s">
        <v>3</v>
      </c>
      <c r="B1267">
        <v>1265</v>
      </c>
      <c r="C1267">
        <v>100</v>
      </c>
      <c r="D1267" s="3">
        <v>25.113110780715942</v>
      </c>
      <c r="E1267" s="3" t="s">
        <v>10</v>
      </c>
      <c r="F1267" s="3" t="s">
        <v>46</v>
      </c>
      <c r="G1267" s="3">
        <v>4.9000000000000004</v>
      </c>
    </row>
    <row r="1268" spans="1:7" x14ac:dyDescent="0.25">
      <c r="A1268" t="s">
        <v>3</v>
      </c>
      <c r="B1268">
        <v>1266</v>
      </c>
      <c r="C1268">
        <v>100</v>
      </c>
      <c r="D1268" s="2">
        <v>46.184104204177856</v>
      </c>
      <c r="E1268" s="2" t="s">
        <v>10</v>
      </c>
      <c r="F1268" s="2" t="s">
        <v>46</v>
      </c>
      <c r="G1268" s="2">
        <v>4.9000000000000004</v>
      </c>
    </row>
    <row r="1269" spans="1:7" x14ac:dyDescent="0.25">
      <c r="A1269" t="s">
        <v>3</v>
      </c>
      <c r="B1269">
        <v>1267</v>
      </c>
      <c r="C1269">
        <v>100</v>
      </c>
      <c r="D1269" s="3">
        <v>33.730820655822754</v>
      </c>
      <c r="E1269" s="3" t="s">
        <v>10</v>
      </c>
      <c r="F1269" s="3" t="s">
        <v>46</v>
      </c>
      <c r="G1269" s="3">
        <v>4.9000000000000004</v>
      </c>
    </row>
    <row r="1270" spans="1:7" x14ac:dyDescent="0.25">
      <c r="A1270" t="s">
        <v>3</v>
      </c>
      <c r="B1270">
        <v>1268</v>
      </c>
      <c r="C1270">
        <v>100</v>
      </c>
      <c r="D1270" s="2">
        <v>26.937715768814087</v>
      </c>
      <c r="E1270" s="2" t="s">
        <v>10</v>
      </c>
      <c r="F1270" s="2" t="s">
        <v>46</v>
      </c>
      <c r="G1270" s="2">
        <v>4.9000000000000004</v>
      </c>
    </row>
    <row r="1271" spans="1:7" x14ac:dyDescent="0.25">
      <c r="A1271" t="s">
        <v>3</v>
      </c>
      <c r="B1271">
        <v>1269</v>
      </c>
      <c r="C1271">
        <v>100</v>
      </c>
      <c r="D1271" s="3">
        <v>19.708191871643066</v>
      </c>
      <c r="E1271" s="3" t="s">
        <v>10</v>
      </c>
      <c r="F1271" s="3" t="s">
        <v>46</v>
      </c>
      <c r="G1271" s="3">
        <v>4.9000000000000004</v>
      </c>
    </row>
    <row r="1272" spans="1:7" x14ac:dyDescent="0.25">
      <c r="A1272" t="s">
        <v>3</v>
      </c>
      <c r="B1272">
        <v>1270</v>
      </c>
      <c r="C1272">
        <v>100</v>
      </c>
      <c r="D1272" s="2">
        <v>29.665772438049316</v>
      </c>
      <c r="E1272" s="2" t="s">
        <v>10</v>
      </c>
      <c r="F1272" s="2" t="s">
        <v>46</v>
      </c>
      <c r="G1272" s="2">
        <v>4.9000000000000004</v>
      </c>
    </row>
    <row r="1273" spans="1:7" x14ac:dyDescent="0.25">
      <c r="A1273" t="s">
        <v>3</v>
      </c>
      <c r="B1273">
        <v>1271</v>
      </c>
      <c r="C1273">
        <v>15</v>
      </c>
      <c r="D1273" s="3">
        <v>24.059390783309937</v>
      </c>
      <c r="E1273" s="3" t="s">
        <v>10</v>
      </c>
      <c r="F1273" s="3" t="s">
        <v>46</v>
      </c>
      <c r="G1273" s="3">
        <v>4.9000000000000004</v>
      </c>
    </row>
    <row r="1274" spans="1:7" x14ac:dyDescent="0.25">
      <c r="A1274" t="s">
        <v>3</v>
      </c>
      <c r="B1274">
        <v>1272</v>
      </c>
      <c r="C1274">
        <v>0</v>
      </c>
      <c r="D1274" s="2">
        <v>33.945524454116821</v>
      </c>
      <c r="E1274" s="2" t="s">
        <v>10</v>
      </c>
      <c r="F1274" s="2" t="s">
        <v>46</v>
      </c>
      <c r="G1274" s="2">
        <v>4.9000000000000004</v>
      </c>
    </row>
    <row r="1275" spans="1:7" x14ac:dyDescent="0.25">
      <c r="A1275" t="s">
        <v>3</v>
      </c>
      <c r="B1275">
        <v>1273</v>
      </c>
      <c r="C1275">
        <v>100</v>
      </c>
      <c r="D1275" s="3">
        <v>32.302802562713623</v>
      </c>
      <c r="E1275" s="3" t="s">
        <v>10</v>
      </c>
      <c r="F1275" s="3" t="s">
        <v>46</v>
      </c>
      <c r="G1275" s="3">
        <v>4.9000000000000004</v>
      </c>
    </row>
    <row r="1276" spans="1:7" x14ac:dyDescent="0.25">
      <c r="A1276" t="s">
        <v>3</v>
      </c>
      <c r="B1276">
        <v>1274</v>
      </c>
      <c r="C1276">
        <v>100</v>
      </c>
      <c r="D1276" s="2">
        <v>33.241081237792969</v>
      </c>
      <c r="E1276" s="2" t="s">
        <v>10</v>
      </c>
      <c r="F1276" s="2" t="s">
        <v>46</v>
      </c>
      <c r="G1276" s="2">
        <v>4.9000000000000004</v>
      </c>
    </row>
    <row r="1277" spans="1:7" x14ac:dyDescent="0.25">
      <c r="A1277" t="s">
        <v>3</v>
      </c>
      <c r="B1277">
        <v>1275</v>
      </c>
      <c r="C1277">
        <v>100</v>
      </c>
      <c r="D1277" s="3">
        <v>31.305126428604126</v>
      </c>
      <c r="E1277" s="3" t="s">
        <v>10</v>
      </c>
      <c r="F1277" s="3" t="s">
        <v>46</v>
      </c>
      <c r="G1277" s="3">
        <v>4.9000000000000004</v>
      </c>
    </row>
    <row r="1278" spans="1:7" x14ac:dyDescent="0.25">
      <c r="A1278" t="s">
        <v>3</v>
      </c>
      <c r="B1278">
        <v>1276</v>
      </c>
      <c r="C1278">
        <v>100</v>
      </c>
      <c r="D1278" s="2">
        <v>27.715005159378052</v>
      </c>
      <c r="E1278" s="2" t="s">
        <v>10</v>
      </c>
      <c r="F1278" s="2" t="s">
        <v>46</v>
      </c>
      <c r="G1278" s="2">
        <v>4.9000000000000004</v>
      </c>
    </row>
    <row r="1279" spans="1:7" x14ac:dyDescent="0.25">
      <c r="A1279" t="s">
        <v>3</v>
      </c>
      <c r="B1279">
        <v>1277</v>
      </c>
      <c r="C1279">
        <v>90</v>
      </c>
      <c r="D1279" s="3">
        <v>33.776510238647461</v>
      </c>
      <c r="E1279" s="3" t="s">
        <v>10</v>
      </c>
      <c r="F1279" s="3" t="s">
        <v>46</v>
      </c>
      <c r="G1279" s="3">
        <v>4.9000000000000004</v>
      </c>
    </row>
    <row r="1280" spans="1:7" x14ac:dyDescent="0.25">
      <c r="A1280" t="s">
        <v>3</v>
      </c>
      <c r="B1280">
        <v>1278</v>
      </c>
      <c r="C1280">
        <v>100</v>
      </c>
      <c r="D1280" s="2">
        <v>24.590161323547363</v>
      </c>
      <c r="E1280" s="2" t="s">
        <v>10</v>
      </c>
      <c r="F1280" s="2" t="s">
        <v>46</v>
      </c>
      <c r="G1280" s="2">
        <v>4.9000000000000004</v>
      </c>
    </row>
    <row r="1281" spans="1:7" x14ac:dyDescent="0.25">
      <c r="A1281" t="s">
        <v>3</v>
      </c>
      <c r="B1281">
        <v>1279</v>
      </c>
      <c r="C1281">
        <v>100</v>
      </c>
      <c r="D1281" s="3">
        <v>30.409600973129272</v>
      </c>
      <c r="E1281" s="3" t="s">
        <v>10</v>
      </c>
      <c r="F1281" s="3" t="s">
        <v>46</v>
      </c>
      <c r="G1281" s="3">
        <v>4.9000000000000004</v>
      </c>
    </row>
    <row r="1282" spans="1:7" x14ac:dyDescent="0.25">
      <c r="A1282" t="s">
        <v>3</v>
      </c>
      <c r="B1282">
        <v>1280</v>
      </c>
      <c r="C1282">
        <v>15</v>
      </c>
      <c r="D1282" s="2">
        <v>29.930847644805908</v>
      </c>
      <c r="E1282" s="2" t="s">
        <v>10</v>
      </c>
      <c r="F1282" s="2" t="s">
        <v>46</v>
      </c>
      <c r="G1282" s="2">
        <v>4.9000000000000004</v>
      </c>
    </row>
    <row r="1283" spans="1:7" x14ac:dyDescent="0.25">
      <c r="A1283" t="s">
        <v>3</v>
      </c>
      <c r="B1283">
        <v>1281</v>
      </c>
      <c r="C1283">
        <v>100</v>
      </c>
      <c r="D1283" s="3">
        <v>18.339640140533447</v>
      </c>
      <c r="E1283" s="3" t="s">
        <v>10</v>
      </c>
      <c r="F1283" s="3" t="s">
        <v>46</v>
      </c>
      <c r="G1283" s="3">
        <v>4.9000000000000004</v>
      </c>
    </row>
    <row r="1284" spans="1:7" x14ac:dyDescent="0.25">
      <c r="A1284" t="s">
        <v>3</v>
      </c>
      <c r="B1284">
        <v>1282</v>
      </c>
      <c r="C1284">
        <v>0</v>
      </c>
      <c r="D1284" s="2">
        <v>19.056962728500366</v>
      </c>
      <c r="E1284" s="2" t="s">
        <v>10</v>
      </c>
      <c r="F1284" s="2" t="s">
        <v>55</v>
      </c>
      <c r="G1284" s="2">
        <v>4.9000000000000004</v>
      </c>
    </row>
    <row r="1285" spans="1:7" x14ac:dyDescent="0.25">
      <c r="A1285" t="s">
        <v>3</v>
      </c>
      <c r="B1285">
        <v>1283</v>
      </c>
      <c r="C1285">
        <v>100</v>
      </c>
      <c r="D1285" s="3">
        <v>27.850008249282837</v>
      </c>
      <c r="E1285" s="3" t="s">
        <v>10</v>
      </c>
      <c r="F1285" s="3" t="s">
        <v>43</v>
      </c>
      <c r="G1285" s="3">
        <v>4.9000000000000004</v>
      </c>
    </row>
    <row r="1286" spans="1:7" x14ac:dyDescent="0.25">
      <c r="A1286" t="s">
        <v>3</v>
      </c>
      <c r="B1286">
        <v>1284</v>
      </c>
      <c r="C1286">
        <v>100</v>
      </c>
      <c r="D1286" s="2">
        <v>24.506840467453003</v>
      </c>
      <c r="E1286" s="2" t="s">
        <v>10</v>
      </c>
      <c r="F1286" s="2" t="s">
        <v>43</v>
      </c>
      <c r="G1286" s="2">
        <v>4.9000000000000004</v>
      </c>
    </row>
    <row r="1287" spans="1:7" x14ac:dyDescent="0.25">
      <c r="A1287" t="s">
        <v>3</v>
      </c>
      <c r="B1287">
        <v>1285</v>
      </c>
      <c r="C1287">
        <v>100</v>
      </c>
      <c r="D1287" s="3">
        <v>39.953932046890259</v>
      </c>
      <c r="E1287" s="3" t="s">
        <v>10</v>
      </c>
      <c r="F1287" s="3" t="s">
        <v>43</v>
      </c>
      <c r="G1287" s="3">
        <v>4.9000000000000004</v>
      </c>
    </row>
    <row r="1288" spans="1:7" x14ac:dyDescent="0.25">
      <c r="A1288" t="s">
        <v>3</v>
      </c>
      <c r="B1288">
        <v>1286</v>
      </c>
      <c r="C1288">
        <v>0</v>
      </c>
      <c r="D1288" s="2">
        <v>34.29599404335022</v>
      </c>
      <c r="E1288" s="2" t="s">
        <v>10</v>
      </c>
      <c r="F1288" s="2" t="s">
        <v>41</v>
      </c>
      <c r="G1288" s="2">
        <v>7.8</v>
      </c>
    </row>
    <row r="1289" spans="1:7" x14ac:dyDescent="0.25">
      <c r="A1289" t="s">
        <v>3</v>
      </c>
      <c r="B1289">
        <v>1287</v>
      </c>
      <c r="C1289">
        <v>0</v>
      </c>
      <c r="D1289" s="3">
        <v>29.763352155685425</v>
      </c>
      <c r="E1289" s="3" t="s">
        <v>10</v>
      </c>
      <c r="F1289" s="3" t="s">
        <v>41</v>
      </c>
      <c r="G1289" s="3">
        <v>7.8</v>
      </c>
    </row>
    <row r="1290" spans="1:7" x14ac:dyDescent="0.25">
      <c r="A1290" t="s">
        <v>3</v>
      </c>
      <c r="B1290">
        <v>1288</v>
      </c>
      <c r="C1290">
        <v>100</v>
      </c>
      <c r="D1290" s="2">
        <v>33.093894004821777</v>
      </c>
      <c r="E1290" s="2" t="s">
        <v>10</v>
      </c>
      <c r="F1290" s="2" t="s">
        <v>41</v>
      </c>
      <c r="G1290" s="2">
        <v>7.8</v>
      </c>
    </row>
    <row r="1291" spans="1:7" x14ac:dyDescent="0.25">
      <c r="A1291" t="s">
        <v>3</v>
      </c>
      <c r="B1291">
        <v>1289</v>
      </c>
      <c r="C1291">
        <v>100</v>
      </c>
      <c r="D1291" s="3">
        <v>33.838735103607178</v>
      </c>
      <c r="E1291" s="3" t="s">
        <v>10</v>
      </c>
      <c r="F1291" s="3" t="s">
        <v>41</v>
      </c>
      <c r="G1291" s="3">
        <v>7.8</v>
      </c>
    </row>
    <row r="1292" spans="1:7" x14ac:dyDescent="0.25">
      <c r="A1292" t="s">
        <v>3</v>
      </c>
      <c r="B1292">
        <v>1290</v>
      </c>
      <c r="C1292">
        <v>10</v>
      </c>
      <c r="D1292" s="2">
        <v>31.662811994552612</v>
      </c>
      <c r="E1292" s="2" t="s">
        <v>10</v>
      </c>
      <c r="F1292" s="2" t="s">
        <v>41</v>
      </c>
      <c r="G1292" s="2">
        <v>7.8</v>
      </c>
    </row>
    <row r="1293" spans="1:7" x14ac:dyDescent="0.25">
      <c r="A1293" t="s">
        <v>3</v>
      </c>
      <c r="B1293">
        <v>1291</v>
      </c>
      <c r="C1293">
        <v>100</v>
      </c>
      <c r="D1293" s="3">
        <v>27.257316827774048</v>
      </c>
      <c r="E1293" s="3" t="s">
        <v>10</v>
      </c>
      <c r="F1293" s="3" t="s">
        <v>41</v>
      </c>
      <c r="G1293" s="3">
        <v>4.9000000000000004</v>
      </c>
    </row>
    <row r="1294" spans="1:7" x14ac:dyDescent="0.25">
      <c r="A1294" t="s">
        <v>3</v>
      </c>
      <c r="B1294">
        <v>1292</v>
      </c>
      <c r="C1294">
        <v>100</v>
      </c>
      <c r="D1294" s="2">
        <v>30.709622383117676</v>
      </c>
      <c r="E1294" s="2" t="s">
        <v>10</v>
      </c>
      <c r="F1294" s="2" t="s">
        <v>41</v>
      </c>
      <c r="G1294" s="2">
        <v>4.9000000000000004</v>
      </c>
    </row>
    <row r="1295" spans="1:7" x14ac:dyDescent="0.25">
      <c r="A1295" t="s">
        <v>3</v>
      </c>
      <c r="B1295">
        <v>1293</v>
      </c>
      <c r="C1295">
        <v>100</v>
      </c>
      <c r="D1295" s="3">
        <v>28.024212121963501</v>
      </c>
      <c r="E1295" s="3" t="s">
        <v>10</v>
      </c>
      <c r="F1295" s="3" t="s">
        <v>48</v>
      </c>
      <c r="G1295" s="3">
        <v>7.2</v>
      </c>
    </row>
    <row r="1296" spans="1:7" x14ac:dyDescent="0.25">
      <c r="A1296" t="s">
        <v>3</v>
      </c>
      <c r="B1296">
        <v>1294</v>
      </c>
      <c r="C1296">
        <v>60</v>
      </c>
      <c r="D1296" s="2">
        <v>31.34200382232666</v>
      </c>
      <c r="E1296" s="2" t="s">
        <v>10</v>
      </c>
      <c r="F1296" s="2" t="s">
        <v>48</v>
      </c>
      <c r="G1296" s="2">
        <v>7.2</v>
      </c>
    </row>
    <row r="1297" spans="1:7" x14ac:dyDescent="0.25">
      <c r="A1297" t="s">
        <v>3</v>
      </c>
      <c r="B1297">
        <v>1295</v>
      </c>
      <c r="C1297">
        <v>0</v>
      </c>
      <c r="D1297" s="3">
        <v>32.119288444519043</v>
      </c>
      <c r="E1297" s="3" t="s">
        <v>10</v>
      </c>
      <c r="F1297" s="3" t="s">
        <v>46</v>
      </c>
      <c r="G1297" s="3">
        <v>4.9000000000000004</v>
      </c>
    </row>
    <row r="1298" spans="1:7" x14ac:dyDescent="0.25">
      <c r="A1298" t="s">
        <v>3</v>
      </c>
      <c r="B1298">
        <v>1296</v>
      </c>
      <c r="C1298">
        <v>0</v>
      </c>
      <c r="D1298" s="2">
        <v>29.161017894744873</v>
      </c>
      <c r="E1298" s="2" t="s">
        <v>10</v>
      </c>
      <c r="F1298" s="2" t="s">
        <v>13</v>
      </c>
      <c r="G1298" s="2">
        <v>2.1</v>
      </c>
    </row>
    <row r="1299" spans="1:7" x14ac:dyDescent="0.25">
      <c r="A1299" t="s">
        <v>3</v>
      </c>
      <c r="B1299">
        <v>1297</v>
      </c>
      <c r="C1299">
        <v>0</v>
      </c>
      <c r="D1299" s="3">
        <v>12.030826330184937</v>
      </c>
      <c r="E1299" s="3" t="s">
        <v>10</v>
      </c>
      <c r="F1299" s="3" t="s">
        <v>41</v>
      </c>
      <c r="G1299" s="3">
        <v>2.1</v>
      </c>
    </row>
    <row r="1300" spans="1:7" x14ac:dyDescent="0.25">
      <c r="A1300" t="s">
        <v>3</v>
      </c>
      <c r="B1300">
        <v>1298</v>
      </c>
      <c r="C1300">
        <v>50</v>
      </c>
      <c r="D1300" s="2">
        <v>18.120954036712646</v>
      </c>
      <c r="E1300" s="2" t="s">
        <v>10</v>
      </c>
      <c r="F1300" s="2" t="s">
        <v>45</v>
      </c>
      <c r="G1300" s="2">
        <v>5</v>
      </c>
    </row>
    <row r="1301" spans="1:7" x14ac:dyDescent="0.25">
      <c r="A1301" t="s">
        <v>3</v>
      </c>
      <c r="B1301">
        <v>1299</v>
      </c>
      <c r="C1301">
        <v>100</v>
      </c>
      <c r="D1301" s="3">
        <v>20.634366273880005</v>
      </c>
      <c r="E1301" s="3" t="s">
        <v>10</v>
      </c>
      <c r="F1301" s="3" t="s">
        <v>45</v>
      </c>
      <c r="G1301" s="3">
        <v>5</v>
      </c>
    </row>
    <row r="1302" spans="1:7" x14ac:dyDescent="0.25">
      <c r="A1302" t="s">
        <v>3</v>
      </c>
      <c r="B1302">
        <v>1300</v>
      </c>
      <c r="C1302">
        <v>86</v>
      </c>
      <c r="D1302" s="2">
        <v>32.003224611282349</v>
      </c>
      <c r="E1302" s="2" t="s">
        <v>10</v>
      </c>
      <c r="F1302" s="2" t="s">
        <v>45</v>
      </c>
      <c r="G1302" s="2">
        <v>5</v>
      </c>
    </row>
    <row r="1303" spans="1:7" x14ac:dyDescent="0.25">
      <c r="A1303" t="s">
        <v>3</v>
      </c>
      <c r="B1303">
        <v>1301</v>
      </c>
      <c r="C1303">
        <v>100</v>
      </c>
      <c r="D1303" s="3">
        <v>19.605419158935547</v>
      </c>
      <c r="E1303" s="3" t="s">
        <v>10</v>
      </c>
      <c r="F1303" s="3" t="s">
        <v>45</v>
      </c>
      <c r="G1303" s="3">
        <v>5</v>
      </c>
    </row>
    <row r="1304" spans="1:7" x14ac:dyDescent="0.25">
      <c r="A1304" t="s">
        <v>3</v>
      </c>
      <c r="B1304">
        <v>1302</v>
      </c>
      <c r="C1304">
        <v>70</v>
      </c>
      <c r="D1304" s="2">
        <v>29.904551029205322</v>
      </c>
      <c r="E1304" s="2" t="s">
        <v>10</v>
      </c>
      <c r="F1304" s="2" t="s">
        <v>45</v>
      </c>
      <c r="G1304" s="2">
        <v>5</v>
      </c>
    </row>
    <row r="1305" spans="1:7" x14ac:dyDescent="0.25">
      <c r="A1305" t="s">
        <v>3</v>
      </c>
      <c r="B1305">
        <v>1303</v>
      </c>
      <c r="C1305">
        <v>100</v>
      </c>
      <c r="D1305" s="3">
        <v>28.487717866897583</v>
      </c>
      <c r="E1305" s="3" t="s">
        <v>10</v>
      </c>
      <c r="F1305" s="3" t="s">
        <v>56</v>
      </c>
      <c r="G1305" s="3">
        <v>7.2</v>
      </c>
    </row>
    <row r="1306" spans="1:7" x14ac:dyDescent="0.25">
      <c r="A1306" t="s">
        <v>3</v>
      </c>
      <c r="B1306">
        <v>1304</v>
      </c>
      <c r="C1306">
        <v>100</v>
      </c>
      <c r="D1306" s="2">
        <v>26.37635350227356</v>
      </c>
      <c r="E1306" s="2" t="s">
        <v>10</v>
      </c>
      <c r="F1306" s="2" t="s">
        <v>56</v>
      </c>
      <c r="G1306" s="2">
        <v>7.2</v>
      </c>
    </row>
    <row r="1307" spans="1:7" x14ac:dyDescent="0.25">
      <c r="A1307" t="s">
        <v>3</v>
      </c>
      <c r="B1307">
        <v>1305</v>
      </c>
      <c r="C1307">
        <v>0</v>
      </c>
      <c r="D1307" s="3">
        <v>32.698728084564209</v>
      </c>
      <c r="E1307" s="3" t="s">
        <v>10</v>
      </c>
      <c r="F1307" s="3" t="s">
        <v>56</v>
      </c>
      <c r="G1307" s="3">
        <v>7.2</v>
      </c>
    </row>
    <row r="1308" spans="1:7" x14ac:dyDescent="0.25">
      <c r="A1308" t="s">
        <v>3</v>
      </c>
      <c r="B1308">
        <v>1306</v>
      </c>
      <c r="C1308">
        <v>100</v>
      </c>
      <c r="D1308" s="2">
        <v>20.067074775695801</v>
      </c>
      <c r="E1308" s="2" t="s">
        <v>10</v>
      </c>
      <c r="F1308" s="2" t="s">
        <v>56</v>
      </c>
      <c r="G1308" s="2">
        <v>7.2</v>
      </c>
    </row>
    <row r="1309" spans="1:7" x14ac:dyDescent="0.25">
      <c r="A1309" t="s">
        <v>3</v>
      </c>
      <c r="B1309">
        <v>1307</v>
      </c>
      <c r="C1309">
        <v>100</v>
      </c>
      <c r="D1309" s="3">
        <v>32.819061756134033</v>
      </c>
      <c r="E1309" s="3" t="s">
        <v>10</v>
      </c>
      <c r="F1309" s="3" t="s">
        <v>41</v>
      </c>
      <c r="G1309" s="3">
        <v>4</v>
      </c>
    </row>
    <row r="1310" spans="1:7" x14ac:dyDescent="0.25">
      <c r="A1310" t="s">
        <v>3</v>
      </c>
      <c r="B1310">
        <v>1308</v>
      </c>
      <c r="C1310">
        <v>100</v>
      </c>
      <c r="D1310" s="2">
        <v>42.719742059707642</v>
      </c>
      <c r="E1310" s="2" t="s">
        <v>10</v>
      </c>
      <c r="F1310" s="2" t="s">
        <v>57</v>
      </c>
      <c r="G1310" s="2">
        <v>7.2</v>
      </c>
    </row>
    <row r="1311" spans="1:7" x14ac:dyDescent="0.25">
      <c r="A1311" t="s">
        <v>3</v>
      </c>
      <c r="B1311">
        <v>1309</v>
      </c>
      <c r="C1311">
        <v>100</v>
      </c>
      <c r="D1311" s="3">
        <v>35.069643020629883</v>
      </c>
      <c r="E1311" s="3" t="s">
        <v>10</v>
      </c>
      <c r="F1311" s="3" t="s">
        <v>41</v>
      </c>
      <c r="G1311" s="3">
        <v>5</v>
      </c>
    </row>
    <row r="1312" spans="1:7" x14ac:dyDescent="0.25">
      <c r="A1312" t="s">
        <v>3</v>
      </c>
      <c r="B1312">
        <v>1310</v>
      </c>
      <c r="C1312">
        <v>100</v>
      </c>
      <c r="D1312" s="2">
        <v>30.42376971244812</v>
      </c>
      <c r="E1312" s="2" t="s">
        <v>10</v>
      </c>
      <c r="F1312" s="2" t="s">
        <v>45</v>
      </c>
      <c r="G1312" s="2">
        <v>3.3</v>
      </c>
    </row>
    <row r="1313" spans="1:7" x14ac:dyDescent="0.25">
      <c r="A1313" t="s">
        <v>3</v>
      </c>
      <c r="B1313">
        <v>1311</v>
      </c>
      <c r="C1313">
        <v>0</v>
      </c>
      <c r="D1313" s="3">
        <v>23.667719125747681</v>
      </c>
      <c r="E1313" s="3" t="s">
        <v>10</v>
      </c>
      <c r="F1313" s="3" t="s">
        <v>45</v>
      </c>
      <c r="G1313" s="3">
        <v>3.3</v>
      </c>
    </row>
    <row r="1314" spans="1:7" x14ac:dyDescent="0.25">
      <c r="A1314" t="s">
        <v>3</v>
      </c>
      <c r="B1314">
        <v>1312</v>
      </c>
      <c r="C1314">
        <v>100</v>
      </c>
      <c r="D1314" s="2">
        <v>24.918952703475952</v>
      </c>
      <c r="E1314" s="2" t="s">
        <v>10</v>
      </c>
      <c r="F1314" s="2" t="s">
        <v>41</v>
      </c>
      <c r="G1314" s="2">
        <v>5.4</v>
      </c>
    </row>
    <row r="1315" spans="1:7" x14ac:dyDescent="0.25">
      <c r="A1315" t="s">
        <v>3</v>
      </c>
      <c r="B1315">
        <v>1313</v>
      </c>
      <c r="C1315">
        <v>45</v>
      </c>
      <c r="D1315" s="3">
        <v>29.222419738769531</v>
      </c>
      <c r="E1315" s="3" t="s">
        <v>10</v>
      </c>
      <c r="F1315" s="3" t="s">
        <v>41</v>
      </c>
      <c r="G1315" s="3">
        <v>5.4</v>
      </c>
    </row>
    <row r="1316" spans="1:7" x14ac:dyDescent="0.25">
      <c r="A1316" t="s">
        <v>3</v>
      </c>
      <c r="B1316">
        <v>1314</v>
      </c>
      <c r="C1316">
        <v>90</v>
      </c>
      <c r="D1316" s="2">
        <v>19.36145281791687</v>
      </c>
      <c r="E1316" s="2" t="s">
        <v>10</v>
      </c>
      <c r="F1316" s="2" t="s">
        <v>41</v>
      </c>
      <c r="G1316" s="2">
        <v>5.4</v>
      </c>
    </row>
    <row r="1317" spans="1:7" x14ac:dyDescent="0.25">
      <c r="A1317" t="s">
        <v>3</v>
      </c>
      <c r="B1317">
        <v>1315</v>
      </c>
      <c r="C1317">
        <v>100</v>
      </c>
      <c r="D1317" s="3">
        <v>19.98819637298584</v>
      </c>
      <c r="E1317" s="3" t="s">
        <v>10</v>
      </c>
      <c r="F1317" s="3" t="s">
        <v>41</v>
      </c>
      <c r="G1317" s="3">
        <v>5.4</v>
      </c>
    </row>
    <row r="1318" spans="1:7" x14ac:dyDescent="0.25">
      <c r="A1318" t="s">
        <v>3</v>
      </c>
      <c r="B1318">
        <v>1316</v>
      </c>
      <c r="C1318">
        <v>100</v>
      </c>
      <c r="D1318" s="2">
        <v>37.074847459793091</v>
      </c>
      <c r="E1318" s="2" t="s">
        <v>10</v>
      </c>
      <c r="F1318" s="2" t="s">
        <v>41</v>
      </c>
      <c r="G1318" s="2">
        <v>5.4</v>
      </c>
    </row>
    <row r="1319" spans="1:7" x14ac:dyDescent="0.25">
      <c r="A1319" t="s">
        <v>3</v>
      </c>
      <c r="B1319">
        <v>1317</v>
      </c>
      <c r="C1319">
        <v>100</v>
      </c>
      <c r="D1319" s="3">
        <v>11.991329193115234</v>
      </c>
      <c r="E1319" s="3" t="s">
        <v>10</v>
      </c>
      <c r="F1319" s="3" t="s">
        <v>41</v>
      </c>
      <c r="G1319" s="3">
        <v>5.4</v>
      </c>
    </row>
    <row r="1320" spans="1:7" x14ac:dyDescent="0.25">
      <c r="A1320" t="s">
        <v>3</v>
      </c>
      <c r="B1320">
        <v>1318</v>
      </c>
      <c r="C1320">
        <v>10</v>
      </c>
      <c r="D1320" s="2">
        <v>24.400610208511353</v>
      </c>
      <c r="E1320" s="2" t="s">
        <v>10</v>
      </c>
      <c r="F1320" s="2" t="s">
        <v>41</v>
      </c>
      <c r="G1320" s="2">
        <v>5.4</v>
      </c>
    </row>
    <row r="1321" spans="1:7" x14ac:dyDescent="0.25">
      <c r="A1321" t="s">
        <v>3</v>
      </c>
      <c r="B1321">
        <v>1319</v>
      </c>
      <c r="C1321">
        <v>20</v>
      </c>
      <c r="D1321" s="3">
        <v>22.21512770652771</v>
      </c>
      <c r="E1321" s="3" t="s">
        <v>10</v>
      </c>
      <c r="F1321" s="3" t="s">
        <v>41</v>
      </c>
      <c r="G1321" s="3">
        <v>5.4</v>
      </c>
    </row>
    <row r="1322" spans="1:7" x14ac:dyDescent="0.25">
      <c r="A1322" t="s">
        <v>3</v>
      </c>
      <c r="B1322">
        <v>1320</v>
      </c>
      <c r="C1322">
        <v>100</v>
      </c>
      <c r="D1322" s="2">
        <v>30.97567343711853</v>
      </c>
      <c r="E1322" s="2" t="s">
        <v>10</v>
      </c>
      <c r="F1322" s="2" t="s">
        <v>41</v>
      </c>
      <c r="G1322" s="2">
        <v>5.4</v>
      </c>
    </row>
    <row r="1323" spans="1:7" x14ac:dyDescent="0.25">
      <c r="A1323" t="s">
        <v>3</v>
      </c>
      <c r="B1323">
        <v>1321</v>
      </c>
      <c r="C1323">
        <v>100</v>
      </c>
      <c r="D1323" s="3">
        <v>29.937027215957642</v>
      </c>
      <c r="E1323" s="3" t="s">
        <v>10</v>
      </c>
      <c r="F1323" s="3" t="s">
        <v>51</v>
      </c>
      <c r="G1323" s="3">
        <v>6.2</v>
      </c>
    </row>
    <row r="1324" spans="1:7" x14ac:dyDescent="0.25">
      <c r="A1324" t="s">
        <v>3</v>
      </c>
      <c r="B1324">
        <v>1322</v>
      </c>
      <c r="C1324">
        <v>85</v>
      </c>
      <c r="D1324" s="2">
        <v>29.196164608001709</v>
      </c>
      <c r="E1324" s="2" t="s">
        <v>10</v>
      </c>
      <c r="F1324" s="2" t="s">
        <v>41</v>
      </c>
      <c r="G1324" s="2">
        <v>4.7</v>
      </c>
    </row>
    <row r="1325" spans="1:7" x14ac:dyDescent="0.25">
      <c r="A1325" t="s">
        <v>3</v>
      </c>
      <c r="B1325">
        <v>1323</v>
      </c>
      <c r="C1325">
        <v>100</v>
      </c>
      <c r="D1325" s="3">
        <v>32.502463579177856</v>
      </c>
      <c r="E1325" s="3" t="s">
        <v>10</v>
      </c>
      <c r="F1325" s="3" t="s">
        <v>41</v>
      </c>
      <c r="G1325" s="3">
        <v>4.7</v>
      </c>
    </row>
    <row r="1326" spans="1:7" x14ac:dyDescent="0.25">
      <c r="A1326" t="s">
        <v>3</v>
      </c>
      <c r="B1326">
        <v>1324</v>
      </c>
      <c r="C1326">
        <v>0</v>
      </c>
      <c r="D1326" s="2">
        <v>14.33260703086853</v>
      </c>
      <c r="E1326" s="2" t="s">
        <v>10</v>
      </c>
      <c r="F1326" s="2" t="s">
        <v>41</v>
      </c>
      <c r="G1326" s="2">
        <v>4.7</v>
      </c>
    </row>
    <row r="1327" spans="1:7" x14ac:dyDescent="0.25">
      <c r="A1327" t="s">
        <v>3</v>
      </c>
      <c r="B1327">
        <v>1325</v>
      </c>
      <c r="C1327">
        <v>0</v>
      </c>
      <c r="D1327" s="3">
        <v>19.332760095596313</v>
      </c>
      <c r="E1327" s="3" t="s">
        <v>10</v>
      </c>
      <c r="F1327" s="3" t="s">
        <v>41</v>
      </c>
      <c r="G1327" s="3">
        <v>4.7</v>
      </c>
    </row>
    <row r="1328" spans="1:7" x14ac:dyDescent="0.25">
      <c r="A1328" t="s">
        <v>3</v>
      </c>
      <c r="B1328">
        <v>1326</v>
      </c>
      <c r="C1328">
        <v>70</v>
      </c>
      <c r="D1328" s="2">
        <v>15.331051826477051</v>
      </c>
      <c r="E1328" s="2" t="s">
        <v>10</v>
      </c>
      <c r="F1328" s="2" t="s">
        <v>51</v>
      </c>
      <c r="G1328" s="2">
        <v>7.2</v>
      </c>
    </row>
    <row r="1329" spans="1:7" x14ac:dyDescent="0.25">
      <c r="A1329" t="s">
        <v>3</v>
      </c>
      <c r="B1329">
        <v>1327</v>
      </c>
      <c r="C1329">
        <v>100</v>
      </c>
      <c r="D1329" s="3">
        <v>23.588615655899048</v>
      </c>
      <c r="E1329" s="3" t="s">
        <v>10</v>
      </c>
      <c r="F1329" s="3" t="s">
        <v>51</v>
      </c>
      <c r="G1329" s="3">
        <v>7.2</v>
      </c>
    </row>
    <row r="1330" spans="1:7" x14ac:dyDescent="0.25">
      <c r="A1330" t="s">
        <v>3</v>
      </c>
      <c r="B1330">
        <v>1328</v>
      </c>
      <c r="C1330">
        <v>15</v>
      </c>
      <c r="D1330" s="2">
        <v>28.631424427032471</v>
      </c>
      <c r="E1330" s="2" t="s">
        <v>10</v>
      </c>
      <c r="F1330" s="2" t="s">
        <v>55</v>
      </c>
      <c r="G1330" s="2">
        <v>4</v>
      </c>
    </row>
    <row r="1331" spans="1:7" x14ac:dyDescent="0.25">
      <c r="A1331" t="s">
        <v>3</v>
      </c>
      <c r="B1331">
        <v>1329</v>
      </c>
      <c r="C1331">
        <v>100</v>
      </c>
      <c r="D1331" s="3">
        <v>17.647305488586426</v>
      </c>
      <c r="E1331" s="3" t="s">
        <v>10</v>
      </c>
      <c r="F1331" s="3" t="s">
        <v>55</v>
      </c>
      <c r="G1331" s="3">
        <v>4</v>
      </c>
    </row>
    <row r="1332" spans="1:7" x14ac:dyDescent="0.25">
      <c r="A1332" t="s">
        <v>3</v>
      </c>
      <c r="B1332">
        <v>1330</v>
      </c>
      <c r="C1332">
        <v>100</v>
      </c>
      <c r="D1332" s="2">
        <v>31.872881650924683</v>
      </c>
      <c r="E1332" s="2" t="s">
        <v>10</v>
      </c>
      <c r="F1332" s="2" t="s">
        <v>55</v>
      </c>
      <c r="G1332" s="2">
        <v>4</v>
      </c>
    </row>
    <row r="1333" spans="1:7" x14ac:dyDescent="0.25">
      <c r="A1333" t="s">
        <v>3</v>
      </c>
      <c r="B1333">
        <v>1331</v>
      </c>
      <c r="C1333">
        <v>100</v>
      </c>
      <c r="D1333" s="3">
        <v>27.553702354431152</v>
      </c>
      <c r="E1333" s="3" t="s">
        <v>10</v>
      </c>
      <c r="F1333" s="3" t="s">
        <v>43</v>
      </c>
      <c r="G1333" s="3">
        <v>2.1</v>
      </c>
    </row>
    <row r="1334" spans="1:7" x14ac:dyDescent="0.25">
      <c r="A1334" t="s">
        <v>3</v>
      </c>
      <c r="B1334">
        <v>1332</v>
      </c>
      <c r="C1334">
        <v>100</v>
      </c>
      <c r="D1334" s="2">
        <v>37.147889375686646</v>
      </c>
      <c r="E1334" s="2" t="s">
        <v>10</v>
      </c>
      <c r="F1334" s="2" t="s">
        <v>43</v>
      </c>
      <c r="G1334" s="2">
        <v>2.1</v>
      </c>
    </row>
    <row r="1335" spans="1:7" x14ac:dyDescent="0.25">
      <c r="A1335" t="s">
        <v>3</v>
      </c>
      <c r="B1335">
        <v>1333</v>
      </c>
      <c r="C1335">
        <v>100</v>
      </c>
      <c r="D1335" s="3">
        <v>26.299901485443115</v>
      </c>
      <c r="E1335" s="3" t="s">
        <v>10</v>
      </c>
      <c r="F1335" s="3" t="s">
        <v>44</v>
      </c>
      <c r="G1335" s="3">
        <v>5.4</v>
      </c>
    </row>
    <row r="1336" spans="1:7" x14ac:dyDescent="0.25">
      <c r="A1336" t="s">
        <v>3</v>
      </c>
      <c r="B1336">
        <v>1334</v>
      </c>
      <c r="C1336">
        <v>8</v>
      </c>
      <c r="D1336" s="2">
        <v>34.450963735580444</v>
      </c>
      <c r="E1336" s="2" t="s">
        <v>10</v>
      </c>
      <c r="F1336" s="2" t="s">
        <v>43</v>
      </c>
      <c r="G1336" s="2">
        <v>1.9</v>
      </c>
    </row>
    <row r="1337" spans="1:7" x14ac:dyDescent="0.25">
      <c r="A1337" t="s">
        <v>3</v>
      </c>
      <c r="B1337">
        <v>1335</v>
      </c>
      <c r="C1337">
        <v>35</v>
      </c>
      <c r="D1337" s="3">
        <v>24.510830879211426</v>
      </c>
      <c r="E1337" s="3" t="s">
        <v>10</v>
      </c>
      <c r="F1337" s="3" t="s">
        <v>41</v>
      </c>
      <c r="G1337" s="3">
        <v>4.9000000000000004</v>
      </c>
    </row>
    <row r="1338" spans="1:7" x14ac:dyDescent="0.25">
      <c r="A1338" t="s">
        <v>3</v>
      </c>
      <c r="B1338">
        <v>1336</v>
      </c>
      <c r="C1338">
        <v>100</v>
      </c>
      <c r="D1338" s="2">
        <v>29.804203748703003</v>
      </c>
      <c r="E1338" s="2" t="s">
        <v>10</v>
      </c>
      <c r="F1338" s="2" t="s">
        <v>41</v>
      </c>
      <c r="G1338" s="2">
        <v>4.9000000000000004</v>
      </c>
    </row>
    <row r="1339" spans="1:7" x14ac:dyDescent="0.25">
      <c r="A1339" t="s">
        <v>3</v>
      </c>
      <c r="B1339">
        <v>1337</v>
      </c>
      <c r="C1339">
        <v>100</v>
      </c>
      <c r="D1339" s="3">
        <v>16.636450529098511</v>
      </c>
      <c r="E1339" s="3" t="s">
        <v>10</v>
      </c>
      <c r="F1339" s="3" t="s">
        <v>13</v>
      </c>
      <c r="G1339" s="3">
        <v>3.6</v>
      </c>
    </row>
    <row r="1340" spans="1:7" x14ac:dyDescent="0.25">
      <c r="A1340" t="s">
        <v>3</v>
      </c>
      <c r="B1340">
        <v>1338</v>
      </c>
      <c r="C1340">
        <v>0</v>
      </c>
      <c r="D1340" s="2">
        <v>18.968756675720215</v>
      </c>
      <c r="E1340" s="2" t="s">
        <v>10</v>
      </c>
      <c r="F1340" s="2" t="s">
        <v>13</v>
      </c>
      <c r="G1340" s="2">
        <v>3.6</v>
      </c>
    </row>
    <row r="1341" spans="1:7" x14ac:dyDescent="0.25">
      <c r="A1341" t="s">
        <v>3</v>
      </c>
      <c r="B1341">
        <v>1339</v>
      </c>
      <c r="C1341">
        <v>100</v>
      </c>
      <c r="D1341" s="3">
        <v>47.105300664901733</v>
      </c>
      <c r="E1341" s="3" t="s">
        <v>10</v>
      </c>
      <c r="F1341" s="3" t="s">
        <v>13</v>
      </c>
      <c r="G1341" s="3">
        <v>3.6</v>
      </c>
    </row>
    <row r="1342" spans="1:7" x14ac:dyDescent="0.25">
      <c r="A1342" t="s">
        <v>3</v>
      </c>
      <c r="B1342">
        <v>1340</v>
      </c>
      <c r="C1342">
        <v>100</v>
      </c>
      <c r="D1342" s="2">
        <v>34.731111526489258</v>
      </c>
      <c r="E1342" s="2" t="s">
        <v>10</v>
      </c>
      <c r="F1342" s="2" t="s">
        <v>55</v>
      </c>
      <c r="G1342" s="2">
        <v>4.7</v>
      </c>
    </row>
    <row r="1343" spans="1:7" x14ac:dyDescent="0.25">
      <c r="A1343" t="s">
        <v>3</v>
      </c>
      <c r="B1343">
        <v>1341</v>
      </c>
      <c r="C1343">
        <v>100</v>
      </c>
      <c r="D1343" s="3">
        <v>18.157173871994019</v>
      </c>
      <c r="E1343" s="3" t="s">
        <v>10</v>
      </c>
      <c r="F1343" s="3" t="s">
        <v>45</v>
      </c>
      <c r="G1343" s="3">
        <v>1.9</v>
      </c>
    </row>
    <row r="1344" spans="1:7" x14ac:dyDescent="0.25">
      <c r="A1344" t="s">
        <v>3</v>
      </c>
      <c r="B1344">
        <v>1342</v>
      </c>
      <c r="C1344">
        <v>100</v>
      </c>
      <c r="D1344" s="2">
        <v>28.39970326423645</v>
      </c>
      <c r="E1344" s="2" t="s">
        <v>10</v>
      </c>
      <c r="F1344" s="2" t="s">
        <v>46</v>
      </c>
      <c r="G1344" s="2">
        <v>4.5999999999999996</v>
      </c>
    </row>
    <row r="1345" spans="1:7" x14ac:dyDescent="0.25">
      <c r="A1345" t="s">
        <v>3</v>
      </c>
      <c r="B1345">
        <v>1343</v>
      </c>
      <c r="C1345">
        <v>80</v>
      </c>
      <c r="D1345" s="3">
        <v>58.447331190109253</v>
      </c>
      <c r="E1345" s="3" t="s">
        <v>10</v>
      </c>
      <c r="F1345" s="3" t="s">
        <v>13</v>
      </c>
      <c r="G1345" s="3">
        <v>3.3</v>
      </c>
    </row>
    <row r="1346" spans="1:7" x14ac:dyDescent="0.25">
      <c r="A1346" t="s">
        <v>3</v>
      </c>
      <c r="B1346">
        <v>1344</v>
      </c>
      <c r="C1346">
        <v>20</v>
      </c>
      <c r="D1346" s="2">
        <v>27.472589492797852</v>
      </c>
      <c r="E1346" s="2" t="s">
        <v>10</v>
      </c>
      <c r="F1346" s="2" t="s">
        <v>41</v>
      </c>
      <c r="G1346" s="2">
        <v>4.9000000000000004</v>
      </c>
    </row>
    <row r="1347" spans="1:7" x14ac:dyDescent="0.25">
      <c r="A1347" t="s">
        <v>3</v>
      </c>
      <c r="B1347">
        <v>1345</v>
      </c>
      <c r="C1347">
        <v>100</v>
      </c>
      <c r="D1347" s="3">
        <v>30.922859668731689</v>
      </c>
      <c r="E1347" s="3" t="s">
        <v>10</v>
      </c>
      <c r="F1347" s="3" t="s">
        <v>46</v>
      </c>
      <c r="G1347" s="3">
        <v>6.1</v>
      </c>
    </row>
    <row r="1348" spans="1:7" x14ac:dyDescent="0.25">
      <c r="A1348" t="s">
        <v>3</v>
      </c>
      <c r="B1348">
        <v>1346</v>
      </c>
      <c r="C1348">
        <v>100</v>
      </c>
      <c r="D1348" s="2">
        <v>30.624909162521362</v>
      </c>
      <c r="E1348" s="2" t="s">
        <v>10</v>
      </c>
      <c r="F1348" s="2" t="s">
        <v>41</v>
      </c>
      <c r="G1348" s="2">
        <v>4.7</v>
      </c>
    </row>
    <row r="1349" spans="1:7" x14ac:dyDescent="0.25">
      <c r="A1349" t="s">
        <v>3</v>
      </c>
      <c r="B1349">
        <v>1347</v>
      </c>
      <c r="C1349">
        <v>100</v>
      </c>
      <c r="D1349" s="3">
        <v>27.706532716751099</v>
      </c>
      <c r="E1349" s="3" t="s">
        <v>10</v>
      </c>
      <c r="F1349" s="3" t="s">
        <v>41</v>
      </c>
      <c r="G1349" s="3">
        <v>4.7</v>
      </c>
    </row>
    <row r="1350" spans="1:7" x14ac:dyDescent="0.25">
      <c r="A1350" t="s">
        <v>3</v>
      </c>
      <c r="B1350">
        <v>1348</v>
      </c>
      <c r="C1350">
        <v>10</v>
      </c>
      <c r="D1350" s="2">
        <v>22.737783908843994</v>
      </c>
      <c r="E1350" s="2" t="s">
        <v>10</v>
      </c>
      <c r="F1350" s="2" t="s">
        <v>41</v>
      </c>
      <c r="G1350" s="2">
        <v>4.7</v>
      </c>
    </row>
    <row r="1351" spans="1:7" x14ac:dyDescent="0.25">
      <c r="A1351" t="s">
        <v>3</v>
      </c>
      <c r="B1351">
        <v>1349</v>
      </c>
      <c r="C1351">
        <v>10</v>
      </c>
      <c r="D1351" s="3">
        <v>30.091506719589233</v>
      </c>
      <c r="E1351" s="3" t="s">
        <v>10</v>
      </c>
      <c r="F1351" s="3" t="s">
        <v>46</v>
      </c>
      <c r="G1351" s="3">
        <v>6.8</v>
      </c>
    </row>
    <row r="1352" spans="1:7" x14ac:dyDescent="0.25">
      <c r="A1352" t="s">
        <v>3</v>
      </c>
      <c r="B1352">
        <v>1350</v>
      </c>
      <c r="C1352">
        <v>100</v>
      </c>
      <c r="D1352" s="2">
        <v>45.154057741165161</v>
      </c>
      <c r="E1352" s="2" t="s">
        <v>10</v>
      </c>
      <c r="F1352" s="2" t="s">
        <v>46</v>
      </c>
      <c r="G1352" s="2">
        <v>6.8</v>
      </c>
    </row>
    <row r="1353" spans="1:7" x14ac:dyDescent="0.25">
      <c r="A1353" t="s">
        <v>3</v>
      </c>
      <c r="B1353">
        <v>1351</v>
      </c>
      <c r="C1353">
        <v>100</v>
      </c>
      <c r="D1353" s="3">
        <v>26.501676082611084</v>
      </c>
      <c r="E1353" s="3" t="s">
        <v>10</v>
      </c>
      <c r="F1353" s="3" t="s">
        <v>46</v>
      </c>
      <c r="G1353" s="3">
        <v>6.8</v>
      </c>
    </row>
    <row r="1354" spans="1:7" x14ac:dyDescent="0.25">
      <c r="A1354" t="s">
        <v>3</v>
      </c>
      <c r="B1354">
        <v>1352</v>
      </c>
      <c r="C1354">
        <v>0</v>
      </c>
      <c r="D1354" s="2">
        <v>35.358685970306396</v>
      </c>
      <c r="E1354" s="2" t="s">
        <v>10</v>
      </c>
      <c r="F1354" s="2" t="s">
        <v>41</v>
      </c>
      <c r="G1354" s="2">
        <v>6.8</v>
      </c>
    </row>
    <row r="1355" spans="1:7" x14ac:dyDescent="0.25">
      <c r="A1355" t="s">
        <v>3</v>
      </c>
      <c r="B1355">
        <v>1353</v>
      </c>
      <c r="C1355">
        <v>100</v>
      </c>
      <c r="D1355" s="3">
        <v>19.933023452758789</v>
      </c>
      <c r="E1355" s="3" t="s">
        <v>10</v>
      </c>
      <c r="F1355" s="3" t="s">
        <v>46</v>
      </c>
      <c r="G1355" s="3">
        <v>6.8</v>
      </c>
    </row>
    <row r="1356" spans="1:7" x14ac:dyDescent="0.25">
      <c r="A1356" t="s">
        <v>3</v>
      </c>
      <c r="B1356">
        <v>1354</v>
      </c>
      <c r="C1356">
        <v>100</v>
      </c>
      <c r="D1356" s="2">
        <v>31.488723039627075</v>
      </c>
      <c r="E1356" s="2" t="s">
        <v>10</v>
      </c>
      <c r="F1356" s="2" t="s">
        <v>41</v>
      </c>
      <c r="G1356" s="2">
        <v>6.8</v>
      </c>
    </row>
    <row r="1357" spans="1:7" x14ac:dyDescent="0.25">
      <c r="A1357" t="s">
        <v>3</v>
      </c>
      <c r="B1357">
        <v>1355</v>
      </c>
      <c r="C1357">
        <v>100</v>
      </c>
      <c r="D1357" s="3">
        <v>38.677413940429688</v>
      </c>
      <c r="E1357" s="3" t="s">
        <v>10</v>
      </c>
      <c r="F1357" s="3" t="s">
        <v>46</v>
      </c>
      <c r="G1357" s="3">
        <v>6.8</v>
      </c>
    </row>
    <row r="1358" spans="1:7" x14ac:dyDescent="0.25">
      <c r="A1358" t="s">
        <v>3</v>
      </c>
      <c r="B1358">
        <v>1356</v>
      </c>
      <c r="C1358">
        <v>100</v>
      </c>
      <c r="D1358" s="2">
        <v>32.340734720230103</v>
      </c>
      <c r="E1358" s="2" t="s">
        <v>10</v>
      </c>
      <c r="F1358" s="2" t="s">
        <v>46</v>
      </c>
      <c r="G1358" s="2">
        <v>6.8</v>
      </c>
    </row>
    <row r="1359" spans="1:7" x14ac:dyDescent="0.25">
      <c r="A1359" t="s">
        <v>3</v>
      </c>
      <c r="B1359">
        <v>1357</v>
      </c>
      <c r="C1359">
        <v>100</v>
      </c>
      <c r="D1359" s="3">
        <v>30.301753282546997</v>
      </c>
      <c r="E1359" s="3" t="s">
        <v>10</v>
      </c>
      <c r="F1359" s="3" t="s">
        <v>41</v>
      </c>
      <c r="G1359" s="3">
        <v>6.8</v>
      </c>
    </row>
    <row r="1360" spans="1:7" x14ac:dyDescent="0.25">
      <c r="A1360" t="s">
        <v>3</v>
      </c>
      <c r="B1360">
        <v>1358</v>
      </c>
      <c r="C1360">
        <v>100</v>
      </c>
      <c r="D1360" s="2">
        <v>12.649503946304321</v>
      </c>
      <c r="E1360" s="2" t="s">
        <v>10</v>
      </c>
      <c r="F1360" s="2" t="s">
        <v>41</v>
      </c>
      <c r="G1360" s="2">
        <v>6.8</v>
      </c>
    </row>
    <row r="1361" spans="1:7" x14ac:dyDescent="0.25">
      <c r="A1361" t="s">
        <v>3</v>
      </c>
      <c r="B1361">
        <v>1359</v>
      </c>
      <c r="C1361">
        <v>5</v>
      </c>
      <c r="D1361" s="3">
        <v>35.310359716415405</v>
      </c>
      <c r="E1361" s="3" t="s">
        <v>10</v>
      </c>
      <c r="F1361" s="3" t="s">
        <v>46</v>
      </c>
      <c r="G1361" s="3">
        <v>6.8</v>
      </c>
    </row>
    <row r="1362" spans="1:7" x14ac:dyDescent="0.25">
      <c r="A1362" t="s">
        <v>3</v>
      </c>
      <c r="B1362">
        <v>1360</v>
      </c>
      <c r="C1362">
        <v>100</v>
      </c>
      <c r="D1362" s="2">
        <v>46.238516807556152</v>
      </c>
      <c r="E1362" s="2" t="s">
        <v>10</v>
      </c>
      <c r="F1362" s="2" t="s">
        <v>41</v>
      </c>
      <c r="G1362" s="2">
        <v>6.8</v>
      </c>
    </row>
    <row r="1363" spans="1:7" x14ac:dyDescent="0.25">
      <c r="A1363" t="s">
        <v>3</v>
      </c>
      <c r="B1363">
        <v>1361</v>
      </c>
      <c r="C1363">
        <v>100</v>
      </c>
      <c r="D1363" s="3">
        <v>32.068840980529785</v>
      </c>
      <c r="E1363" s="3" t="s">
        <v>10</v>
      </c>
      <c r="F1363" s="3" t="s">
        <v>41</v>
      </c>
      <c r="G1363" s="3">
        <v>6.8</v>
      </c>
    </row>
    <row r="1364" spans="1:7" x14ac:dyDescent="0.25">
      <c r="A1364" t="s">
        <v>3</v>
      </c>
      <c r="B1364">
        <v>1362</v>
      </c>
      <c r="C1364">
        <v>3</v>
      </c>
      <c r="D1364" s="2">
        <v>23.022195100784302</v>
      </c>
      <c r="E1364" s="2" t="s">
        <v>10</v>
      </c>
      <c r="F1364" s="2" t="s">
        <v>41</v>
      </c>
      <c r="G1364" s="2">
        <v>6.8</v>
      </c>
    </row>
    <row r="1365" spans="1:7" x14ac:dyDescent="0.25">
      <c r="A1365" t="s">
        <v>3</v>
      </c>
      <c r="B1365">
        <v>1363</v>
      </c>
      <c r="C1365">
        <v>0</v>
      </c>
      <c r="D1365" s="3">
        <v>31.154012441635132</v>
      </c>
      <c r="E1365" s="3" t="s">
        <v>10</v>
      </c>
      <c r="F1365" s="3" t="s">
        <v>46</v>
      </c>
      <c r="G1365" s="3">
        <v>6.8</v>
      </c>
    </row>
    <row r="1366" spans="1:7" x14ac:dyDescent="0.25">
      <c r="A1366" t="s">
        <v>3</v>
      </c>
      <c r="B1366">
        <v>1364</v>
      </c>
      <c r="C1366">
        <v>100</v>
      </c>
      <c r="D1366" s="2">
        <v>27.221007108688354</v>
      </c>
      <c r="E1366" s="2" t="s">
        <v>10</v>
      </c>
      <c r="F1366" s="2" t="s">
        <v>46</v>
      </c>
      <c r="G1366" s="2">
        <v>6.8</v>
      </c>
    </row>
    <row r="1367" spans="1:7" x14ac:dyDescent="0.25">
      <c r="A1367" t="s">
        <v>3</v>
      </c>
      <c r="B1367">
        <v>1365</v>
      </c>
      <c r="C1367">
        <v>100</v>
      </c>
      <c r="D1367" s="3">
        <v>26.526611804962158</v>
      </c>
      <c r="E1367" s="3" t="s">
        <v>10</v>
      </c>
      <c r="F1367" s="3" t="s">
        <v>41</v>
      </c>
      <c r="G1367" s="3">
        <v>6.8</v>
      </c>
    </row>
    <row r="1368" spans="1:7" x14ac:dyDescent="0.25">
      <c r="A1368" t="s">
        <v>3</v>
      </c>
      <c r="B1368">
        <v>1366</v>
      </c>
      <c r="C1368">
        <v>100</v>
      </c>
      <c r="D1368" s="2">
        <v>35.516767978668213</v>
      </c>
      <c r="E1368" s="2" t="s">
        <v>10</v>
      </c>
      <c r="F1368" s="2" t="s">
        <v>41</v>
      </c>
      <c r="G1368" s="2">
        <v>6.8</v>
      </c>
    </row>
    <row r="1369" spans="1:7" x14ac:dyDescent="0.25">
      <c r="A1369" t="s">
        <v>3</v>
      </c>
      <c r="B1369">
        <v>1367</v>
      </c>
      <c r="C1369">
        <v>0</v>
      </c>
      <c r="D1369" s="3">
        <v>26.424970388412476</v>
      </c>
      <c r="E1369" s="3" t="s">
        <v>10</v>
      </c>
      <c r="F1369" s="3" t="s">
        <v>46</v>
      </c>
      <c r="G1369" s="3">
        <v>6.8</v>
      </c>
    </row>
    <row r="1370" spans="1:7" x14ac:dyDescent="0.25">
      <c r="A1370" t="s">
        <v>3</v>
      </c>
      <c r="B1370">
        <v>1368</v>
      </c>
      <c r="C1370">
        <v>100</v>
      </c>
      <c r="D1370" s="2">
        <v>12.625497817993164</v>
      </c>
      <c r="E1370" s="2" t="s">
        <v>10</v>
      </c>
      <c r="F1370" s="2" t="s">
        <v>41</v>
      </c>
      <c r="G1370" s="2">
        <v>6.8</v>
      </c>
    </row>
    <row r="1371" spans="1:7" x14ac:dyDescent="0.25">
      <c r="A1371" t="s">
        <v>3</v>
      </c>
      <c r="B1371">
        <v>1369</v>
      </c>
      <c r="C1371">
        <v>35</v>
      </c>
      <c r="D1371" s="3">
        <v>19.20303750038147</v>
      </c>
      <c r="E1371" s="3" t="s">
        <v>10</v>
      </c>
      <c r="F1371" s="3" t="s">
        <v>41</v>
      </c>
      <c r="G1371" s="3">
        <v>4</v>
      </c>
    </row>
    <row r="1372" spans="1:7" x14ac:dyDescent="0.25">
      <c r="A1372" t="s">
        <v>3</v>
      </c>
      <c r="B1372">
        <v>1370</v>
      </c>
      <c r="C1372">
        <v>0</v>
      </c>
      <c r="D1372" s="2">
        <v>24.573341846466064</v>
      </c>
      <c r="E1372" s="2" t="s">
        <v>10</v>
      </c>
      <c r="F1372" s="2" t="s">
        <v>51</v>
      </c>
      <c r="G1372" s="2">
        <v>6.9</v>
      </c>
    </row>
    <row r="1373" spans="1:7" x14ac:dyDescent="0.25">
      <c r="A1373" t="s">
        <v>3</v>
      </c>
      <c r="B1373">
        <v>1371</v>
      </c>
      <c r="C1373">
        <v>70</v>
      </c>
      <c r="D1373" s="3">
        <v>42.19550085067749</v>
      </c>
      <c r="E1373" s="3" t="s">
        <v>10</v>
      </c>
      <c r="F1373" s="3" t="s">
        <v>51</v>
      </c>
      <c r="G1373" s="3">
        <v>6.9</v>
      </c>
    </row>
    <row r="1374" spans="1:7" x14ac:dyDescent="0.25">
      <c r="A1374" t="s">
        <v>3</v>
      </c>
      <c r="B1374">
        <v>1372</v>
      </c>
      <c r="C1374">
        <v>100</v>
      </c>
      <c r="D1374" s="2">
        <v>28.358198642730713</v>
      </c>
      <c r="E1374" s="2" t="s">
        <v>10</v>
      </c>
      <c r="F1374" s="2" t="s">
        <v>51</v>
      </c>
      <c r="G1374" s="2">
        <v>6.9</v>
      </c>
    </row>
    <row r="1375" spans="1:7" x14ac:dyDescent="0.25">
      <c r="A1375" t="s">
        <v>3</v>
      </c>
      <c r="B1375">
        <v>1373</v>
      </c>
      <c r="C1375">
        <v>100</v>
      </c>
      <c r="D1375" s="3">
        <v>33.947567701339722</v>
      </c>
      <c r="E1375" s="3" t="s">
        <v>10</v>
      </c>
      <c r="F1375" s="3" t="s">
        <v>41</v>
      </c>
      <c r="G1375" s="3">
        <v>4.5999999999999996</v>
      </c>
    </row>
    <row r="1376" spans="1:7" x14ac:dyDescent="0.25">
      <c r="A1376" t="s">
        <v>3</v>
      </c>
      <c r="B1376">
        <v>1374</v>
      </c>
      <c r="C1376">
        <v>100</v>
      </c>
      <c r="D1376" s="2">
        <v>28.430828809738159</v>
      </c>
      <c r="E1376" s="2" t="s">
        <v>10</v>
      </c>
      <c r="F1376" s="2" t="s">
        <v>41</v>
      </c>
      <c r="G1376" s="2">
        <v>4.7</v>
      </c>
    </row>
    <row r="1377" spans="1:7" x14ac:dyDescent="0.25">
      <c r="A1377" t="s">
        <v>3</v>
      </c>
      <c r="B1377">
        <v>1375</v>
      </c>
      <c r="C1377">
        <v>100</v>
      </c>
      <c r="D1377" s="3">
        <v>17.719676733016968</v>
      </c>
      <c r="E1377" s="3" t="s">
        <v>10</v>
      </c>
      <c r="F1377" s="3" t="s">
        <v>45</v>
      </c>
      <c r="G1377" s="3">
        <v>6.9</v>
      </c>
    </row>
    <row r="1378" spans="1:7" x14ac:dyDescent="0.25">
      <c r="A1378" t="s">
        <v>3</v>
      </c>
      <c r="B1378">
        <v>1376</v>
      </c>
      <c r="C1378">
        <v>0</v>
      </c>
      <c r="D1378" s="2">
        <v>33.344940900802612</v>
      </c>
      <c r="E1378" s="2" t="s">
        <v>10</v>
      </c>
      <c r="F1378" s="2" t="s">
        <v>46</v>
      </c>
      <c r="G1378" s="2">
        <v>6.9</v>
      </c>
    </row>
    <row r="1379" spans="1:7" x14ac:dyDescent="0.25">
      <c r="A1379" t="s">
        <v>3</v>
      </c>
      <c r="B1379">
        <v>1377</v>
      </c>
      <c r="C1379">
        <v>100</v>
      </c>
      <c r="D1379" s="3">
        <v>14.538626670837402</v>
      </c>
      <c r="E1379" s="3" t="s">
        <v>10</v>
      </c>
      <c r="F1379" s="3" t="s">
        <v>41</v>
      </c>
      <c r="G1379" s="3">
        <v>4.7</v>
      </c>
    </row>
    <row r="1380" spans="1:7" x14ac:dyDescent="0.25">
      <c r="A1380" t="s">
        <v>3</v>
      </c>
      <c r="B1380">
        <v>1378</v>
      </c>
      <c r="C1380">
        <v>0</v>
      </c>
      <c r="D1380" s="2">
        <v>34.818352222442627</v>
      </c>
      <c r="E1380" s="2" t="s">
        <v>10</v>
      </c>
      <c r="F1380" s="2" t="s">
        <v>41</v>
      </c>
      <c r="G1380" s="2">
        <v>4.4000000000000004</v>
      </c>
    </row>
    <row r="1381" spans="1:7" x14ac:dyDescent="0.25">
      <c r="A1381" t="s">
        <v>3</v>
      </c>
      <c r="B1381">
        <v>1379</v>
      </c>
      <c r="C1381">
        <v>20</v>
      </c>
      <c r="D1381" s="3">
        <v>31.970995426177979</v>
      </c>
      <c r="E1381" s="3" t="s">
        <v>10</v>
      </c>
      <c r="F1381" s="3" t="s">
        <v>41</v>
      </c>
      <c r="G1381" s="3">
        <v>5.2</v>
      </c>
    </row>
    <row r="1382" spans="1:7" x14ac:dyDescent="0.25">
      <c r="A1382" t="s">
        <v>3</v>
      </c>
      <c r="B1382">
        <v>1380</v>
      </c>
      <c r="C1382">
        <v>100</v>
      </c>
      <c r="D1382" s="2">
        <v>19.790660858154297</v>
      </c>
      <c r="E1382" s="2" t="s">
        <v>10</v>
      </c>
      <c r="F1382" s="2" t="s">
        <v>50</v>
      </c>
      <c r="G1382" s="2">
        <v>6.2</v>
      </c>
    </row>
    <row r="1383" spans="1:7" x14ac:dyDescent="0.25">
      <c r="A1383" t="s">
        <v>3</v>
      </c>
      <c r="B1383">
        <v>1381</v>
      </c>
      <c r="C1383">
        <v>25</v>
      </c>
      <c r="D1383" s="3">
        <v>33.573105573654175</v>
      </c>
      <c r="E1383" s="3" t="s">
        <v>10</v>
      </c>
      <c r="F1383" s="3" t="s">
        <v>50</v>
      </c>
      <c r="G1383" s="3">
        <v>6.2</v>
      </c>
    </row>
    <row r="1384" spans="1:7" x14ac:dyDescent="0.25">
      <c r="A1384" t="s">
        <v>3</v>
      </c>
      <c r="B1384">
        <v>1382</v>
      </c>
      <c r="C1384">
        <v>100</v>
      </c>
      <c r="D1384" s="2">
        <v>23.9486243724823</v>
      </c>
      <c r="E1384" s="2" t="s">
        <v>10</v>
      </c>
      <c r="F1384" s="2" t="s">
        <v>50</v>
      </c>
      <c r="G1384" s="2">
        <v>6.2</v>
      </c>
    </row>
    <row r="1385" spans="1:7" x14ac:dyDescent="0.25">
      <c r="A1385" t="s">
        <v>3</v>
      </c>
      <c r="B1385">
        <v>1383</v>
      </c>
      <c r="C1385">
        <v>100</v>
      </c>
      <c r="D1385" s="3">
        <v>32.624735832214355</v>
      </c>
      <c r="E1385" s="3" t="s">
        <v>10</v>
      </c>
      <c r="F1385" s="3" t="s">
        <v>50</v>
      </c>
      <c r="G1385" s="3">
        <v>6.2</v>
      </c>
    </row>
    <row r="1386" spans="1:7" x14ac:dyDescent="0.25">
      <c r="A1386" t="s">
        <v>3</v>
      </c>
      <c r="B1386">
        <v>1384</v>
      </c>
      <c r="C1386">
        <v>100</v>
      </c>
      <c r="D1386" s="2">
        <v>22.983210325241089</v>
      </c>
      <c r="E1386" s="2" t="s">
        <v>10</v>
      </c>
      <c r="F1386" s="2" t="s">
        <v>50</v>
      </c>
      <c r="G1386" s="2">
        <v>6.2</v>
      </c>
    </row>
    <row r="1387" spans="1:7" x14ac:dyDescent="0.25">
      <c r="A1387" t="s">
        <v>3</v>
      </c>
      <c r="B1387">
        <v>1385</v>
      </c>
      <c r="C1387">
        <v>100</v>
      </c>
      <c r="D1387" s="3">
        <v>20.081117391586304</v>
      </c>
      <c r="E1387" s="3" t="s">
        <v>10</v>
      </c>
      <c r="F1387" s="3" t="s">
        <v>50</v>
      </c>
      <c r="G1387" s="3">
        <v>6.2</v>
      </c>
    </row>
    <row r="1388" spans="1:7" x14ac:dyDescent="0.25">
      <c r="A1388" t="s">
        <v>3</v>
      </c>
      <c r="B1388">
        <v>1386</v>
      </c>
      <c r="C1388">
        <v>100</v>
      </c>
      <c r="D1388" s="2">
        <v>24.19349217414856</v>
      </c>
      <c r="E1388" s="2" t="s">
        <v>10</v>
      </c>
      <c r="F1388" s="2" t="s">
        <v>50</v>
      </c>
      <c r="G1388" s="2">
        <v>6.2</v>
      </c>
    </row>
    <row r="1389" spans="1:7" x14ac:dyDescent="0.25">
      <c r="A1389" t="s">
        <v>3</v>
      </c>
      <c r="B1389">
        <v>1387</v>
      </c>
      <c r="C1389">
        <v>100</v>
      </c>
      <c r="D1389" s="3">
        <v>30.055519104003906</v>
      </c>
      <c r="E1389" s="3" t="s">
        <v>10</v>
      </c>
      <c r="F1389" s="3" t="s">
        <v>41</v>
      </c>
      <c r="G1389" s="3">
        <v>5.7</v>
      </c>
    </row>
    <row r="1390" spans="1:7" x14ac:dyDescent="0.25">
      <c r="A1390" t="s">
        <v>3</v>
      </c>
      <c r="B1390">
        <v>1388</v>
      </c>
      <c r="C1390">
        <v>100</v>
      </c>
      <c r="D1390" s="2">
        <v>38.854809999465942</v>
      </c>
      <c r="E1390" s="2" t="s">
        <v>10</v>
      </c>
      <c r="F1390" s="2" t="s">
        <v>41</v>
      </c>
      <c r="G1390" s="2">
        <v>4.3</v>
      </c>
    </row>
    <row r="1391" spans="1:7" x14ac:dyDescent="0.25">
      <c r="A1391" t="s">
        <v>3</v>
      </c>
      <c r="B1391">
        <v>1389</v>
      </c>
      <c r="C1391">
        <v>100</v>
      </c>
      <c r="D1391" s="3">
        <v>41.721605539321899</v>
      </c>
      <c r="E1391" s="3" t="s">
        <v>10</v>
      </c>
      <c r="F1391" s="3" t="s">
        <v>41</v>
      </c>
      <c r="G1391" s="3">
        <v>4.3</v>
      </c>
    </row>
    <row r="1392" spans="1:7" x14ac:dyDescent="0.25">
      <c r="A1392" t="s">
        <v>3</v>
      </c>
      <c r="B1392">
        <v>1390</v>
      </c>
      <c r="C1392">
        <v>100</v>
      </c>
      <c r="D1392" s="2">
        <v>30.427522420883179</v>
      </c>
      <c r="E1392" s="2" t="s">
        <v>10</v>
      </c>
      <c r="F1392" s="2" t="s">
        <v>41</v>
      </c>
      <c r="G1392" s="2">
        <v>4.3</v>
      </c>
    </row>
    <row r="1393" spans="1:7" x14ac:dyDescent="0.25">
      <c r="A1393" t="s">
        <v>3</v>
      </c>
      <c r="B1393">
        <v>1391</v>
      </c>
      <c r="C1393">
        <v>100</v>
      </c>
      <c r="D1393" s="3">
        <v>34.138239622116089</v>
      </c>
      <c r="E1393" s="3" t="s">
        <v>10</v>
      </c>
      <c r="F1393" s="3" t="s">
        <v>41</v>
      </c>
      <c r="G1393" s="3">
        <v>4</v>
      </c>
    </row>
    <row r="1394" spans="1:7" x14ac:dyDescent="0.25">
      <c r="A1394" t="s">
        <v>3</v>
      </c>
      <c r="B1394">
        <v>1392</v>
      </c>
      <c r="C1394">
        <v>100</v>
      </c>
      <c r="D1394" s="2">
        <v>37.058204650878906</v>
      </c>
      <c r="E1394" s="2" t="s">
        <v>10</v>
      </c>
      <c r="F1394" s="2" t="s">
        <v>53</v>
      </c>
      <c r="G1394" s="2">
        <v>6.2</v>
      </c>
    </row>
    <row r="1395" spans="1:7" x14ac:dyDescent="0.25">
      <c r="A1395" t="s">
        <v>3</v>
      </c>
      <c r="B1395">
        <v>1393</v>
      </c>
      <c r="C1395">
        <v>100</v>
      </c>
      <c r="D1395" s="3">
        <v>32.142447710037231</v>
      </c>
      <c r="E1395" s="3" t="s">
        <v>10</v>
      </c>
      <c r="F1395" s="3" t="s">
        <v>48</v>
      </c>
      <c r="G1395" s="3">
        <v>6.6</v>
      </c>
    </row>
    <row r="1396" spans="1:7" x14ac:dyDescent="0.25">
      <c r="A1396" t="s">
        <v>3</v>
      </c>
      <c r="B1396">
        <v>1394</v>
      </c>
      <c r="C1396">
        <v>100</v>
      </c>
      <c r="D1396" s="2">
        <v>33.07706093788147</v>
      </c>
      <c r="E1396" s="2" t="s">
        <v>10</v>
      </c>
      <c r="F1396" s="2" t="s">
        <v>48</v>
      </c>
      <c r="G1396" s="2">
        <v>6.6</v>
      </c>
    </row>
    <row r="1397" spans="1:7" x14ac:dyDescent="0.25">
      <c r="A1397" t="s">
        <v>3</v>
      </c>
      <c r="B1397">
        <v>1395</v>
      </c>
      <c r="C1397">
        <v>0</v>
      </c>
      <c r="D1397" s="3">
        <v>35.023575305938721</v>
      </c>
      <c r="E1397" s="3" t="s">
        <v>10</v>
      </c>
      <c r="F1397" s="3" t="s">
        <v>56</v>
      </c>
      <c r="G1397" s="3">
        <v>7.2</v>
      </c>
    </row>
    <row r="1398" spans="1:7" x14ac:dyDescent="0.25">
      <c r="A1398" t="s">
        <v>3</v>
      </c>
      <c r="B1398">
        <v>1396</v>
      </c>
      <c r="C1398">
        <v>0</v>
      </c>
      <c r="D1398" s="2">
        <v>34.448326349258423</v>
      </c>
      <c r="E1398" s="2" t="s">
        <v>10</v>
      </c>
      <c r="F1398" s="2" t="s">
        <v>41</v>
      </c>
      <c r="G1398" s="2">
        <v>7.1</v>
      </c>
    </row>
    <row r="1399" spans="1:7" x14ac:dyDescent="0.25">
      <c r="A1399" t="s">
        <v>3</v>
      </c>
      <c r="B1399">
        <v>1397</v>
      </c>
      <c r="C1399">
        <v>0</v>
      </c>
      <c r="D1399" s="3">
        <v>26.657652616500854</v>
      </c>
      <c r="E1399" s="3" t="s">
        <v>10</v>
      </c>
      <c r="F1399" s="3" t="s">
        <v>43</v>
      </c>
      <c r="G1399" s="3">
        <v>4.9000000000000004</v>
      </c>
    </row>
    <row r="1400" spans="1:7" x14ac:dyDescent="0.25">
      <c r="A1400" t="s">
        <v>3</v>
      </c>
      <c r="B1400">
        <v>1398</v>
      </c>
      <c r="C1400">
        <v>90</v>
      </c>
      <c r="D1400" s="2">
        <v>16.490681648254395</v>
      </c>
      <c r="E1400" s="2" t="s">
        <v>10</v>
      </c>
      <c r="F1400" s="2" t="s">
        <v>43</v>
      </c>
      <c r="G1400" s="2">
        <v>4.9000000000000004</v>
      </c>
    </row>
    <row r="1401" spans="1:7" x14ac:dyDescent="0.25">
      <c r="A1401" t="s">
        <v>3</v>
      </c>
      <c r="B1401">
        <v>1399</v>
      </c>
      <c r="C1401">
        <v>0</v>
      </c>
      <c r="D1401" s="3">
        <v>28.208735466003418</v>
      </c>
      <c r="E1401" s="3" t="s">
        <v>10</v>
      </c>
      <c r="F1401" s="3" t="s">
        <v>46</v>
      </c>
      <c r="G1401" s="3">
        <v>4.7</v>
      </c>
    </row>
    <row r="1402" spans="1:7" x14ac:dyDescent="0.25">
      <c r="A1402" t="s">
        <v>3</v>
      </c>
      <c r="B1402">
        <v>1400</v>
      </c>
      <c r="C1402">
        <v>0</v>
      </c>
      <c r="D1402" s="2">
        <v>12.955652236938477</v>
      </c>
      <c r="E1402" s="2" t="s">
        <v>10</v>
      </c>
      <c r="F1402" s="2" t="s">
        <v>46</v>
      </c>
      <c r="G1402" s="2">
        <v>4.7</v>
      </c>
    </row>
    <row r="1403" spans="1:7" x14ac:dyDescent="0.25">
      <c r="A1403" t="s">
        <v>3</v>
      </c>
      <c r="B1403">
        <v>1401</v>
      </c>
      <c r="C1403">
        <v>100</v>
      </c>
      <c r="D1403" s="3">
        <v>36.174918651580811</v>
      </c>
      <c r="E1403" s="3" t="s">
        <v>10</v>
      </c>
      <c r="F1403" s="3" t="s">
        <v>46</v>
      </c>
      <c r="G1403" s="3">
        <v>4.9000000000000004</v>
      </c>
    </row>
    <row r="1404" spans="1:7" x14ac:dyDescent="0.25">
      <c r="A1404" t="s">
        <v>3</v>
      </c>
      <c r="B1404">
        <v>1402</v>
      </c>
      <c r="C1404">
        <v>0</v>
      </c>
      <c r="D1404" s="2">
        <v>20.882196426391602</v>
      </c>
      <c r="E1404" s="2" t="s">
        <v>10</v>
      </c>
      <c r="F1404" s="2" t="s">
        <v>46</v>
      </c>
      <c r="G1404" s="2">
        <v>4.7</v>
      </c>
    </row>
    <row r="1405" spans="1:7" x14ac:dyDescent="0.25">
      <c r="A1405" t="s">
        <v>3</v>
      </c>
      <c r="B1405">
        <v>1403</v>
      </c>
      <c r="C1405">
        <v>100</v>
      </c>
      <c r="D1405" s="3">
        <v>39.051604270935059</v>
      </c>
      <c r="E1405" s="3" t="s">
        <v>10</v>
      </c>
      <c r="F1405" s="3" t="s">
        <v>41</v>
      </c>
      <c r="G1405" s="3">
        <v>4.9000000000000004</v>
      </c>
    </row>
    <row r="1406" spans="1:7" x14ac:dyDescent="0.25">
      <c r="A1406" t="s">
        <v>3</v>
      </c>
      <c r="B1406">
        <v>1404</v>
      </c>
      <c r="C1406">
        <v>10</v>
      </c>
      <c r="D1406" s="2">
        <v>56.103909015655518</v>
      </c>
      <c r="E1406" s="2" t="s">
        <v>10</v>
      </c>
      <c r="F1406" s="2" t="s">
        <v>41</v>
      </c>
      <c r="G1406" s="2">
        <v>4.9000000000000004</v>
      </c>
    </row>
    <row r="1407" spans="1:7" x14ac:dyDescent="0.25">
      <c r="A1407" t="s">
        <v>3</v>
      </c>
      <c r="B1407">
        <v>1405</v>
      </c>
      <c r="C1407">
        <v>100</v>
      </c>
      <c r="D1407" s="3">
        <v>42.841061592102051</v>
      </c>
      <c r="E1407" s="3" t="s">
        <v>10</v>
      </c>
      <c r="F1407" s="3" t="s">
        <v>41</v>
      </c>
      <c r="G1407" s="3">
        <v>4.9000000000000004</v>
      </c>
    </row>
    <row r="1408" spans="1:7" x14ac:dyDescent="0.25">
      <c r="A1408" t="s">
        <v>3</v>
      </c>
      <c r="B1408">
        <v>1406</v>
      </c>
      <c r="C1408">
        <v>0</v>
      </c>
      <c r="D1408" s="2">
        <v>38.82813024520874</v>
      </c>
      <c r="E1408" s="2" t="s">
        <v>10</v>
      </c>
      <c r="F1408" s="2" t="s">
        <v>41</v>
      </c>
      <c r="G1408" s="2">
        <v>4.9000000000000004</v>
      </c>
    </row>
    <row r="1409" spans="1:7" x14ac:dyDescent="0.25">
      <c r="A1409" t="s">
        <v>3</v>
      </c>
      <c r="B1409">
        <v>1407</v>
      </c>
      <c r="C1409">
        <v>0</v>
      </c>
      <c r="D1409" s="3">
        <v>33.194783687591553</v>
      </c>
      <c r="E1409" s="3" t="s">
        <v>10</v>
      </c>
      <c r="F1409" s="3" t="s">
        <v>41</v>
      </c>
      <c r="G1409" s="3">
        <v>4.9000000000000004</v>
      </c>
    </row>
    <row r="1410" spans="1:7" x14ac:dyDescent="0.25">
      <c r="A1410" t="s">
        <v>3</v>
      </c>
      <c r="B1410">
        <v>1408</v>
      </c>
      <c r="C1410">
        <v>0</v>
      </c>
      <c r="D1410" s="2">
        <v>38.833924055099487</v>
      </c>
      <c r="E1410" s="2" t="s">
        <v>10</v>
      </c>
      <c r="F1410" s="2" t="s">
        <v>41</v>
      </c>
      <c r="G1410" s="2">
        <v>4.9000000000000004</v>
      </c>
    </row>
    <row r="1411" spans="1:7" x14ac:dyDescent="0.25">
      <c r="A1411" t="s">
        <v>3</v>
      </c>
      <c r="B1411">
        <v>1409</v>
      </c>
      <c r="C1411">
        <v>0</v>
      </c>
      <c r="D1411" s="3">
        <v>21.550431251525879</v>
      </c>
      <c r="E1411" s="3" t="s">
        <v>10</v>
      </c>
      <c r="F1411" s="3" t="s">
        <v>41</v>
      </c>
      <c r="G1411" s="3">
        <v>4.9000000000000004</v>
      </c>
    </row>
    <row r="1412" spans="1:7" x14ac:dyDescent="0.25">
      <c r="A1412" t="s">
        <v>3</v>
      </c>
      <c r="B1412">
        <v>1410</v>
      </c>
      <c r="C1412">
        <v>0</v>
      </c>
      <c r="D1412" s="2">
        <v>18.555519104003906</v>
      </c>
      <c r="E1412" s="2" t="s">
        <v>10</v>
      </c>
      <c r="F1412" s="2" t="s">
        <v>41</v>
      </c>
      <c r="G1412" s="2">
        <v>4.9000000000000004</v>
      </c>
    </row>
    <row r="1413" spans="1:7" x14ac:dyDescent="0.25">
      <c r="A1413" t="s">
        <v>3</v>
      </c>
      <c r="B1413">
        <v>1411</v>
      </c>
      <c r="C1413">
        <v>100</v>
      </c>
      <c r="D1413" s="3">
        <v>16.599303483963013</v>
      </c>
      <c r="E1413" s="3" t="s">
        <v>10</v>
      </c>
      <c r="F1413" s="3" t="s">
        <v>41</v>
      </c>
      <c r="G1413" s="3">
        <v>4.9000000000000004</v>
      </c>
    </row>
    <row r="1414" spans="1:7" x14ac:dyDescent="0.25">
      <c r="A1414" t="s">
        <v>3</v>
      </c>
      <c r="B1414">
        <v>1412</v>
      </c>
      <c r="C1414">
        <v>100</v>
      </c>
      <c r="D1414" s="2">
        <v>23.281917095184326</v>
      </c>
      <c r="E1414" s="2" t="s">
        <v>10</v>
      </c>
      <c r="F1414" s="2" t="s">
        <v>41</v>
      </c>
      <c r="G1414" s="2">
        <v>4.9000000000000004</v>
      </c>
    </row>
    <row r="1415" spans="1:7" x14ac:dyDescent="0.25">
      <c r="A1415" t="s">
        <v>3</v>
      </c>
      <c r="B1415">
        <v>1413</v>
      </c>
      <c r="C1415">
        <v>100</v>
      </c>
      <c r="D1415" s="3">
        <v>20.016488790512085</v>
      </c>
      <c r="E1415" s="3" t="s">
        <v>10</v>
      </c>
      <c r="F1415" s="3" t="s">
        <v>41</v>
      </c>
      <c r="G1415" s="3">
        <v>4.9000000000000004</v>
      </c>
    </row>
    <row r="1416" spans="1:7" x14ac:dyDescent="0.25">
      <c r="A1416" t="s">
        <v>3</v>
      </c>
      <c r="B1416">
        <v>1414</v>
      </c>
      <c r="C1416">
        <v>0</v>
      </c>
      <c r="D1416" s="2">
        <v>15.066496133804321</v>
      </c>
      <c r="E1416" s="2" t="s">
        <v>10</v>
      </c>
      <c r="F1416" s="2" t="s">
        <v>41</v>
      </c>
      <c r="G1416" s="2">
        <v>4.9000000000000004</v>
      </c>
    </row>
    <row r="1417" spans="1:7" x14ac:dyDescent="0.25">
      <c r="A1417" t="s">
        <v>3</v>
      </c>
      <c r="B1417">
        <v>1415</v>
      </c>
      <c r="C1417">
        <v>100</v>
      </c>
      <c r="D1417" s="3">
        <v>66.058220624923706</v>
      </c>
      <c r="E1417" s="3" t="s">
        <v>10</v>
      </c>
      <c r="F1417" s="3" t="s">
        <v>41</v>
      </c>
      <c r="G1417" s="3">
        <v>4.9000000000000004</v>
      </c>
    </row>
    <row r="1418" spans="1:7" x14ac:dyDescent="0.25">
      <c r="A1418" t="s">
        <v>3</v>
      </c>
      <c r="B1418">
        <v>1416</v>
      </c>
      <c r="C1418">
        <v>75</v>
      </c>
      <c r="D1418" s="2">
        <v>29.845838069915771</v>
      </c>
      <c r="E1418" s="2" t="s">
        <v>10</v>
      </c>
      <c r="F1418" s="2" t="s">
        <v>41</v>
      </c>
      <c r="G1418" s="2">
        <v>4.9000000000000004</v>
      </c>
    </row>
    <row r="1419" spans="1:7" x14ac:dyDescent="0.25">
      <c r="A1419" t="s">
        <v>3</v>
      </c>
      <c r="B1419">
        <v>1417</v>
      </c>
      <c r="C1419">
        <v>100</v>
      </c>
      <c r="D1419" s="3">
        <v>34.126823425292969</v>
      </c>
      <c r="E1419" s="3" t="s">
        <v>10</v>
      </c>
      <c r="F1419" s="3" t="s">
        <v>41</v>
      </c>
      <c r="G1419" s="3">
        <v>4.9000000000000004</v>
      </c>
    </row>
    <row r="1420" spans="1:7" x14ac:dyDescent="0.25">
      <c r="A1420" t="s">
        <v>3</v>
      </c>
      <c r="B1420">
        <v>1418</v>
      </c>
      <c r="C1420">
        <v>60</v>
      </c>
      <c r="D1420" s="2">
        <v>18.312834024429321</v>
      </c>
      <c r="E1420" s="2" t="s">
        <v>10</v>
      </c>
      <c r="F1420" s="2" t="s">
        <v>41</v>
      </c>
      <c r="G1420" s="2">
        <v>4.9000000000000004</v>
      </c>
    </row>
    <row r="1421" spans="1:7" x14ac:dyDescent="0.25">
      <c r="A1421" t="s">
        <v>3</v>
      </c>
      <c r="B1421">
        <v>1419</v>
      </c>
      <c r="C1421">
        <v>20</v>
      </c>
      <c r="D1421" s="3">
        <v>24.764496088027954</v>
      </c>
      <c r="E1421" s="3" t="s">
        <v>10</v>
      </c>
      <c r="F1421" s="3" t="s">
        <v>41</v>
      </c>
      <c r="G1421" s="3">
        <v>4.9000000000000004</v>
      </c>
    </row>
    <row r="1422" spans="1:7" x14ac:dyDescent="0.25">
      <c r="A1422" t="s">
        <v>3</v>
      </c>
      <c r="B1422">
        <v>1420</v>
      </c>
      <c r="C1422">
        <v>100</v>
      </c>
      <c r="D1422" s="2">
        <v>13.666913032531738</v>
      </c>
      <c r="E1422" s="2" t="s">
        <v>10</v>
      </c>
      <c r="F1422" s="2" t="s">
        <v>41</v>
      </c>
      <c r="G1422" s="2">
        <v>4.9000000000000004</v>
      </c>
    </row>
    <row r="1423" spans="1:7" x14ac:dyDescent="0.25">
      <c r="A1423" t="s">
        <v>3</v>
      </c>
      <c r="B1423">
        <v>1421</v>
      </c>
      <c r="C1423">
        <v>0</v>
      </c>
      <c r="D1423" s="3">
        <v>27.526067495346069</v>
      </c>
      <c r="E1423" s="3" t="s">
        <v>10</v>
      </c>
      <c r="F1423" s="3" t="s">
        <v>41</v>
      </c>
      <c r="G1423" s="3">
        <v>4.9000000000000004</v>
      </c>
    </row>
    <row r="1424" spans="1:7" x14ac:dyDescent="0.25">
      <c r="A1424" t="s">
        <v>3</v>
      </c>
      <c r="B1424">
        <v>1422</v>
      </c>
      <c r="C1424">
        <v>0</v>
      </c>
      <c r="D1424" s="2">
        <v>29.579489946365356</v>
      </c>
      <c r="E1424" s="2" t="s">
        <v>10</v>
      </c>
      <c r="F1424" s="2" t="s">
        <v>58</v>
      </c>
      <c r="G1424" s="2">
        <v>6.9</v>
      </c>
    </row>
    <row r="1425" spans="1:7" x14ac:dyDescent="0.25">
      <c r="A1425" t="s">
        <v>3</v>
      </c>
      <c r="B1425">
        <v>1423</v>
      </c>
      <c r="C1425">
        <v>100</v>
      </c>
      <c r="D1425" s="3">
        <v>8.8720684051513672</v>
      </c>
      <c r="E1425" s="3" t="s">
        <v>10</v>
      </c>
      <c r="F1425" s="3" t="s">
        <v>53</v>
      </c>
      <c r="G1425" s="3">
        <v>6.1</v>
      </c>
    </row>
    <row r="1426" spans="1:7" x14ac:dyDescent="0.25">
      <c r="A1426" t="s">
        <v>3</v>
      </c>
      <c r="B1426">
        <v>1424</v>
      </c>
      <c r="C1426">
        <v>100</v>
      </c>
      <c r="D1426" s="2">
        <v>42.590389013290405</v>
      </c>
      <c r="E1426" s="2" t="s">
        <v>10</v>
      </c>
      <c r="F1426" s="2" t="s">
        <v>53</v>
      </c>
      <c r="G1426" s="2">
        <v>6.1</v>
      </c>
    </row>
    <row r="1427" spans="1:7" x14ac:dyDescent="0.25">
      <c r="A1427" t="s">
        <v>3</v>
      </c>
      <c r="B1427">
        <v>1425</v>
      </c>
      <c r="C1427">
        <v>100</v>
      </c>
      <c r="D1427" s="3">
        <v>32.090826272964478</v>
      </c>
      <c r="E1427" s="3" t="s">
        <v>10</v>
      </c>
      <c r="F1427" s="3" t="s">
        <v>43</v>
      </c>
      <c r="G1427" s="3">
        <v>5</v>
      </c>
    </row>
    <row r="1428" spans="1:7" x14ac:dyDescent="0.25">
      <c r="A1428" t="s">
        <v>3</v>
      </c>
      <c r="B1428">
        <v>1426</v>
      </c>
      <c r="C1428">
        <v>60</v>
      </c>
      <c r="D1428" s="2">
        <v>33.29021954536438</v>
      </c>
      <c r="E1428" s="2" t="s">
        <v>10</v>
      </c>
      <c r="F1428" s="2" t="s">
        <v>43</v>
      </c>
      <c r="G1428" s="2">
        <v>5</v>
      </c>
    </row>
    <row r="1429" spans="1:7" x14ac:dyDescent="0.25">
      <c r="A1429" t="s">
        <v>3</v>
      </c>
      <c r="B1429">
        <v>1427</v>
      </c>
      <c r="C1429">
        <v>100</v>
      </c>
      <c r="D1429" s="3">
        <v>32.143189191818237</v>
      </c>
      <c r="E1429" s="3" t="s">
        <v>10</v>
      </c>
      <c r="F1429" s="3" t="s">
        <v>56</v>
      </c>
      <c r="G1429" s="3">
        <v>7.2</v>
      </c>
    </row>
    <row r="1430" spans="1:7" x14ac:dyDescent="0.25">
      <c r="A1430" t="s">
        <v>3</v>
      </c>
      <c r="B1430">
        <v>1428</v>
      </c>
      <c r="C1430">
        <v>0</v>
      </c>
      <c r="D1430" s="2">
        <v>46.364092350006104</v>
      </c>
      <c r="E1430" s="2" t="s">
        <v>10</v>
      </c>
      <c r="F1430" s="2" t="s">
        <v>43</v>
      </c>
      <c r="G1430" s="2">
        <v>6</v>
      </c>
    </row>
    <row r="1431" spans="1:7" x14ac:dyDescent="0.25">
      <c r="A1431" t="s">
        <v>3</v>
      </c>
      <c r="B1431">
        <v>1429</v>
      </c>
      <c r="C1431">
        <v>40</v>
      </c>
      <c r="D1431" s="3">
        <v>26.603205680847168</v>
      </c>
      <c r="E1431" s="3" t="s">
        <v>10</v>
      </c>
      <c r="F1431" s="3" t="s">
        <v>43</v>
      </c>
      <c r="G1431" s="3">
        <v>6</v>
      </c>
    </row>
    <row r="1432" spans="1:7" x14ac:dyDescent="0.25">
      <c r="A1432" t="s">
        <v>3</v>
      </c>
      <c r="B1432">
        <v>1430</v>
      </c>
      <c r="C1432">
        <v>100</v>
      </c>
      <c r="D1432" s="2">
        <v>37.515313148498535</v>
      </c>
      <c r="E1432" s="2" t="s">
        <v>10</v>
      </c>
      <c r="F1432" s="2" t="s">
        <v>45</v>
      </c>
      <c r="G1432" s="2">
        <v>3.6</v>
      </c>
    </row>
    <row r="1433" spans="1:7" x14ac:dyDescent="0.25">
      <c r="A1433" t="s">
        <v>3</v>
      </c>
      <c r="B1433">
        <v>1431</v>
      </c>
      <c r="C1433">
        <v>100</v>
      </c>
      <c r="D1433" s="3">
        <v>21.625481367111206</v>
      </c>
      <c r="E1433" s="3" t="s">
        <v>10</v>
      </c>
      <c r="F1433" s="3" t="s">
        <v>13</v>
      </c>
      <c r="G1433" s="3">
        <v>10</v>
      </c>
    </row>
    <row r="1434" spans="1:7" x14ac:dyDescent="0.25">
      <c r="A1434" t="s">
        <v>3</v>
      </c>
      <c r="B1434">
        <v>1432</v>
      </c>
      <c r="C1434">
        <v>100</v>
      </c>
      <c r="D1434" s="2">
        <v>34.616770267486572</v>
      </c>
      <c r="E1434" s="2" t="s">
        <v>10</v>
      </c>
      <c r="F1434" s="2" t="s">
        <v>46</v>
      </c>
      <c r="G1434" s="2">
        <v>4.3</v>
      </c>
    </row>
    <row r="1435" spans="1:7" x14ac:dyDescent="0.25">
      <c r="A1435" t="s">
        <v>3</v>
      </c>
      <c r="B1435">
        <v>1433</v>
      </c>
      <c r="C1435">
        <v>100</v>
      </c>
      <c r="D1435" s="3">
        <v>39.772820711135864</v>
      </c>
      <c r="E1435" s="3" t="s">
        <v>10</v>
      </c>
      <c r="F1435" s="3" t="s">
        <v>47</v>
      </c>
      <c r="G1435" s="3">
        <v>7.5</v>
      </c>
    </row>
    <row r="1436" spans="1:7" x14ac:dyDescent="0.25">
      <c r="A1436" t="s">
        <v>3</v>
      </c>
      <c r="B1436">
        <v>1434</v>
      </c>
      <c r="C1436">
        <v>30</v>
      </c>
      <c r="D1436" s="2">
        <v>40.979738473892212</v>
      </c>
      <c r="E1436" s="2" t="s">
        <v>10</v>
      </c>
      <c r="F1436" s="2" t="s">
        <v>47</v>
      </c>
      <c r="G1436" s="2">
        <v>7.5</v>
      </c>
    </row>
    <row r="1437" spans="1:7" x14ac:dyDescent="0.25">
      <c r="A1437" t="s">
        <v>3</v>
      </c>
      <c r="B1437">
        <v>1435</v>
      </c>
      <c r="C1437">
        <v>100</v>
      </c>
      <c r="D1437" s="3">
        <v>31.249475717544556</v>
      </c>
      <c r="E1437" s="3" t="s">
        <v>10</v>
      </c>
      <c r="F1437" s="3" t="s">
        <v>47</v>
      </c>
      <c r="G1437" s="3">
        <v>7.5</v>
      </c>
    </row>
    <row r="1438" spans="1:7" x14ac:dyDescent="0.25">
      <c r="A1438" t="s">
        <v>3</v>
      </c>
      <c r="B1438">
        <v>1436</v>
      </c>
      <c r="C1438">
        <v>100</v>
      </c>
      <c r="D1438" s="2">
        <v>32.113776922225952</v>
      </c>
      <c r="E1438" s="2" t="s">
        <v>10</v>
      </c>
      <c r="F1438" s="2" t="s">
        <v>47</v>
      </c>
      <c r="G1438" s="2">
        <v>7.5</v>
      </c>
    </row>
    <row r="1439" spans="1:7" x14ac:dyDescent="0.25">
      <c r="A1439" t="s">
        <v>3</v>
      </c>
      <c r="B1439">
        <v>1437</v>
      </c>
      <c r="C1439">
        <v>100</v>
      </c>
      <c r="D1439" s="3">
        <v>33.024611711502075</v>
      </c>
      <c r="E1439" s="3" t="s">
        <v>10</v>
      </c>
      <c r="F1439" s="3" t="s">
        <v>47</v>
      </c>
      <c r="G1439" s="3">
        <v>7.5</v>
      </c>
    </row>
    <row r="1440" spans="1:7" x14ac:dyDescent="0.25">
      <c r="A1440" t="s">
        <v>3</v>
      </c>
      <c r="B1440">
        <v>1438</v>
      </c>
      <c r="C1440">
        <v>0</v>
      </c>
      <c r="D1440" s="2">
        <v>40.356953382492065</v>
      </c>
      <c r="E1440" s="2" t="s">
        <v>10</v>
      </c>
      <c r="F1440" s="2" t="s">
        <v>47</v>
      </c>
      <c r="G1440" s="2">
        <v>7.5</v>
      </c>
    </row>
    <row r="1441" spans="1:7" x14ac:dyDescent="0.25">
      <c r="A1441" t="s">
        <v>3</v>
      </c>
      <c r="B1441">
        <v>1439</v>
      </c>
      <c r="C1441">
        <v>100</v>
      </c>
      <c r="D1441" s="3">
        <v>23.124076843261719</v>
      </c>
      <c r="E1441" s="3" t="s">
        <v>10</v>
      </c>
      <c r="F1441" s="3" t="s">
        <v>47</v>
      </c>
      <c r="G1441" s="3">
        <v>7.5</v>
      </c>
    </row>
    <row r="1442" spans="1:7" x14ac:dyDescent="0.25">
      <c r="A1442" t="s">
        <v>3</v>
      </c>
      <c r="B1442">
        <v>1440</v>
      </c>
      <c r="C1442">
        <v>100</v>
      </c>
      <c r="D1442" s="2">
        <v>38.483212471008301</v>
      </c>
      <c r="E1442" s="2" t="s">
        <v>10</v>
      </c>
      <c r="F1442" s="2" t="s">
        <v>47</v>
      </c>
      <c r="G1442" s="2">
        <v>7.5</v>
      </c>
    </row>
    <row r="1443" spans="1:7" x14ac:dyDescent="0.25">
      <c r="A1443" t="s">
        <v>3</v>
      </c>
      <c r="B1443">
        <v>1441</v>
      </c>
      <c r="C1443">
        <v>85</v>
      </c>
      <c r="D1443" s="3">
        <v>40.509535312652588</v>
      </c>
      <c r="E1443" s="3" t="s">
        <v>10</v>
      </c>
      <c r="F1443" s="3" t="s">
        <v>47</v>
      </c>
      <c r="G1443" s="3">
        <v>7.5</v>
      </c>
    </row>
    <row r="1444" spans="1:7" x14ac:dyDescent="0.25">
      <c r="A1444" t="s">
        <v>3</v>
      </c>
      <c r="B1444">
        <v>1442</v>
      </c>
      <c r="C1444">
        <v>0</v>
      </c>
      <c r="D1444" s="2">
        <v>39.358086347579956</v>
      </c>
      <c r="E1444" s="2" t="s">
        <v>10</v>
      </c>
      <c r="F1444" s="2" t="s">
        <v>47</v>
      </c>
      <c r="G1444" s="2">
        <v>7.5</v>
      </c>
    </row>
    <row r="1445" spans="1:7" x14ac:dyDescent="0.25">
      <c r="A1445" t="s">
        <v>3</v>
      </c>
      <c r="B1445">
        <v>1443</v>
      </c>
      <c r="C1445">
        <v>100</v>
      </c>
      <c r="D1445" s="3">
        <v>41.875168085098267</v>
      </c>
      <c r="E1445" s="3" t="s">
        <v>10</v>
      </c>
      <c r="F1445" s="3" t="s">
        <v>47</v>
      </c>
      <c r="G1445" s="3">
        <v>7.5</v>
      </c>
    </row>
    <row r="1446" spans="1:7" x14ac:dyDescent="0.25">
      <c r="A1446" t="s">
        <v>3</v>
      </c>
      <c r="B1446">
        <v>1444</v>
      </c>
      <c r="C1446">
        <v>0</v>
      </c>
      <c r="D1446" s="2">
        <v>38.331477165222168</v>
      </c>
      <c r="E1446" s="2" t="s">
        <v>10</v>
      </c>
      <c r="F1446" s="2" t="s">
        <v>47</v>
      </c>
      <c r="G1446" s="2">
        <v>7.5</v>
      </c>
    </row>
    <row r="1447" spans="1:7" x14ac:dyDescent="0.25">
      <c r="A1447" t="s">
        <v>3</v>
      </c>
      <c r="B1447">
        <v>1445</v>
      </c>
      <c r="C1447">
        <v>100</v>
      </c>
      <c r="D1447" s="3">
        <v>30.073318958282471</v>
      </c>
      <c r="E1447" s="3" t="s">
        <v>10</v>
      </c>
      <c r="F1447" s="3" t="s">
        <v>50</v>
      </c>
      <c r="G1447" s="3">
        <v>6.9</v>
      </c>
    </row>
    <row r="1448" spans="1:7" x14ac:dyDescent="0.25">
      <c r="A1448" t="s">
        <v>3</v>
      </c>
      <c r="B1448">
        <v>1446</v>
      </c>
      <c r="C1448">
        <v>100</v>
      </c>
      <c r="D1448" s="2">
        <v>43.196935176849365</v>
      </c>
      <c r="E1448" s="2" t="s">
        <v>10</v>
      </c>
      <c r="F1448" s="2" t="s">
        <v>55</v>
      </c>
      <c r="G1448" s="2">
        <v>7.8</v>
      </c>
    </row>
    <row r="1449" spans="1:7" x14ac:dyDescent="0.25">
      <c r="A1449" t="s">
        <v>3</v>
      </c>
      <c r="B1449">
        <v>1447</v>
      </c>
      <c r="C1449">
        <v>20</v>
      </c>
      <c r="D1449" s="3">
        <v>31.559827327728271</v>
      </c>
      <c r="E1449" s="3" t="s">
        <v>10</v>
      </c>
      <c r="F1449" s="3" t="s">
        <v>39</v>
      </c>
      <c r="G1449" s="3">
        <v>6.8</v>
      </c>
    </row>
    <row r="1450" spans="1:7" x14ac:dyDescent="0.25">
      <c r="A1450" t="s">
        <v>3</v>
      </c>
      <c r="B1450">
        <v>1448</v>
      </c>
      <c r="C1450">
        <v>60</v>
      </c>
      <c r="D1450" s="2">
        <v>19.215914487838745</v>
      </c>
      <c r="E1450" s="2" t="s">
        <v>10</v>
      </c>
      <c r="F1450" s="2" t="s">
        <v>41</v>
      </c>
      <c r="G1450" s="2">
        <v>4.9000000000000004</v>
      </c>
    </row>
    <row r="1451" spans="1:7" x14ac:dyDescent="0.25">
      <c r="A1451" t="s">
        <v>3</v>
      </c>
      <c r="B1451">
        <v>1449</v>
      </c>
      <c r="C1451">
        <v>0</v>
      </c>
      <c r="D1451" s="3">
        <v>25.476965427398682</v>
      </c>
      <c r="E1451" s="3" t="s">
        <v>10</v>
      </c>
      <c r="F1451" s="3" t="s">
        <v>41</v>
      </c>
      <c r="G1451" s="3">
        <v>4.7</v>
      </c>
    </row>
    <row r="1452" spans="1:7" x14ac:dyDescent="0.25">
      <c r="A1452" t="s">
        <v>3</v>
      </c>
      <c r="B1452">
        <v>1450</v>
      </c>
      <c r="C1452">
        <v>100</v>
      </c>
      <c r="D1452" s="2">
        <v>31.790912628173828</v>
      </c>
      <c r="E1452" s="2" t="s">
        <v>10</v>
      </c>
      <c r="F1452" s="2" t="s">
        <v>41</v>
      </c>
      <c r="G1452" s="2">
        <v>4.7</v>
      </c>
    </row>
    <row r="1453" spans="1:7" x14ac:dyDescent="0.25">
      <c r="A1453" t="s">
        <v>3</v>
      </c>
      <c r="B1453">
        <v>1451</v>
      </c>
      <c r="C1453">
        <v>100</v>
      </c>
      <c r="D1453" s="3">
        <v>26.179857969284058</v>
      </c>
      <c r="E1453" s="3" t="s">
        <v>10</v>
      </c>
      <c r="F1453" s="3" t="s">
        <v>41</v>
      </c>
      <c r="G1453" s="3">
        <v>4.7</v>
      </c>
    </row>
    <row r="1454" spans="1:7" x14ac:dyDescent="0.25">
      <c r="A1454" t="s">
        <v>3</v>
      </c>
      <c r="B1454">
        <v>1452</v>
      </c>
      <c r="C1454">
        <v>100</v>
      </c>
      <c r="D1454" s="2">
        <v>32.687723398208618</v>
      </c>
      <c r="E1454" s="2" t="s">
        <v>10</v>
      </c>
      <c r="F1454" s="2" t="s">
        <v>41</v>
      </c>
      <c r="G1454" s="2">
        <v>4.7</v>
      </c>
    </row>
    <row r="1455" spans="1:7" x14ac:dyDescent="0.25">
      <c r="A1455" t="s">
        <v>3</v>
      </c>
      <c r="B1455">
        <v>1453</v>
      </c>
      <c r="C1455">
        <v>40</v>
      </c>
      <c r="D1455" s="3">
        <v>28.549330234527588</v>
      </c>
      <c r="E1455" s="3" t="s">
        <v>10</v>
      </c>
      <c r="F1455" s="3" t="s">
        <v>41</v>
      </c>
      <c r="G1455" s="3">
        <v>4.7</v>
      </c>
    </row>
    <row r="1456" spans="1:7" x14ac:dyDescent="0.25">
      <c r="A1456" t="s">
        <v>3</v>
      </c>
      <c r="B1456">
        <v>1454</v>
      </c>
      <c r="C1456">
        <v>100</v>
      </c>
      <c r="D1456" s="2">
        <v>41.844744205474854</v>
      </c>
      <c r="E1456" s="2" t="s">
        <v>10</v>
      </c>
      <c r="F1456" s="2" t="s">
        <v>41</v>
      </c>
      <c r="G1456" s="2">
        <v>4.7</v>
      </c>
    </row>
    <row r="1457" spans="1:7" x14ac:dyDescent="0.25">
      <c r="A1457" t="s">
        <v>3</v>
      </c>
      <c r="B1457">
        <v>1455</v>
      </c>
      <c r="C1457">
        <v>100</v>
      </c>
      <c r="D1457" s="3">
        <v>35.395891427993774</v>
      </c>
      <c r="E1457" s="3" t="s">
        <v>10</v>
      </c>
      <c r="F1457" s="3" t="s">
        <v>41</v>
      </c>
      <c r="G1457" s="3">
        <v>4.7</v>
      </c>
    </row>
    <row r="1458" spans="1:7" x14ac:dyDescent="0.25">
      <c r="A1458" t="s">
        <v>3</v>
      </c>
      <c r="B1458">
        <v>1456</v>
      </c>
      <c r="C1458">
        <v>100</v>
      </c>
      <c r="D1458" s="2">
        <v>37.201683759689331</v>
      </c>
      <c r="E1458" s="2" t="s">
        <v>10</v>
      </c>
      <c r="F1458" s="2" t="s">
        <v>41</v>
      </c>
      <c r="G1458" s="2">
        <v>4.7</v>
      </c>
    </row>
    <row r="1459" spans="1:7" x14ac:dyDescent="0.25">
      <c r="A1459" t="s">
        <v>3</v>
      </c>
      <c r="B1459">
        <v>1457</v>
      </c>
      <c r="C1459">
        <v>0</v>
      </c>
      <c r="D1459" s="3">
        <v>28.211918592453003</v>
      </c>
      <c r="E1459" s="3" t="s">
        <v>10</v>
      </c>
      <c r="F1459" s="3" t="s">
        <v>41</v>
      </c>
      <c r="G1459" s="3">
        <v>4.7</v>
      </c>
    </row>
    <row r="1460" spans="1:7" x14ac:dyDescent="0.25">
      <c r="A1460" t="s">
        <v>3</v>
      </c>
      <c r="B1460">
        <v>1458</v>
      </c>
      <c r="C1460">
        <v>100</v>
      </c>
      <c r="D1460" s="2">
        <v>40.531254768371582</v>
      </c>
      <c r="E1460" s="2" t="s">
        <v>10</v>
      </c>
      <c r="F1460" s="2" t="s">
        <v>41</v>
      </c>
      <c r="G1460" s="2">
        <v>5.4</v>
      </c>
    </row>
    <row r="1461" spans="1:7" x14ac:dyDescent="0.25">
      <c r="A1461" t="s">
        <v>3</v>
      </c>
      <c r="B1461">
        <v>1459</v>
      </c>
      <c r="C1461">
        <v>100</v>
      </c>
      <c r="D1461" s="3">
        <v>42.288676977157593</v>
      </c>
      <c r="E1461" s="3" t="s">
        <v>10</v>
      </c>
      <c r="F1461" s="3" t="s">
        <v>41</v>
      </c>
      <c r="G1461" s="3">
        <v>5</v>
      </c>
    </row>
    <row r="1462" spans="1:7" x14ac:dyDescent="0.25">
      <c r="A1462" t="s">
        <v>3</v>
      </c>
      <c r="B1462">
        <v>1460</v>
      </c>
      <c r="C1462">
        <v>100</v>
      </c>
      <c r="D1462" s="2">
        <v>35.064452409744263</v>
      </c>
      <c r="E1462" s="2" t="s">
        <v>10</v>
      </c>
      <c r="F1462" s="2" t="s">
        <v>41</v>
      </c>
      <c r="G1462" s="2">
        <v>5</v>
      </c>
    </row>
    <row r="1463" spans="1:7" x14ac:dyDescent="0.25">
      <c r="A1463" t="s">
        <v>3</v>
      </c>
      <c r="B1463">
        <v>1461</v>
      </c>
      <c r="C1463">
        <v>95</v>
      </c>
      <c r="D1463" s="3">
        <v>34.132831335067749</v>
      </c>
      <c r="E1463" s="3" t="s">
        <v>10</v>
      </c>
      <c r="F1463" s="3" t="s">
        <v>41</v>
      </c>
      <c r="G1463" s="3">
        <v>4.4000000000000004</v>
      </c>
    </row>
    <row r="1464" spans="1:7" x14ac:dyDescent="0.25">
      <c r="A1464" t="s">
        <v>3</v>
      </c>
      <c r="B1464">
        <v>1462</v>
      </c>
      <c r="C1464">
        <v>100</v>
      </c>
      <c r="D1464" s="2">
        <v>31.613105297088623</v>
      </c>
      <c r="E1464" s="2" t="s">
        <v>10</v>
      </c>
      <c r="F1464" s="2" t="s">
        <v>41</v>
      </c>
      <c r="G1464" s="2">
        <v>4.4000000000000004</v>
      </c>
    </row>
    <row r="1465" spans="1:7" x14ac:dyDescent="0.25">
      <c r="A1465" t="s">
        <v>3</v>
      </c>
      <c r="B1465">
        <v>1463</v>
      </c>
      <c r="C1465">
        <v>100</v>
      </c>
      <c r="D1465" s="3">
        <v>25.167040824890137</v>
      </c>
      <c r="E1465" s="3" t="s">
        <v>10</v>
      </c>
      <c r="F1465" s="3" t="s">
        <v>41</v>
      </c>
      <c r="G1465" s="3">
        <v>7.2</v>
      </c>
    </row>
    <row r="1466" spans="1:7" x14ac:dyDescent="0.25">
      <c r="A1466" t="s">
        <v>3</v>
      </c>
      <c r="B1466">
        <v>1464</v>
      </c>
      <c r="C1466">
        <v>25</v>
      </c>
      <c r="D1466" s="2">
        <v>33.622780323028564</v>
      </c>
      <c r="E1466" s="2" t="s">
        <v>10</v>
      </c>
      <c r="F1466" s="2" t="s">
        <v>43</v>
      </c>
      <c r="G1466" s="2">
        <v>4.9000000000000004</v>
      </c>
    </row>
    <row r="1467" spans="1:7" x14ac:dyDescent="0.25">
      <c r="A1467" t="s">
        <v>3</v>
      </c>
      <c r="B1467">
        <v>1465</v>
      </c>
      <c r="C1467">
        <v>100</v>
      </c>
      <c r="D1467" s="3">
        <v>42.463685274124146</v>
      </c>
      <c r="E1467" s="3" t="s">
        <v>10</v>
      </c>
      <c r="F1467" s="3" t="s">
        <v>43</v>
      </c>
      <c r="G1467" s="3">
        <v>4.9000000000000004</v>
      </c>
    </row>
    <row r="1468" spans="1:7" x14ac:dyDescent="0.25">
      <c r="A1468" t="s">
        <v>3</v>
      </c>
      <c r="B1468">
        <v>1466</v>
      </c>
      <c r="C1468">
        <v>100</v>
      </c>
      <c r="D1468" s="2">
        <v>102.03860569000244</v>
      </c>
      <c r="E1468" s="2" t="s">
        <v>10</v>
      </c>
      <c r="F1468" s="2" t="s">
        <v>43</v>
      </c>
      <c r="G1468" s="2">
        <v>4.9000000000000004</v>
      </c>
    </row>
    <row r="1469" spans="1:7" x14ac:dyDescent="0.25">
      <c r="A1469" t="s">
        <v>3</v>
      </c>
      <c r="B1469">
        <v>1467</v>
      </c>
      <c r="C1469">
        <v>0</v>
      </c>
      <c r="D1469" s="3">
        <v>35.355974197387695</v>
      </c>
      <c r="E1469" s="3" t="s">
        <v>10</v>
      </c>
      <c r="F1469" s="3" t="s">
        <v>43</v>
      </c>
      <c r="G1469" s="3">
        <v>4.9000000000000004</v>
      </c>
    </row>
    <row r="1470" spans="1:7" x14ac:dyDescent="0.25">
      <c r="A1470" t="s">
        <v>3</v>
      </c>
      <c r="B1470">
        <v>1468</v>
      </c>
      <c r="C1470">
        <v>100</v>
      </c>
      <c r="D1470" s="2">
        <v>26.428590297698975</v>
      </c>
      <c r="E1470" s="2" t="s">
        <v>10</v>
      </c>
      <c r="F1470" s="2" t="s">
        <v>43</v>
      </c>
      <c r="G1470" s="2">
        <v>4.9000000000000004</v>
      </c>
    </row>
    <row r="1471" spans="1:7" x14ac:dyDescent="0.25">
      <c r="A1471" t="s">
        <v>3</v>
      </c>
      <c r="B1471">
        <v>1469</v>
      </c>
      <c r="C1471">
        <v>100</v>
      </c>
      <c r="D1471" s="3">
        <v>48.826679468154907</v>
      </c>
      <c r="E1471" s="3" t="s">
        <v>10</v>
      </c>
      <c r="F1471" s="3" t="s">
        <v>43</v>
      </c>
      <c r="G1471" s="3">
        <v>4.9000000000000004</v>
      </c>
    </row>
    <row r="1472" spans="1:7" x14ac:dyDescent="0.25">
      <c r="A1472" t="s">
        <v>3</v>
      </c>
      <c r="B1472">
        <v>1470</v>
      </c>
      <c r="C1472">
        <v>0</v>
      </c>
      <c r="D1472" s="2">
        <v>646.93732213973999</v>
      </c>
      <c r="E1472" s="2" t="s">
        <v>10</v>
      </c>
      <c r="F1472" s="2" t="s">
        <v>43</v>
      </c>
      <c r="G1472" s="2">
        <v>4.9000000000000004</v>
      </c>
    </row>
    <row r="1473" spans="1:7" x14ac:dyDescent="0.25">
      <c r="A1473" t="s">
        <v>3</v>
      </c>
      <c r="B1473">
        <v>1471</v>
      </c>
      <c r="C1473">
        <v>100</v>
      </c>
      <c r="D1473" s="3">
        <v>34.068868160247803</v>
      </c>
      <c r="E1473" s="3" t="s">
        <v>10</v>
      </c>
      <c r="F1473" s="3" t="s">
        <v>43</v>
      </c>
      <c r="G1473" s="3">
        <v>4.9000000000000004</v>
      </c>
    </row>
    <row r="1474" spans="1:7" x14ac:dyDescent="0.25">
      <c r="A1474" t="s">
        <v>3</v>
      </c>
      <c r="B1474">
        <v>1472</v>
      </c>
      <c r="C1474">
        <v>0</v>
      </c>
      <c r="D1474" s="2">
        <v>37.338311672210693</v>
      </c>
      <c r="E1474" s="2" t="s">
        <v>10</v>
      </c>
      <c r="F1474" s="2" t="s">
        <v>43</v>
      </c>
      <c r="G1474" s="2">
        <v>4.7</v>
      </c>
    </row>
    <row r="1475" spans="1:7" x14ac:dyDescent="0.25">
      <c r="A1475" t="s">
        <v>3</v>
      </c>
      <c r="B1475">
        <v>1473</v>
      </c>
      <c r="C1475">
        <v>100</v>
      </c>
      <c r="D1475" s="3">
        <v>36.284256935119629</v>
      </c>
      <c r="E1475" s="3" t="s">
        <v>10</v>
      </c>
      <c r="F1475" s="3" t="s">
        <v>43</v>
      </c>
      <c r="G1475" s="3">
        <v>4.9000000000000004</v>
      </c>
    </row>
    <row r="1476" spans="1:7" x14ac:dyDescent="0.25">
      <c r="A1476" t="s">
        <v>3</v>
      </c>
      <c r="B1476">
        <v>1474</v>
      </c>
      <c r="C1476">
        <v>0</v>
      </c>
      <c r="D1476" s="2">
        <v>35.611459732055664</v>
      </c>
      <c r="E1476" s="2" t="s">
        <v>10</v>
      </c>
      <c r="F1476" s="2" t="s">
        <v>43</v>
      </c>
      <c r="G1476" s="2">
        <v>4.9000000000000004</v>
      </c>
    </row>
    <row r="1477" spans="1:7" x14ac:dyDescent="0.25">
      <c r="A1477" t="s">
        <v>3</v>
      </c>
      <c r="B1477">
        <v>1475</v>
      </c>
      <c r="C1477">
        <v>100</v>
      </c>
      <c r="D1477" s="3">
        <v>37.332095623016357</v>
      </c>
      <c r="E1477" s="3" t="s">
        <v>10</v>
      </c>
      <c r="F1477" s="3" t="s">
        <v>43</v>
      </c>
      <c r="G1477" s="3">
        <v>4.9000000000000004</v>
      </c>
    </row>
    <row r="1478" spans="1:7" x14ac:dyDescent="0.25">
      <c r="A1478" t="s">
        <v>3</v>
      </c>
      <c r="B1478">
        <v>1476</v>
      </c>
      <c r="C1478">
        <v>0</v>
      </c>
      <c r="D1478" s="2">
        <v>35.953709125518799</v>
      </c>
      <c r="E1478" s="2" t="s">
        <v>10</v>
      </c>
      <c r="F1478" s="2" t="s">
        <v>43</v>
      </c>
      <c r="G1478" s="2">
        <v>4.9000000000000004</v>
      </c>
    </row>
    <row r="1479" spans="1:7" x14ac:dyDescent="0.25">
      <c r="A1479" t="s">
        <v>3</v>
      </c>
      <c r="B1479">
        <v>1477</v>
      </c>
      <c r="C1479">
        <v>60</v>
      </c>
      <c r="D1479" s="3">
        <v>36.0304114818573</v>
      </c>
      <c r="E1479" s="3" t="s">
        <v>10</v>
      </c>
      <c r="F1479" s="3" t="s">
        <v>43</v>
      </c>
      <c r="G1479" s="3">
        <v>4.9000000000000004</v>
      </c>
    </row>
    <row r="1480" spans="1:7" x14ac:dyDescent="0.25">
      <c r="A1480" t="s">
        <v>3</v>
      </c>
      <c r="B1480">
        <v>1478</v>
      </c>
      <c r="C1480">
        <v>100</v>
      </c>
      <c r="D1480" s="2">
        <v>20.661875247955322</v>
      </c>
      <c r="E1480" s="2" t="s">
        <v>10</v>
      </c>
      <c r="F1480" s="2" t="s">
        <v>43</v>
      </c>
      <c r="G1480" s="2">
        <v>4.9000000000000004</v>
      </c>
    </row>
    <row r="1481" spans="1:7" x14ac:dyDescent="0.25">
      <c r="A1481" t="s">
        <v>3</v>
      </c>
      <c r="B1481">
        <v>1479</v>
      </c>
      <c r="C1481">
        <v>0</v>
      </c>
      <c r="D1481" s="3">
        <v>30.895212411880493</v>
      </c>
      <c r="E1481" s="3" t="s">
        <v>10</v>
      </c>
      <c r="F1481" s="3" t="s">
        <v>43</v>
      </c>
      <c r="G1481" s="3">
        <v>4.9000000000000004</v>
      </c>
    </row>
    <row r="1482" spans="1:7" x14ac:dyDescent="0.25">
      <c r="A1482" t="s">
        <v>3</v>
      </c>
      <c r="B1482">
        <v>1480</v>
      </c>
      <c r="C1482">
        <v>45</v>
      </c>
      <c r="D1482" s="2">
        <v>39.120111465454102</v>
      </c>
      <c r="E1482" s="2" t="s">
        <v>10</v>
      </c>
      <c r="F1482" s="2" t="s">
        <v>43</v>
      </c>
      <c r="G1482" s="2">
        <v>4.9000000000000004</v>
      </c>
    </row>
    <row r="1483" spans="1:7" x14ac:dyDescent="0.25">
      <c r="A1483" t="s">
        <v>3</v>
      </c>
      <c r="B1483">
        <v>1481</v>
      </c>
      <c r="C1483">
        <v>95</v>
      </c>
      <c r="D1483" s="3">
        <v>38.487318515777588</v>
      </c>
      <c r="E1483" s="3" t="s">
        <v>10</v>
      </c>
      <c r="F1483" s="3" t="s">
        <v>43</v>
      </c>
      <c r="G1483" s="3">
        <v>4.9000000000000004</v>
      </c>
    </row>
    <row r="1484" spans="1:7" x14ac:dyDescent="0.25">
      <c r="A1484" t="s">
        <v>3</v>
      </c>
      <c r="B1484">
        <v>1482</v>
      </c>
      <c r="C1484">
        <v>0</v>
      </c>
      <c r="D1484" s="2">
        <v>35.18939733505249</v>
      </c>
      <c r="E1484" s="2" t="s">
        <v>10</v>
      </c>
      <c r="F1484" s="2" t="s">
        <v>43</v>
      </c>
      <c r="G1484" s="2">
        <v>4.9000000000000004</v>
      </c>
    </row>
    <row r="1485" spans="1:7" x14ac:dyDescent="0.25">
      <c r="A1485" t="s">
        <v>3</v>
      </c>
      <c r="B1485">
        <v>1483</v>
      </c>
      <c r="C1485">
        <v>100</v>
      </c>
      <c r="D1485" s="3">
        <v>42.237830877304077</v>
      </c>
      <c r="E1485" s="3" t="s">
        <v>10</v>
      </c>
      <c r="F1485" s="3" t="s">
        <v>43</v>
      </c>
      <c r="G1485" s="3">
        <v>4.9000000000000004</v>
      </c>
    </row>
    <row r="1486" spans="1:7" x14ac:dyDescent="0.25">
      <c r="A1486" t="s">
        <v>3</v>
      </c>
      <c r="B1486">
        <v>1484</v>
      </c>
      <c r="C1486">
        <v>100</v>
      </c>
      <c r="D1486" s="2">
        <v>38.245563745498657</v>
      </c>
      <c r="E1486" s="2" t="s">
        <v>10</v>
      </c>
      <c r="F1486" s="2" t="s">
        <v>13</v>
      </c>
      <c r="G1486" s="2">
        <v>3.6</v>
      </c>
    </row>
    <row r="1487" spans="1:7" x14ac:dyDescent="0.25">
      <c r="A1487" t="s">
        <v>3</v>
      </c>
      <c r="B1487">
        <v>1485</v>
      </c>
      <c r="C1487">
        <v>100</v>
      </c>
      <c r="D1487" s="3">
        <v>43.891932725906372</v>
      </c>
      <c r="E1487" s="3" t="s">
        <v>10</v>
      </c>
      <c r="F1487" s="3" t="s">
        <v>59</v>
      </c>
      <c r="G1487" s="3">
        <v>3.3</v>
      </c>
    </row>
    <row r="1488" spans="1:7" x14ac:dyDescent="0.25">
      <c r="A1488" t="s">
        <v>3</v>
      </c>
      <c r="B1488">
        <v>1486</v>
      </c>
      <c r="C1488">
        <v>15</v>
      </c>
      <c r="D1488" s="2">
        <v>29.49106764793396</v>
      </c>
      <c r="E1488" s="2" t="s">
        <v>10</v>
      </c>
      <c r="F1488" s="2" t="s">
        <v>60</v>
      </c>
      <c r="G1488" s="2">
        <v>7.9</v>
      </c>
    </row>
    <row r="1489" spans="1:7" x14ac:dyDescent="0.25">
      <c r="A1489" t="s">
        <v>3</v>
      </c>
      <c r="B1489">
        <v>1487</v>
      </c>
      <c r="C1489">
        <v>0</v>
      </c>
      <c r="D1489" s="3">
        <v>42.144157409667969</v>
      </c>
      <c r="E1489" s="3" t="s">
        <v>10</v>
      </c>
      <c r="F1489" s="3" t="s">
        <v>60</v>
      </c>
      <c r="G1489" s="3">
        <v>7.9</v>
      </c>
    </row>
    <row r="1490" spans="1:7" x14ac:dyDescent="0.25">
      <c r="A1490" t="s">
        <v>3</v>
      </c>
      <c r="B1490">
        <v>1488</v>
      </c>
      <c r="C1490">
        <v>100</v>
      </c>
      <c r="D1490" s="2">
        <v>632.22637391090393</v>
      </c>
      <c r="E1490" s="2" t="s">
        <v>10</v>
      </c>
      <c r="F1490" s="2" t="s">
        <v>43</v>
      </c>
      <c r="G1490" s="2">
        <v>1.9</v>
      </c>
    </row>
    <row r="1491" spans="1:7" x14ac:dyDescent="0.25">
      <c r="A1491" t="s">
        <v>3</v>
      </c>
      <c r="B1491">
        <v>1489</v>
      </c>
      <c r="C1491">
        <v>100</v>
      </c>
      <c r="D1491" s="3">
        <v>41.811525583267212</v>
      </c>
      <c r="E1491" s="3" t="s">
        <v>10</v>
      </c>
      <c r="F1491" s="3" t="s">
        <v>43</v>
      </c>
      <c r="G1491" s="3">
        <v>1.9</v>
      </c>
    </row>
    <row r="1492" spans="1:7" x14ac:dyDescent="0.25">
      <c r="A1492" t="s">
        <v>3</v>
      </c>
      <c r="B1492">
        <v>1490</v>
      </c>
      <c r="C1492">
        <v>100</v>
      </c>
      <c r="D1492" s="2">
        <v>33.30231761932373</v>
      </c>
      <c r="E1492" s="2" t="s">
        <v>10</v>
      </c>
      <c r="F1492" s="2" t="s">
        <v>43</v>
      </c>
      <c r="G1492" s="2">
        <v>1.9</v>
      </c>
    </row>
    <row r="1493" spans="1:7" x14ac:dyDescent="0.25">
      <c r="A1493" t="s">
        <v>3</v>
      </c>
      <c r="B1493">
        <v>1491</v>
      </c>
      <c r="C1493">
        <v>30</v>
      </c>
      <c r="D1493" s="3">
        <v>32.973469734191895</v>
      </c>
      <c r="E1493" s="3" t="s">
        <v>10</v>
      </c>
      <c r="F1493" s="3" t="s">
        <v>43</v>
      </c>
      <c r="G1493" s="3">
        <v>1.9</v>
      </c>
    </row>
    <row r="1494" spans="1:7" x14ac:dyDescent="0.25">
      <c r="A1494" t="s">
        <v>3</v>
      </c>
      <c r="B1494">
        <v>1492</v>
      </c>
      <c r="C1494">
        <v>100</v>
      </c>
      <c r="D1494" s="2">
        <v>50.938571214675903</v>
      </c>
      <c r="E1494" s="2" t="s">
        <v>10</v>
      </c>
      <c r="F1494" s="2" t="s">
        <v>43</v>
      </c>
      <c r="G1494" s="2">
        <v>1.9</v>
      </c>
    </row>
    <row r="1495" spans="1:7" x14ac:dyDescent="0.25">
      <c r="A1495" t="s">
        <v>3</v>
      </c>
      <c r="B1495">
        <v>1493</v>
      </c>
      <c r="C1495">
        <v>100</v>
      </c>
      <c r="D1495" s="3">
        <v>31.787365913391113</v>
      </c>
      <c r="E1495" s="3" t="s">
        <v>10</v>
      </c>
      <c r="F1495" s="3" t="s">
        <v>43</v>
      </c>
      <c r="G1495" s="3">
        <v>1.9</v>
      </c>
    </row>
    <row r="1496" spans="1:7" x14ac:dyDescent="0.25">
      <c r="A1496" t="s">
        <v>3</v>
      </c>
      <c r="B1496">
        <v>1494</v>
      </c>
      <c r="C1496">
        <v>100</v>
      </c>
      <c r="D1496" s="2">
        <v>23.122648239135742</v>
      </c>
      <c r="E1496" s="2" t="s">
        <v>10</v>
      </c>
      <c r="F1496" s="2" t="s">
        <v>43</v>
      </c>
      <c r="G1496" s="2">
        <v>1.9</v>
      </c>
    </row>
    <row r="1497" spans="1:7" x14ac:dyDescent="0.25">
      <c r="A1497" t="s">
        <v>3</v>
      </c>
      <c r="B1497">
        <v>1495</v>
      </c>
      <c r="C1497">
        <v>70</v>
      </c>
      <c r="D1497" s="3">
        <v>49.183352947235107</v>
      </c>
      <c r="E1497" s="3" t="s">
        <v>10</v>
      </c>
      <c r="F1497" s="3" t="s">
        <v>43</v>
      </c>
      <c r="G1497" s="3">
        <v>1.9</v>
      </c>
    </row>
    <row r="1498" spans="1:7" x14ac:dyDescent="0.25">
      <c r="A1498" t="s">
        <v>3</v>
      </c>
      <c r="B1498">
        <v>1496</v>
      </c>
      <c r="C1498">
        <v>100</v>
      </c>
      <c r="D1498" s="2">
        <v>36.021098613739014</v>
      </c>
      <c r="E1498" s="2" t="s">
        <v>10</v>
      </c>
      <c r="F1498" s="2" t="s">
        <v>48</v>
      </c>
      <c r="G1498" s="2">
        <v>6.9</v>
      </c>
    </row>
    <row r="1499" spans="1:7" x14ac:dyDescent="0.25">
      <c r="A1499" t="s">
        <v>3</v>
      </c>
      <c r="B1499">
        <v>1497</v>
      </c>
      <c r="C1499">
        <v>100</v>
      </c>
      <c r="D1499" s="3">
        <v>29.282628536224365</v>
      </c>
      <c r="E1499" s="3" t="s">
        <v>10</v>
      </c>
      <c r="F1499" s="3" t="s">
        <v>43</v>
      </c>
      <c r="G1499" s="3">
        <v>2.1</v>
      </c>
    </row>
    <row r="1500" spans="1:7" x14ac:dyDescent="0.25">
      <c r="A1500" t="s">
        <v>3</v>
      </c>
      <c r="B1500">
        <v>1498</v>
      </c>
      <c r="C1500">
        <v>100</v>
      </c>
      <c r="D1500" s="2">
        <v>29.792273998260498</v>
      </c>
      <c r="E1500" s="2" t="s">
        <v>10</v>
      </c>
      <c r="F1500" s="2" t="s">
        <v>43</v>
      </c>
      <c r="G1500" s="2">
        <v>2.1</v>
      </c>
    </row>
    <row r="1501" spans="1:7" x14ac:dyDescent="0.25">
      <c r="A1501" t="s">
        <v>3</v>
      </c>
      <c r="B1501">
        <v>1499</v>
      </c>
      <c r="C1501">
        <v>100</v>
      </c>
      <c r="D1501" s="3">
        <v>36.459429740905762</v>
      </c>
      <c r="E1501" s="3" t="s">
        <v>10</v>
      </c>
      <c r="F1501" s="3" t="s">
        <v>43</v>
      </c>
      <c r="G1501" s="3">
        <v>2.1</v>
      </c>
    </row>
    <row r="1502" spans="1:7" x14ac:dyDescent="0.25">
      <c r="A1502" t="s">
        <v>3</v>
      </c>
      <c r="B1502">
        <v>1500</v>
      </c>
      <c r="C1502">
        <v>100</v>
      </c>
      <c r="D1502" s="2">
        <v>22.929212808609009</v>
      </c>
      <c r="E1502" s="2" t="s">
        <v>10</v>
      </c>
      <c r="F1502" s="2" t="s">
        <v>43</v>
      </c>
      <c r="G1502" s="2">
        <v>2.1</v>
      </c>
    </row>
    <row r="1503" spans="1:7" x14ac:dyDescent="0.25">
      <c r="A1503" t="s">
        <v>3</v>
      </c>
      <c r="B1503">
        <v>1501</v>
      </c>
      <c r="C1503">
        <v>100</v>
      </c>
      <c r="D1503" s="3">
        <v>27.772850513458252</v>
      </c>
      <c r="E1503" s="3" t="s">
        <v>10</v>
      </c>
      <c r="F1503" s="3" t="s">
        <v>43</v>
      </c>
      <c r="G1503" s="3">
        <v>2.1</v>
      </c>
    </row>
    <row r="1504" spans="1:7" x14ac:dyDescent="0.25">
      <c r="A1504" t="s">
        <v>3</v>
      </c>
      <c r="B1504">
        <v>1502</v>
      </c>
      <c r="C1504">
        <v>100</v>
      </c>
      <c r="D1504" s="2">
        <v>30.799726724624634</v>
      </c>
      <c r="E1504" s="2" t="s">
        <v>10</v>
      </c>
      <c r="F1504" s="2" t="s">
        <v>43</v>
      </c>
      <c r="G1504" s="2">
        <v>2.1</v>
      </c>
    </row>
    <row r="1505" spans="1:7" x14ac:dyDescent="0.25">
      <c r="A1505" t="s">
        <v>3</v>
      </c>
      <c r="B1505">
        <v>1503</v>
      </c>
      <c r="C1505">
        <v>100</v>
      </c>
      <c r="D1505" s="3">
        <v>25.224205255508423</v>
      </c>
      <c r="E1505" s="3" t="s">
        <v>10</v>
      </c>
      <c r="F1505" s="3" t="s">
        <v>43</v>
      </c>
      <c r="G1505" s="3">
        <v>2.1</v>
      </c>
    </row>
    <row r="1506" spans="1:7" x14ac:dyDescent="0.25">
      <c r="A1506" t="s">
        <v>3</v>
      </c>
      <c r="B1506">
        <v>1504</v>
      </c>
      <c r="C1506">
        <v>100</v>
      </c>
      <c r="D1506" s="2">
        <v>29.636981964111328</v>
      </c>
      <c r="E1506" s="2" t="s">
        <v>10</v>
      </c>
      <c r="F1506" s="2" t="s">
        <v>43</v>
      </c>
      <c r="G1506" s="2">
        <v>2.1</v>
      </c>
    </row>
    <row r="1507" spans="1:7" x14ac:dyDescent="0.25">
      <c r="A1507" t="s">
        <v>3</v>
      </c>
      <c r="B1507">
        <v>1505</v>
      </c>
      <c r="C1507">
        <v>100</v>
      </c>
      <c r="D1507" s="3">
        <v>32.703119516372681</v>
      </c>
      <c r="E1507" s="3" t="s">
        <v>10</v>
      </c>
      <c r="F1507" s="3" t="s">
        <v>43</v>
      </c>
      <c r="G1507" s="3">
        <v>2.1</v>
      </c>
    </row>
    <row r="1508" spans="1:7" x14ac:dyDescent="0.25">
      <c r="A1508" t="s">
        <v>3</v>
      </c>
      <c r="B1508">
        <v>1506</v>
      </c>
      <c r="C1508">
        <v>100</v>
      </c>
      <c r="D1508" s="2">
        <v>20.987160205841064</v>
      </c>
      <c r="E1508" s="2" t="s">
        <v>10</v>
      </c>
      <c r="F1508" s="2" t="s">
        <v>43</v>
      </c>
      <c r="G1508" s="2">
        <v>2.1</v>
      </c>
    </row>
    <row r="1509" spans="1:7" x14ac:dyDescent="0.25">
      <c r="A1509" t="s">
        <v>3</v>
      </c>
      <c r="B1509">
        <v>1507</v>
      </c>
      <c r="C1509">
        <v>100</v>
      </c>
      <c r="D1509" s="3">
        <v>24.745112895965576</v>
      </c>
      <c r="E1509" s="3" t="s">
        <v>10</v>
      </c>
      <c r="F1509" s="3" t="s">
        <v>43</v>
      </c>
      <c r="G1509" s="3">
        <v>2.1</v>
      </c>
    </row>
    <row r="1510" spans="1:7" x14ac:dyDescent="0.25">
      <c r="A1510" t="s">
        <v>3</v>
      </c>
      <c r="B1510">
        <v>1508</v>
      </c>
      <c r="C1510">
        <v>65</v>
      </c>
      <c r="D1510" s="2">
        <v>24.840485095977783</v>
      </c>
      <c r="E1510" s="2" t="s">
        <v>10</v>
      </c>
      <c r="F1510" s="2" t="s">
        <v>43</v>
      </c>
      <c r="G1510" s="2">
        <v>2.1</v>
      </c>
    </row>
    <row r="1511" spans="1:7" x14ac:dyDescent="0.25">
      <c r="A1511" t="s">
        <v>3</v>
      </c>
      <c r="B1511">
        <v>1509</v>
      </c>
      <c r="C1511">
        <v>40</v>
      </c>
      <c r="D1511" s="3">
        <v>17.644688367843628</v>
      </c>
      <c r="E1511" s="3" t="s">
        <v>10</v>
      </c>
      <c r="F1511" s="3" t="s">
        <v>61</v>
      </c>
      <c r="G1511" s="3">
        <v>2.1</v>
      </c>
    </row>
    <row r="1512" spans="1:7" x14ac:dyDescent="0.25">
      <c r="A1512" t="s">
        <v>3</v>
      </c>
      <c r="B1512">
        <v>1510</v>
      </c>
      <c r="C1512">
        <v>30</v>
      </c>
      <c r="D1512" s="2">
        <v>20.409380197525024</v>
      </c>
      <c r="E1512" s="2" t="s">
        <v>10</v>
      </c>
      <c r="F1512" s="2" t="s">
        <v>61</v>
      </c>
      <c r="G1512" s="2">
        <v>2.1</v>
      </c>
    </row>
    <row r="1513" spans="1:7" x14ac:dyDescent="0.25">
      <c r="A1513" t="s">
        <v>3</v>
      </c>
      <c r="B1513">
        <v>1511</v>
      </c>
      <c r="C1513">
        <v>0</v>
      </c>
      <c r="D1513" s="3">
        <v>21.581491708755493</v>
      </c>
      <c r="E1513" s="3" t="s">
        <v>10</v>
      </c>
      <c r="F1513" s="3" t="s">
        <v>61</v>
      </c>
      <c r="G1513" s="3">
        <v>2.1</v>
      </c>
    </row>
    <row r="1514" spans="1:7" x14ac:dyDescent="0.25">
      <c r="A1514" t="s">
        <v>3</v>
      </c>
      <c r="B1514">
        <v>1512</v>
      </c>
      <c r="C1514">
        <v>0</v>
      </c>
      <c r="D1514" s="2">
        <v>41.021108627319336</v>
      </c>
      <c r="E1514" s="2" t="s">
        <v>10</v>
      </c>
      <c r="F1514" s="2" t="s">
        <v>41</v>
      </c>
      <c r="G1514" s="2">
        <v>4.9000000000000004</v>
      </c>
    </row>
    <row r="1515" spans="1:7" x14ac:dyDescent="0.25">
      <c r="A1515" t="s">
        <v>3</v>
      </c>
      <c r="B1515">
        <v>1513</v>
      </c>
      <c r="C1515">
        <v>50</v>
      </c>
      <c r="D1515" s="3">
        <v>25.666707754135132</v>
      </c>
      <c r="E1515" s="3" t="s">
        <v>10</v>
      </c>
      <c r="F1515" s="3" t="s">
        <v>39</v>
      </c>
      <c r="G1515" s="3">
        <v>7.5</v>
      </c>
    </row>
    <row r="1516" spans="1:7" x14ac:dyDescent="0.25">
      <c r="A1516" t="s">
        <v>3</v>
      </c>
      <c r="B1516">
        <v>1514</v>
      </c>
      <c r="C1516">
        <v>0</v>
      </c>
      <c r="D1516" s="2">
        <v>22.487590074539185</v>
      </c>
      <c r="E1516" s="2" t="s">
        <v>10</v>
      </c>
      <c r="F1516" s="2" t="s">
        <v>39</v>
      </c>
      <c r="G1516" s="2">
        <v>7.5</v>
      </c>
    </row>
    <row r="1517" spans="1:7" x14ac:dyDescent="0.25">
      <c r="A1517" t="s">
        <v>3</v>
      </c>
      <c r="B1517">
        <v>1515</v>
      </c>
      <c r="C1517">
        <v>100</v>
      </c>
      <c r="D1517" s="3">
        <v>64.713346481323242</v>
      </c>
      <c r="E1517" s="3" t="s">
        <v>10</v>
      </c>
      <c r="F1517" s="3" t="s">
        <v>41</v>
      </c>
      <c r="G1517" s="3">
        <v>5.4</v>
      </c>
    </row>
    <row r="1518" spans="1:7" x14ac:dyDescent="0.25">
      <c r="A1518" t="s">
        <v>3</v>
      </c>
      <c r="B1518">
        <v>1516</v>
      </c>
      <c r="C1518">
        <v>95</v>
      </c>
      <c r="D1518" s="2">
        <v>44.391365051269531</v>
      </c>
      <c r="E1518" s="2" t="s">
        <v>10</v>
      </c>
      <c r="F1518" s="2" t="s">
        <v>39</v>
      </c>
      <c r="G1518" s="2">
        <v>6.8</v>
      </c>
    </row>
    <row r="1519" spans="1:7" x14ac:dyDescent="0.25">
      <c r="A1519" t="s">
        <v>3</v>
      </c>
      <c r="B1519">
        <v>1517</v>
      </c>
      <c r="C1519">
        <v>20</v>
      </c>
      <c r="D1519" s="3">
        <v>21.657716989517212</v>
      </c>
      <c r="E1519" s="3" t="s">
        <v>10</v>
      </c>
      <c r="F1519" s="3" t="s">
        <v>41</v>
      </c>
      <c r="G1519" s="3">
        <v>4.7</v>
      </c>
    </row>
    <row r="1520" spans="1:7" x14ac:dyDescent="0.25">
      <c r="A1520" t="s">
        <v>3</v>
      </c>
      <c r="B1520">
        <v>1518</v>
      </c>
      <c r="C1520">
        <v>100</v>
      </c>
      <c r="D1520" s="2">
        <v>20.301244020462036</v>
      </c>
      <c r="E1520" s="2" t="s">
        <v>10</v>
      </c>
      <c r="F1520" s="2" t="s">
        <v>43</v>
      </c>
      <c r="G1520" s="2">
        <v>2.1</v>
      </c>
    </row>
    <row r="1521" spans="1:7" x14ac:dyDescent="0.25">
      <c r="A1521" t="s">
        <v>3</v>
      </c>
      <c r="B1521">
        <v>1519</v>
      </c>
      <c r="C1521">
        <v>100</v>
      </c>
      <c r="D1521" s="3">
        <v>29.998006820678711</v>
      </c>
      <c r="E1521" s="3" t="s">
        <v>10</v>
      </c>
      <c r="F1521" s="3" t="s">
        <v>41</v>
      </c>
      <c r="G1521" s="3">
        <v>3.8</v>
      </c>
    </row>
    <row r="1522" spans="1:7" x14ac:dyDescent="0.25">
      <c r="A1522" t="s">
        <v>3</v>
      </c>
      <c r="B1522">
        <v>1520</v>
      </c>
      <c r="C1522">
        <v>100</v>
      </c>
      <c r="D1522" s="2">
        <v>34.891247749328613</v>
      </c>
      <c r="E1522" s="2" t="s">
        <v>10</v>
      </c>
      <c r="F1522" s="2" t="s">
        <v>46</v>
      </c>
      <c r="G1522" s="2">
        <v>4.9000000000000004</v>
      </c>
    </row>
    <row r="1523" spans="1:7" x14ac:dyDescent="0.25">
      <c r="A1523" t="s">
        <v>3</v>
      </c>
      <c r="B1523">
        <v>1521</v>
      </c>
      <c r="C1523">
        <v>100</v>
      </c>
      <c r="D1523" s="3">
        <v>29.511553287506104</v>
      </c>
      <c r="E1523" s="3" t="s">
        <v>10</v>
      </c>
      <c r="F1523" s="3" t="s">
        <v>56</v>
      </c>
      <c r="G1523" s="3">
        <v>7.2</v>
      </c>
    </row>
    <row r="1524" spans="1:7" x14ac:dyDescent="0.25">
      <c r="A1524" t="s">
        <v>3</v>
      </c>
      <c r="B1524">
        <v>1522</v>
      </c>
      <c r="C1524">
        <v>30</v>
      </c>
      <c r="D1524" s="2">
        <v>30.77216362953186</v>
      </c>
      <c r="E1524" s="2" t="s">
        <v>10</v>
      </c>
      <c r="F1524" s="2" t="s">
        <v>43</v>
      </c>
      <c r="G1524" s="2">
        <v>2.6</v>
      </c>
    </row>
    <row r="1525" spans="1:7" x14ac:dyDescent="0.25">
      <c r="A1525" t="s">
        <v>3</v>
      </c>
      <c r="B1525">
        <v>1523</v>
      </c>
      <c r="C1525">
        <v>100</v>
      </c>
      <c r="D1525" s="3">
        <v>27.278965950012207</v>
      </c>
      <c r="E1525" s="3" t="s">
        <v>10</v>
      </c>
      <c r="F1525" s="3" t="s">
        <v>46</v>
      </c>
      <c r="G1525" s="3">
        <v>4.7</v>
      </c>
    </row>
    <row r="1526" spans="1:7" x14ac:dyDescent="0.25">
      <c r="A1526" t="s">
        <v>3</v>
      </c>
      <c r="B1526">
        <v>1524</v>
      </c>
      <c r="C1526">
        <v>70</v>
      </c>
      <c r="D1526" s="2">
        <v>37.816817045211792</v>
      </c>
      <c r="E1526" s="2" t="s">
        <v>10</v>
      </c>
      <c r="F1526" s="2" t="s">
        <v>41</v>
      </c>
      <c r="G1526" s="2">
        <v>7.8</v>
      </c>
    </row>
    <row r="1527" spans="1:7" x14ac:dyDescent="0.25">
      <c r="A1527" t="s">
        <v>3</v>
      </c>
      <c r="B1527">
        <v>1525</v>
      </c>
      <c r="C1527">
        <v>15</v>
      </c>
      <c r="D1527" s="3">
        <v>21.41009259223938</v>
      </c>
      <c r="E1527" s="3" t="s">
        <v>10</v>
      </c>
      <c r="F1527" s="3" t="s">
        <v>41</v>
      </c>
      <c r="G1527" s="3">
        <v>7.8</v>
      </c>
    </row>
    <row r="1528" spans="1:7" x14ac:dyDescent="0.25">
      <c r="A1528" t="s">
        <v>3</v>
      </c>
      <c r="B1528">
        <v>1526</v>
      </c>
      <c r="C1528">
        <v>100</v>
      </c>
      <c r="D1528" s="2">
        <v>35.158970594406128</v>
      </c>
      <c r="E1528" s="2" t="s">
        <v>10</v>
      </c>
      <c r="F1528" s="2" t="s">
        <v>41</v>
      </c>
      <c r="G1528" s="2">
        <v>4.7</v>
      </c>
    </row>
    <row r="1529" spans="1:7" x14ac:dyDescent="0.25">
      <c r="A1529" t="s">
        <v>3</v>
      </c>
      <c r="B1529">
        <v>1527</v>
      </c>
      <c r="C1529">
        <v>0</v>
      </c>
      <c r="D1529" s="3">
        <v>33.45417046546936</v>
      </c>
      <c r="E1529" s="3" t="s">
        <v>10</v>
      </c>
      <c r="F1529" s="3" t="s">
        <v>56</v>
      </c>
      <c r="G1529" s="3">
        <v>3.7</v>
      </c>
    </row>
    <row r="1530" spans="1:7" x14ac:dyDescent="0.25">
      <c r="A1530" t="s">
        <v>3</v>
      </c>
      <c r="B1530">
        <v>1528</v>
      </c>
      <c r="C1530">
        <v>30</v>
      </c>
      <c r="D1530" s="2">
        <v>33.550537824630737</v>
      </c>
      <c r="E1530" s="2" t="s">
        <v>10</v>
      </c>
      <c r="F1530" s="2" t="s">
        <v>56</v>
      </c>
      <c r="G1530" s="2">
        <v>3.7</v>
      </c>
    </row>
    <row r="1531" spans="1:7" x14ac:dyDescent="0.25">
      <c r="A1531" t="s">
        <v>3</v>
      </c>
      <c r="B1531">
        <v>1529</v>
      </c>
      <c r="C1531">
        <v>70</v>
      </c>
      <c r="D1531" s="3">
        <v>30.501604795455933</v>
      </c>
      <c r="E1531" s="3" t="s">
        <v>10</v>
      </c>
      <c r="F1531" s="3" t="s">
        <v>45</v>
      </c>
      <c r="G1531" s="3">
        <v>1.9</v>
      </c>
    </row>
    <row r="1532" spans="1:7" x14ac:dyDescent="0.25">
      <c r="A1532" t="s">
        <v>3</v>
      </c>
      <c r="B1532">
        <v>1530</v>
      </c>
      <c r="C1532">
        <v>20</v>
      </c>
      <c r="D1532" s="2">
        <v>29.196891307830811</v>
      </c>
      <c r="E1532" s="2" t="s">
        <v>10</v>
      </c>
      <c r="F1532" s="2" t="s">
        <v>45</v>
      </c>
      <c r="G1532" s="2">
        <v>4.7</v>
      </c>
    </row>
    <row r="1533" spans="1:7" x14ac:dyDescent="0.25">
      <c r="A1533" t="s">
        <v>3</v>
      </c>
      <c r="B1533">
        <v>1531</v>
      </c>
      <c r="C1533">
        <v>25</v>
      </c>
      <c r="D1533" s="3">
        <v>44.908185005187988</v>
      </c>
      <c r="E1533" s="3" t="s">
        <v>10</v>
      </c>
      <c r="F1533" s="3" t="s">
        <v>45</v>
      </c>
      <c r="G1533" s="3">
        <v>4.7</v>
      </c>
    </row>
    <row r="1534" spans="1:7" x14ac:dyDescent="0.25">
      <c r="A1534" t="s">
        <v>3</v>
      </c>
      <c r="B1534">
        <v>1532</v>
      </c>
      <c r="C1534">
        <v>0</v>
      </c>
      <c r="D1534" s="2">
        <v>27.521621465682983</v>
      </c>
      <c r="E1534" s="2" t="s">
        <v>10</v>
      </c>
      <c r="F1534" s="2" t="s">
        <v>45</v>
      </c>
      <c r="G1534" s="2">
        <v>4.7</v>
      </c>
    </row>
    <row r="1535" spans="1:7" x14ac:dyDescent="0.25">
      <c r="A1535" t="s">
        <v>3</v>
      </c>
      <c r="B1535">
        <v>1533</v>
      </c>
      <c r="C1535">
        <v>80</v>
      </c>
      <c r="D1535" s="3">
        <v>25.688812494277954</v>
      </c>
      <c r="E1535" s="3" t="s">
        <v>10</v>
      </c>
      <c r="F1535" s="3" t="s">
        <v>45</v>
      </c>
      <c r="G1535" s="3">
        <v>2.1</v>
      </c>
    </row>
    <row r="1536" spans="1:7" x14ac:dyDescent="0.25">
      <c r="A1536" t="s">
        <v>3</v>
      </c>
      <c r="B1536">
        <v>1534</v>
      </c>
      <c r="C1536">
        <v>100</v>
      </c>
      <c r="D1536" s="2">
        <v>17.200972557067871</v>
      </c>
      <c r="E1536" s="2" t="s">
        <v>10</v>
      </c>
      <c r="F1536" s="2" t="s">
        <v>43</v>
      </c>
      <c r="G1536" s="2">
        <v>5</v>
      </c>
    </row>
    <row r="1537" spans="1:7" x14ac:dyDescent="0.25">
      <c r="A1537" t="s">
        <v>3</v>
      </c>
      <c r="B1537">
        <v>1535</v>
      </c>
      <c r="C1537">
        <v>100</v>
      </c>
      <c r="D1537" s="3">
        <v>27.626473903656006</v>
      </c>
      <c r="E1537" s="3" t="s">
        <v>10</v>
      </c>
      <c r="F1537" s="3" t="s">
        <v>62</v>
      </c>
      <c r="G1537" s="3">
        <v>6.9</v>
      </c>
    </row>
    <row r="1538" spans="1:7" x14ac:dyDescent="0.25">
      <c r="A1538" t="s">
        <v>3</v>
      </c>
      <c r="B1538">
        <v>1536</v>
      </c>
      <c r="C1538">
        <v>0</v>
      </c>
      <c r="D1538" s="2">
        <v>19.392096042633057</v>
      </c>
      <c r="E1538" s="2" t="s">
        <v>10</v>
      </c>
      <c r="F1538" s="2" t="s">
        <v>62</v>
      </c>
      <c r="G1538" s="2">
        <v>6.9</v>
      </c>
    </row>
    <row r="1539" spans="1:7" x14ac:dyDescent="0.25">
      <c r="A1539" t="s">
        <v>3</v>
      </c>
      <c r="B1539">
        <v>1537</v>
      </c>
      <c r="C1539">
        <v>100</v>
      </c>
      <c r="D1539" s="3">
        <v>26.401340484619141</v>
      </c>
      <c r="E1539" s="3" t="s">
        <v>10</v>
      </c>
      <c r="F1539" s="3" t="s">
        <v>39</v>
      </c>
      <c r="G1539" s="3">
        <v>4.4000000000000004</v>
      </c>
    </row>
    <row r="1540" spans="1:7" x14ac:dyDescent="0.25">
      <c r="A1540" t="s">
        <v>3</v>
      </c>
      <c r="B1540">
        <v>1538</v>
      </c>
      <c r="C1540">
        <v>0</v>
      </c>
      <c r="D1540" s="2">
        <v>33.292274713516235</v>
      </c>
      <c r="E1540" s="2" t="s">
        <v>10</v>
      </c>
      <c r="F1540" s="2" t="s">
        <v>43</v>
      </c>
      <c r="G1540" s="2">
        <v>4.7</v>
      </c>
    </row>
    <row r="1541" spans="1:7" x14ac:dyDescent="0.25">
      <c r="A1541" t="s">
        <v>3</v>
      </c>
      <c r="B1541">
        <v>1539</v>
      </c>
      <c r="C1541">
        <v>0</v>
      </c>
      <c r="D1541" s="3">
        <v>31.070073843002319</v>
      </c>
      <c r="E1541" s="3" t="s">
        <v>10</v>
      </c>
      <c r="F1541" s="3" t="s">
        <v>39</v>
      </c>
      <c r="G1541" s="3">
        <v>6.9</v>
      </c>
    </row>
    <row r="1542" spans="1:7" x14ac:dyDescent="0.25">
      <c r="A1542" t="s">
        <v>3</v>
      </c>
      <c r="B1542">
        <v>1540</v>
      </c>
      <c r="C1542">
        <v>100</v>
      </c>
      <c r="D1542" s="2">
        <v>17.199302673339844</v>
      </c>
      <c r="E1542" s="2" t="s">
        <v>10</v>
      </c>
      <c r="F1542" s="2" t="s">
        <v>39</v>
      </c>
      <c r="G1542" s="2">
        <v>6.9</v>
      </c>
    </row>
    <row r="1543" spans="1:7" x14ac:dyDescent="0.25">
      <c r="A1543" t="s">
        <v>3</v>
      </c>
      <c r="B1543">
        <v>1541</v>
      </c>
      <c r="C1543">
        <v>100</v>
      </c>
      <c r="D1543" s="3">
        <v>33.147437572479248</v>
      </c>
      <c r="E1543" s="3" t="s">
        <v>10</v>
      </c>
      <c r="F1543" s="3" t="s">
        <v>39</v>
      </c>
      <c r="G1543" s="3">
        <v>6.9</v>
      </c>
    </row>
    <row r="1544" spans="1:7" x14ac:dyDescent="0.25">
      <c r="A1544" t="s">
        <v>3</v>
      </c>
      <c r="B1544">
        <v>1542</v>
      </c>
      <c r="C1544">
        <v>100</v>
      </c>
      <c r="D1544" s="2">
        <v>30.837091207504272</v>
      </c>
      <c r="E1544" s="2" t="s">
        <v>10</v>
      </c>
      <c r="F1544" s="2" t="s">
        <v>56</v>
      </c>
      <c r="G1544" s="2">
        <v>7.2</v>
      </c>
    </row>
    <row r="1545" spans="1:7" x14ac:dyDescent="0.25">
      <c r="A1545" t="s">
        <v>3</v>
      </c>
      <c r="B1545">
        <v>1543</v>
      </c>
      <c r="C1545">
        <v>50</v>
      </c>
      <c r="D1545" s="3">
        <v>14.078596830368042</v>
      </c>
      <c r="E1545" s="3" t="s">
        <v>10</v>
      </c>
      <c r="F1545" s="3" t="s">
        <v>56</v>
      </c>
      <c r="G1545" s="3">
        <v>7.2</v>
      </c>
    </row>
    <row r="1546" spans="1:7" x14ac:dyDescent="0.25">
      <c r="A1546" t="s">
        <v>3</v>
      </c>
      <c r="B1546">
        <v>1544</v>
      </c>
      <c r="C1546">
        <v>100</v>
      </c>
      <c r="D1546" s="2">
        <v>20.75731897354126</v>
      </c>
      <c r="E1546" s="2" t="s">
        <v>10</v>
      </c>
      <c r="F1546" s="2" t="s">
        <v>56</v>
      </c>
      <c r="G1546" s="2">
        <v>7.2</v>
      </c>
    </row>
    <row r="1547" spans="1:7" x14ac:dyDescent="0.25">
      <c r="A1547" t="s">
        <v>3</v>
      </c>
      <c r="B1547">
        <v>1545</v>
      </c>
      <c r="C1547">
        <v>20</v>
      </c>
      <c r="D1547" s="3">
        <v>18.287097215652466</v>
      </c>
      <c r="E1547" s="3" t="s">
        <v>10</v>
      </c>
      <c r="F1547" s="3" t="s">
        <v>56</v>
      </c>
      <c r="G1547" s="3">
        <v>6.2</v>
      </c>
    </row>
    <row r="1548" spans="1:7" x14ac:dyDescent="0.25">
      <c r="A1548" t="s">
        <v>3</v>
      </c>
      <c r="B1548">
        <v>1546</v>
      </c>
      <c r="C1548">
        <v>100</v>
      </c>
      <c r="D1548" s="2">
        <v>25.128038644790649</v>
      </c>
      <c r="E1548" s="2" t="s">
        <v>10</v>
      </c>
      <c r="F1548" s="2" t="s">
        <v>56</v>
      </c>
      <c r="G1548" s="2">
        <v>6.2</v>
      </c>
    </row>
    <row r="1549" spans="1:7" x14ac:dyDescent="0.25">
      <c r="A1549" t="s">
        <v>3</v>
      </c>
      <c r="B1549">
        <v>1547</v>
      </c>
      <c r="C1549">
        <v>100</v>
      </c>
      <c r="D1549" s="3">
        <v>32.037687063217163</v>
      </c>
      <c r="E1549" s="3" t="s">
        <v>10</v>
      </c>
      <c r="F1549" s="3" t="s">
        <v>56</v>
      </c>
      <c r="G1549" s="3">
        <v>6.9</v>
      </c>
    </row>
    <row r="1550" spans="1:7" x14ac:dyDescent="0.25">
      <c r="A1550" t="s">
        <v>3</v>
      </c>
      <c r="B1550">
        <v>1548</v>
      </c>
      <c r="C1550">
        <v>100</v>
      </c>
      <c r="D1550" s="2">
        <v>25.738152027130127</v>
      </c>
      <c r="E1550" s="2" t="s">
        <v>10</v>
      </c>
      <c r="F1550" s="2" t="s">
        <v>50</v>
      </c>
      <c r="G1550" s="2">
        <v>6.2</v>
      </c>
    </row>
    <row r="1551" spans="1:7" x14ac:dyDescent="0.25">
      <c r="A1551" t="s">
        <v>3</v>
      </c>
      <c r="B1551">
        <v>1549</v>
      </c>
      <c r="C1551">
        <v>90</v>
      </c>
      <c r="D1551" s="3">
        <v>30.445923328399658</v>
      </c>
      <c r="E1551" s="3" t="s">
        <v>10</v>
      </c>
      <c r="F1551" s="3" t="s">
        <v>41</v>
      </c>
      <c r="G1551" s="3">
        <v>4.5999999999999996</v>
      </c>
    </row>
    <row r="1552" spans="1:7" x14ac:dyDescent="0.25">
      <c r="A1552" t="s">
        <v>3</v>
      </c>
      <c r="B1552">
        <v>1550</v>
      </c>
      <c r="C1552">
        <v>100</v>
      </c>
      <c r="D1552" s="2">
        <v>33.614249706268311</v>
      </c>
      <c r="E1552" s="2" t="s">
        <v>10</v>
      </c>
      <c r="F1552" s="2" t="s">
        <v>44</v>
      </c>
      <c r="G1552" s="2">
        <v>6.2</v>
      </c>
    </row>
    <row r="1553" spans="1:7" x14ac:dyDescent="0.25">
      <c r="A1553" t="s">
        <v>3</v>
      </c>
      <c r="B1553">
        <v>1551</v>
      </c>
      <c r="C1553">
        <v>100</v>
      </c>
      <c r="D1553" s="3">
        <v>34.893100500106812</v>
      </c>
      <c r="E1553" s="3" t="s">
        <v>10</v>
      </c>
      <c r="F1553" s="3" t="s">
        <v>55</v>
      </c>
      <c r="G1553" s="3">
        <v>6.8</v>
      </c>
    </row>
    <row r="1554" spans="1:7" x14ac:dyDescent="0.25">
      <c r="A1554" t="s">
        <v>3</v>
      </c>
      <c r="B1554">
        <v>1552</v>
      </c>
      <c r="C1554">
        <v>70</v>
      </c>
      <c r="D1554" s="2">
        <v>28.153079748153687</v>
      </c>
      <c r="E1554" s="2" t="s">
        <v>10</v>
      </c>
      <c r="F1554" s="2" t="s">
        <v>55</v>
      </c>
      <c r="G1554" s="2">
        <v>6.8</v>
      </c>
    </row>
    <row r="1555" spans="1:7" x14ac:dyDescent="0.25">
      <c r="A1555" t="s">
        <v>3</v>
      </c>
      <c r="B1555">
        <v>1553</v>
      </c>
      <c r="C1555">
        <v>100</v>
      </c>
      <c r="D1555" s="3">
        <v>15.198445558547974</v>
      </c>
      <c r="E1555" s="3" t="s">
        <v>10</v>
      </c>
      <c r="F1555" s="3" t="s">
        <v>55</v>
      </c>
      <c r="G1555" s="3">
        <v>6.8</v>
      </c>
    </row>
    <row r="1556" spans="1:7" x14ac:dyDescent="0.25">
      <c r="A1556" t="s">
        <v>3</v>
      </c>
      <c r="B1556">
        <v>1554</v>
      </c>
      <c r="C1556">
        <v>0</v>
      </c>
      <c r="D1556" s="2">
        <v>37.356647729873657</v>
      </c>
      <c r="E1556" s="2" t="s">
        <v>10</v>
      </c>
      <c r="F1556" s="2" t="s">
        <v>55</v>
      </c>
      <c r="G1556" s="2">
        <v>6.8</v>
      </c>
    </row>
    <row r="1557" spans="1:7" x14ac:dyDescent="0.25">
      <c r="A1557" t="s">
        <v>3</v>
      </c>
      <c r="B1557">
        <v>1555</v>
      </c>
      <c r="C1557">
        <v>100</v>
      </c>
      <c r="D1557" s="3">
        <v>17.078851699829102</v>
      </c>
      <c r="E1557" s="3" t="s">
        <v>10</v>
      </c>
      <c r="F1557" s="3" t="s">
        <v>55</v>
      </c>
      <c r="G1557" s="3">
        <v>6.8</v>
      </c>
    </row>
    <row r="1558" spans="1:7" x14ac:dyDescent="0.25">
      <c r="A1558" t="s">
        <v>3</v>
      </c>
      <c r="B1558">
        <v>1556</v>
      </c>
      <c r="C1558">
        <v>15</v>
      </c>
      <c r="D1558" s="2">
        <v>26.636237621307373</v>
      </c>
      <c r="E1558" s="2" t="s">
        <v>10</v>
      </c>
      <c r="F1558" s="2" t="s">
        <v>53</v>
      </c>
      <c r="G1558" s="2">
        <v>6.8</v>
      </c>
    </row>
    <row r="1559" spans="1:7" x14ac:dyDescent="0.25">
      <c r="A1559" t="s">
        <v>3</v>
      </c>
      <c r="B1559">
        <v>1557</v>
      </c>
      <c r="C1559">
        <v>100</v>
      </c>
      <c r="D1559" s="3">
        <v>36.63650918006897</v>
      </c>
      <c r="E1559" s="3" t="s">
        <v>10</v>
      </c>
      <c r="F1559" s="3" t="s">
        <v>41</v>
      </c>
      <c r="G1559" s="3">
        <v>4.7</v>
      </c>
    </row>
    <row r="1560" spans="1:7" x14ac:dyDescent="0.25">
      <c r="A1560" t="s">
        <v>3</v>
      </c>
      <c r="B1560">
        <v>1558</v>
      </c>
      <c r="C1560">
        <v>100</v>
      </c>
      <c r="D1560" s="2">
        <v>35.918457508087158</v>
      </c>
      <c r="E1560" s="2" t="s">
        <v>10</v>
      </c>
      <c r="F1560" s="2" t="s">
        <v>41</v>
      </c>
      <c r="G1560" s="2">
        <v>4</v>
      </c>
    </row>
    <row r="1561" spans="1:7" x14ac:dyDescent="0.25">
      <c r="A1561" t="s">
        <v>3</v>
      </c>
      <c r="B1561">
        <v>1559</v>
      </c>
      <c r="C1561">
        <v>0</v>
      </c>
      <c r="D1561" s="3">
        <v>35.927467584609985</v>
      </c>
      <c r="E1561" s="3" t="s">
        <v>10</v>
      </c>
      <c r="F1561" s="3" t="s">
        <v>49</v>
      </c>
      <c r="G1561" s="3">
        <v>6.2</v>
      </c>
    </row>
    <row r="1562" spans="1:7" x14ac:dyDescent="0.25">
      <c r="A1562" t="s">
        <v>3</v>
      </c>
      <c r="B1562">
        <v>1560</v>
      </c>
      <c r="C1562">
        <v>15</v>
      </c>
      <c r="D1562" s="2">
        <v>35.301122903823853</v>
      </c>
      <c r="E1562" s="2" t="s">
        <v>10</v>
      </c>
      <c r="F1562" s="2" t="s">
        <v>49</v>
      </c>
      <c r="G1562" s="2">
        <v>6.2</v>
      </c>
    </row>
    <row r="1563" spans="1:7" x14ac:dyDescent="0.25">
      <c r="A1563" t="s">
        <v>3</v>
      </c>
      <c r="B1563">
        <v>1561</v>
      </c>
      <c r="C1563">
        <v>100</v>
      </c>
      <c r="D1563" s="3">
        <v>48.241801261901855</v>
      </c>
      <c r="E1563" s="3" t="s">
        <v>10</v>
      </c>
      <c r="F1563" s="3" t="s">
        <v>49</v>
      </c>
      <c r="G1563" s="3">
        <v>6.2</v>
      </c>
    </row>
    <row r="1564" spans="1:7" x14ac:dyDescent="0.25">
      <c r="A1564" t="s">
        <v>3</v>
      </c>
      <c r="B1564">
        <v>1562</v>
      </c>
      <c r="C1564">
        <v>100</v>
      </c>
      <c r="D1564" s="2">
        <v>134.68218302726746</v>
      </c>
      <c r="E1564" s="2" t="s">
        <v>10</v>
      </c>
      <c r="F1564" s="2" t="s">
        <v>46</v>
      </c>
      <c r="G1564" s="2">
        <v>4</v>
      </c>
    </row>
    <row r="1565" spans="1:7" x14ac:dyDescent="0.25">
      <c r="A1565" t="s">
        <v>3</v>
      </c>
      <c r="B1565">
        <v>1563</v>
      </c>
      <c r="C1565">
        <v>100</v>
      </c>
      <c r="D1565" s="3">
        <v>34.866833448410034</v>
      </c>
      <c r="E1565" s="3" t="s">
        <v>10</v>
      </c>
      <c r="F1565" s="3" t="s">
        <v>50</v>
      </c>
      <c r="G1565" s="3">
        <v>6.2</v>
      </c>
    </row>
    <row r="1566" spans="1:7" x14ac:dyDescent="0.25">
      <c r="A1566" t="s">
        <v>3</v>
      </c>
      <c r="B1566">
        <v>1564</v>
      </c>
      <c r="C1566">
        <v>0</v>
      </c>
      <c r="D1566" s="2">
        <v>20.722554445266724</v>
      </c>
      <c r="E1566" s="2" t="s">
        <v>10</v>
      </c>
      <c r="F1566" s="2" t="s">
        <v>56</v>
      </c>
      <c r="G1566" s="2">
        <v>7.2</v>
      </c>
    </row>
    <row r="1567" spans="1:7" x14ac:dyDescent="0.25">
      <c r="A1567" t="s">
        <v>3</v>
      </c>
      <c r="B1567">
        <v>1565</v>
      </c>
      <c r="C1567">
        <v>100</v>
      </c>
      <c r="D1567" s="3">
        <v>23.62177300453186</v>
      </c>
      <c r="E1567" s="3" t="s">
        <v>10</v>
      </c>
      <c r="F1567" s="3" t="s">
        <v>39</v>
      </c>
      <c r="G1567" s="3">
        <v>6.5</v>
      </c>
    </row>
    <row r="1568" spans="1:7" x14ac:dyDescent="0.25">
      <c r="A1568" t="s">
        <v>3</v>
      </c>
      <c r="B1568">
        <v>1566</v>
      </c>
      <c r="C1568">
        <v>95</v>
      </c>
      <c r="D1568" s="2">
        <v>30.670265436172485</v>
      </c>
      <c r="E1568" s="2" t="s">
        <v>10</v>
      </c>
      <c r="F1568" s="2" t="s">
        <v>41</v>
      </c>
      <c r="G1568" s="2">
        <v>3.5</v>
      </c>
    </row>
    <row r="1569" spans="1:7" x14ac:dyDescent="0.25">
      <c r="A1569" t="s">
        <v>3</v>
      </c>
      <c r="B1569">
        <v>1567</v>
      </c>
      <c r="C1569">
        <v>100</v>
      </c>
      <c r="D1569" s="3">
        <v>87.541014671325684</v>
      </c>
      <c r="E1569" s="3" t="s">
        <v>10</v>
      </c>
      <c r="F1569" s="3" t="s">
        <v>41</v>
      </c>
      <c r="G1569" s="3">
        <v>3.5</v>
      </c>
    </row>
    <row r="1570" spans="1:7" x14ac:dyDescent="0.25">
      <c r="A1570" t="s">
        <v>3</v>
      </c>
      <c r="B1570">
        <v>1568</v>
      </c>
      <c r="C1570">
        <v>0</v>
      </c>
      <c r="D1570" s="2">
        <v>29.589030265808105</v>
      </c>
      <c r="E1570" s="2" t="s">
        <v>10</v>
      </c>
      <c r="F1570" s="2" t="s">
        <v>46</v>
      </c>
      <c r="G1570" s="2">
        <v>4</v>
      </c>
    </row>
    <row r="1571" spans="1:7" x14ac:dyDescent="0.25">
      <c r="A1571" t="s">
        <v>3</v>
      </c>
      <c r="B1571">
        <v>1569</v>
      </c>
      <c r="C1571">
        <v>100</v>
      </c>
      <c r="D1571" s="3">
        <v>49.331490516662598</v>
      </c>
      <c r="E1571" s="3" t="s">
        <v>10</v>
      </c>
      <c r="F1571" s="3" t="s">
        <v>41</v>
      </c>
      <c r="G1571" s="3">
        <v>7.1</v>
      </c>
    </row>
    <row r="1572" spans="1:7" x14ac:dyDescent="0.25">
      <c r="A1572" t="s">
        <v>3</v>
      </c>
      <c r="B1572">
        <v>1570</v>
      </c>
      <c r="C1572">
        <v>100</v>
      </c>
      <c r="D1572" s="2">
        <v>22.831385374069214</v>
      </c>
      <c r="E1572" s="2" t="s">
        <v>10</v>
      </c>
      <c r="F1572" s="2" t="s">
        <v>45</v>
      </c>
      <c r="G1572" s="2">
        <v>3.6</v>
      </c>
    </row>
    <row r="1573" spans="1:7" x14ac:dyDescent="0.25">
      <c r="A1573" t="s">
        <v>3</v>
      </c>
      <c r="B1573">
        <v>1571</v>
      </c>
      <c r="C1573">
        <v>0</v>
      </c>
      <c r="D1573" s="3">
        <v>32.667115688323975</v>
      </c>
      <c r="E1573" s="3" t="s">
        <v>10</v>
      </c>
      <c r="F1573" s="3" t="s">
        <v>56</v>
      </c>
      <c r="G1573" s="3">
        <v>6.9</v>
      </c>
    </row>
    <row r="1574" spans="1:7" x14ac:dyDescent="0.25">
      <c r="A1574" t="s">
        <v>3</v>
      </c>
      <c r="B1574">
        <v>1572</v>
      </c>
      <c r="C1574">
        <v>100</v>
      </c>
      <c r="D1574" s="2">
        <v>36.213689804077148</v>
      </c>
      <c r="E1574" s="2" t="s">
        <v>10</v>
      </c>
      <c r="F1574" s="2" t="s">
        <v>56</v>
      </c>
      <c r="G1574" s="2">
        <v>6.9</v>
      </c>
    </row>
    <row r="1575" spans="1:7" x14ac:dyDescent="0.25">
      <c r="A1575" t="s">
        <v>3</v>
      </c>
      <c r="B1575">
        <v>1573</v>
      </c>
      <c r="C1575">
        <v>0</v>
      </c>
      <c r="D1575" s="3">
        <v>34.037679433822632</v>
      </c>
      <c r="E1575" s="3" t="s">
        <v>10</v>
      </c>
      <c r="F1575" s="3" t="s">
        <v>56</v>
      </c>
      <c r="G1575" s="3">
        <v>6.9</v>
      </c>
    </row>
    <row r="1576" spans="1:7" x14ac:dyDescent="0.25">
      <c r="A1576" t="s">
        <v>3</v>
      </c>
      <c r="B1576">
        <v>1574</v>
      </c>
      <c r="C1576">
        <v>100</v>
      </c>
      <c r="D1576" s="2">
        <v>29.052017450332642</v>
      </c>
      <c r="E1576" s="2" t="s">
        <v>10</v>
      </c>
      <c r="F1576" s="2" t="s">
        <v>56</v>
      </c>
      <c r="G1576" s="2">
        <v>6.9</v>
      </c>
    </row>
    <row r="1577" spans="1:7" x14ac:dyDescent="0.25">
      <c r="A1577" t="s">
        <v>3</v>
      </c>
      <c r="B1577">
        <v>1575</v>
      </c>
      <c r="C1577">
        <v>100</v>
      </c>
      <c r="D1577" s="3">
        <v>30.567285537719727</v>
      </c>
      <c r="E1577" s="3" t="s">
        <v>10</v>
      </c>
      <c r="F1577" s="3" t="s">
        <v>56</v>
      </c>
      <c r="G1577" s="3">
        <v>6.9</v>
      </c>
    </row>
    <row r="1578" spans="1:7" x14ac:dyDescent="0.25">
      <c r="A1578" t="s">
        <v>3</v>
      </c>
      <c r="B1578">
        <v>1576</v>
      </c>
      <c r="C1578">
        <v>100</v>
      </c>
      <c r="D1578" s="2">
        <v>33.869616746902466</v>
      </c>
      <c r="E1578" s="2" t="s">
        <v>10</v>
      </c>
      <c r="F1578" s="2" t="s">
        <v>43</v>
      </c>
      <c r="G1578" s="2">
        <v>1.9</v>
      </c>
    </row>
    <row r="1579" spans="1:7" x14ac:dyDescent="0.25">
      <c r="A1579" t="s">
        <v>3</v>
      </c>
      <c r="B1579">
        <v>1577</v>
      </c>
      <c r="C1579">
        <v>100</v>
      </c>
      <c r="D1579" s="3">
        <v>34.830336093902588</v>
      </c>
      <c r="E1579" s="3" t="s">
        <v>10</v>
      </c>
      <c r="F1579" s="3" t="s">
        <v>41</v>
      </c>
      <c r="G1579" s="3">
        <v>6.2</v>
      </c>
    </row>
    <row r="1580" spans="1:7" x14ac:dyDescent="0.25">
      <c r="A1580" t="s">
        <v>3</v>
      </c>
      <c r="B1580">
        <v>1578</v>
      </c>
      <c r="C1580">
        <v>100</v>
      </c>
      <c r="D1580" s="2">
        <v>37.79596471786499</v>
      </c>
      <c r="E1580" s="2" t="s">
        <v>10</v>
      </c>
      <c r="F1580" s="2" t="s">
        <v>13</v>
      </c>
      <c r="G1580" s="2">
        <v>6.5</v>
      </c>
    </row>
    <row r="1581" spans="1:7" x14ac:dyDescent="0.25">
      <c r="A1581" t="s">
        <v>3</v>
      </c>
      <c r="B1581">
        <v>1579</v>
      </c>
      <c r="C1581">
        <v>0</v>
      </c>
      <c r="D1581" s="3">
        <v>31.646757841110229</v>
      </c>
      <c r="E1581" s="3" t="s">
        <v>10</v>
      </c>
      <c r="F1581" s="3" t="s">
        <v>46</v>
      </c>
      <c r="G1581" s="3">
        <v>6.6</v>
      </c>
    </row>
    <row r="1582" spans="1:7" x14ac:dyDescent="0.25">
      <c r="A1582" t="s">
        <v>3</v>
      </c>
      <c r="B1582">
        <v>1580</v>
      </c>
      <c r="C1582">
        <v>100</v>
      </c>
      <c r="D1582" s="2">
        <v>36.110138416290283</v>
      </c>
      <c r="E1582" s="2" t="s">
        <v>10</v>
      </c>
      <c r="F1582" s="2" t="s">
        <v>41</v>
      </c>
      <c r="G1582" s="2">
        <v>4.9000000000000004</v>
      </c>
    </row>
    <row r="1583" spans="1:7" x14ac:dyDescent="0.25">
      <c r="A1583" t="s">
        <v>3</v>
      </c>
      <c r="B1583">
        <v>1581</v>
      </c>
      <c r="C1583">
        <v>100</v>
      </c>
      <c r="D1583" s="3">
        <v>41.872982978820801</v>
      </c>
      <c r="E1583" s="3" t="s">
        <v>10</v>
      </c>
      <c r="F1583" s="3" t="s">
        <v>41</v>
      </c>
      <c r="G1583" s="3">
        <v>4.3</v>
      </c>
    </row>
    <row r="1584" spans="1:7" x14ac:dyDescent="0.25">
      <c r="A1584" t="s">
        <v>3</v>
      </c>
      <c r="B1584">
        <v>1582</v>
      </c>
      <c r="C1584">
        <v>15</v>
      </c>
      <c r="D1584" s="2">
        <v>39.290524959564209</v>
      </c>
      <c r="E1584" s="2" t="s">
        <v>10</v>
      </c>
      <c r="F1584" s="2" t="s">
        <v>41</v>
      </c>
      <c r="G1584" s="2">
        <v>4.3</v>
      </c>
    </row>
    <row r="1585" spans="1:7" x14ac:dyDescent="0.25">
      <c r="A1585" t="s">
        <v>3</v>
      </c>
      <c r="B1585">
        <v>1583</v>
      </c>
      <c r="C1585">
        <v>100</v>
      </c>
      <c r="D1585" s="3">
        <v>25.252106428146362</v>
      </c>
      <c r="E1585" s="3" t="s">
        <v>10</v>
      </c>
      <c r="F1585" s="3" t="s">
        <v>41</v>
      </c>
      <c r="G1585" s="3">
        <v>4.3</v>
      </c>
    </row>
    <row r="1586" spans="1:7" x14ac:dyDescent="0.25">
      <c r="A1586" t="s">
        <v>3</v>
      </c>
      <c r="B1586">
        <v>1584</v>
      </c>
      <c r="C1586">
        <v>0</v>
      </c>
      <c r="D1586" s="2">
        <v>29.915487766265869</v>
      </c>
      <c r="E1586" s="2" t="s">
        <v>10</v>
      </c>
      <c r="F1586" s="2" t="s">
        <v>41</v>
      </c>
      <c r="G1586" s="2">
        <v>4.3</v>
      </c>
    </row>
    <row r="1587" spans="1:7" x14ac:dyDescent="0.25">
      <c r="A1587" t="s">
        <v>3</v>
      </c>
      <c r="B1587">
        <v>1585</v>
      </c>
      <c r="C1587">
        <v>100</v>
      </c>
      <c r="D1587" s="3">
        <v>38.270708560943604</v>
      </c>
      <c r="E1587" s="3" t="s">
        <v>10</v>
      </c>
      <c r="F1587" s="3" t="s">
        <v>41</v>
      </c>
      <c r="G1587" s="3">
        <v>4.3</v>
      </c>
    </row>
    <row r="1588" spans="1:7" x14ac:dyDescent="0.25">
      <c r="A1588" t="s">
        <v>3</v>
      </c>
      <c r="B1588">
        <v>1586</v>
      </c>
      <c r="C1588">
        <v>75</v>
      </c>
      <c r="D1588" s="2">
        <v>29.848692655563354</v>
      </c>
      <c r="E1588" s="2" t="s">
        <v>10</v>
      </c>
      <c r="F1588" s="2" t="s">
        <v>41</v>
      </c>
      <c r="G1588" s="2">
        <v>4.3</v>
      </c>
    </row>
    <row r="1589" spans="1:7" x14ac:dyDescent="0.25">
      <c r="A1589" t="s">
        <v>3</v>
      </c>
      <c r="B1589">
        <v>1587</v>
      </c>
      <c r="C1589">
        <v>100</v>
      </c>
      <c r="D1589" s="3">
        <v>22.096120834350586</v>
      </c>
      <c r="E1589" s="3" t="s">
        <v>10</v>
      </c>
      <c r="F1589" s="3" t="s">
        <v>41</v>
      </c>
      <c r="G1589" s="3">
        <v>4.3</v>
      </c>
    </row>
    <row r="1590" spans="1:7" x14ac:dyDescent="0.25">
      <c r="A1590" t="s">
        <v>3</v>
      </c>
      <c r="B1590">
        <v>1588</v>
      </c>
      <c r="C1590">
        <v>93</v>
      </c>
      <c r="D1590" s="2">
        <v>29.008562564849854</v>
      </c>
      <c r="E1590" s="2" t="s">
        <v>10</v>
      </c>
      <c r="F1590" s="2" t="s">
        <v>41</v>
      </c>
      <c r="G1590" s="2">
        <v>4.3</v>
      </c>
    </row>
    <row r="1591" spans="1:7" x14ac:dyDescent="0.25">
      <c r="A1591" t="s">
        <v>3</v>
      </c>
      <c r="B1591">
        <v>1589</v>
      </c>
      <c r="C1591">
        <v>100</v>
      </c>
      <c r="D1591" s="3">
        <v>30.002890348434448</v>
      </c>
      <c r="E1591" s="3" t="s">
        <v>10</v>
      </c>
      <c r="F1591" s="3" t="s">
        <v>41</v>
      </c>
      <c r="G1591" s="3">
        <v>4.3</v>
      </c>
    </row>
    <row r="1592" spans="1:7" x14ac:dyDescent="0.25">
      <c r="A1592" t="s">
        <v>3</v>
      </c>
      <c r="B1592">
        <v>1590</v>
      </c>
      <c r="C1592">
        <v>0</v>
      </c>
      <c r="D1592" s="2">
        <v>14.611807584762573</v>
      </c>
      <c r="E1592" s="2" t="s">
        <v>10</v>
      </c>
      <c r="F1592" s="2" t="s">
        <v>41</v>
      </c>
      <c r="G1592" s="2">
        <v>4.3</v>
      </c>
    </row>
    <row r="1593" spans="1:7" x14ac:dyDescent="0.25">
      <c r="A1593" t="s">
        <v>3</v>
      </c>
      <c r="B1593">
        <v>1591</v>
      </c>
      <c r="C1593">
        <v>100</v>
      </c>
      <c r="D1593" s="3">
        <v>20.102956056594849</v>
      </c>
      <c r="E1593" s="3" t="s">
        <v>10</v>
      </c>
      <c r="F1593" s="3" t="s">
        <v>41</v>
      </c>
      <c r="G1593" s="3">
        <v>4.3</v>
      </c>
    </row>
    <row r="1594" spans="1:7" x14ac:dyDescent="0.25">
      <c r="A1594" t="s">
        <v>3</v>
      </c>
      <c r="B1594">
        <v>1592</v>
      </c>
      <c r="C1594">
        <v>60</v>
      </c>
      <c r="D1594" s="2">
        <v>32.748817682266235</v>
      </c>
      <c r="E1594" s="2" t="s">
        <v>10</v>
      </c>
      <c r="F1594" s="2" t="s">
        <v>41</v>
      </c>
      <c r="G1594" s="2">
        <v>4.3</v>
      </c>
    </row>
    <row r="1595" spans="1:7" x14ac:dyDescent="0.25">
      <c r="A1595" t="s">
        <v>3</v>
      </c>
      <c r="B1595">
        <v>1593</v>
      </c>
      <c r="C1595">
        <v>100</v>
      </c>
      <c r="D1595" s="3">
        <v>18.005630493164063</v>
      </c>
      <c r="E1595" s="3" t="s">
        <v>10</v>
      </c>
      <c r="F1595" s="3" t="s">
        <v>41</v>
      </c>
      <c r="G1595" s="3">
        <v>4.3</v>
      </c>
    </row>
    <row r="1596" spans="1:7" x14ac:dyDescent="0.25">
      <c r="A1596" t="s">
        <v>3</v>
      </c>
      <c r="B1596">
        <v>1594</v>
      </c>
      <c r="C1596">
        <v>100</v>
      </c>
      <c r="D1596" s="2">
        <v>46.168995141983032</v>
      </c>
      <c r="E1596" s="2" t="s">
        <v>10</v>
      </c>
      <c r="F1596" s="2" t="s">
        <v>41</v>
      </c>
      <c r="G1596" s="2">
        <v>4.3</v>
      </c>
    </row>
    <row r="1597" spans="1:7" x14ac:dyDescent="0.25">
      <c r="A1597" t="s">
        <v>3</v>
      </c>
      <c r="B1597">
        <v>1595</v>
      </c>
      <c r="C1597">
        <v>100</v>
      </c>
      <c r="D1597" s="3">
        <v>29.341835737228394</v>
      </c>
      <c r="E1597" s="3" t="s">
        <v>10</v>
      </c>
      <c r="F1597" s="3" t="s">
        <v>41</v>
      </c>
      <c r="G1597" s="3">
        <v>4.3</v>
      </c>
    </row>
    <row r="1598" spans="1:7" x14ac:dyDescent="0.25">
      <c r="A1598" t="s">
        <v>3</v>
      </c>
      <c r="B1598">
        <v>1596</v>
      </c>
      <c r="C1598">
        <v>100</v>
      </c>
      <c r="D1598" s="2">
        <v>21.593003511428833</v>
      </c>
      <c r="E1598" s="2" t="s">
        <v>10</v>
      </c>
      <c r="F1598" s="2" t="s">
        <v>41</v>
      </c>
      <c r="G1598" s="2">
        <v>4.3</v>
      </c>
    </row>
    <row r="1599" spans="1:7" x14ac:dyDescent="0.25">
      <c r="A1599" t="s">
        <v>3</v>
      </c>
      <c r="B1599">
        <v>1597</v>
      </c>
      <c r="C1599">
        <v>100</v>
      </c>
      <c r="D1599" s="3">
        <v>24.251513719558716</v>
      </c>
      <c r="E1599" s="3" t="s">
        <v>10</v>
      </c>
      <c r="F1599" s="3" t="s">
        <v>41</v>
      </c>
      <c r="G1599" s="3">
        <v>4.3</v>
      </c>
    </row>
    <row r="1600" spans="1:7" x14ac:dyDescent="0.25">
      <c r="A1600" t="s">
        <v>3</v>
      </c>
      <c r="B1600">
        <v>1598</v>
      </c>
      <c r="C1600">
        <v>0</v>
      </c>
      <c r="D1600" s="2">
        <v>28.846865653991699</v>
      </c>
      <c r="E1600" s="2" t="s">
        <v>10</v>
      </c>
      <c r="F1600" s="2" t="s">
        <v>41</v>
      </c>
      <c r="G1600" s="2">
        <v>4.3</v>
      </c>
    </row>
    <row r="1601" spans="1:7" x14ac:dyDescent="0.25">
      <c r="A1601" t="s">
        <v>3</v>
      </c>
      <c r="B1601">
        <v>1599</v>
      </c>
      <c r="C1601">
        <v>100</v>
      </c>
      <c r="D1601" s="3">
        <v>21.182605504989624</v>
      </c>
      <c r="E1601" s="3" t="s">
        <v>10</v>
      </c>
      <c r="F1601" s="3" t="s">
        <v>41</v>
      </c>
      <c r="G1601" s="3">
        <v>4.3</v>
      </c>
    </row>
    <row r="1602" spans="1:7" x14ac:dyDescent="0.25">
      <c r="A1602" t="s">
        <v>3</v>
      </c>
      <c r="B1602">
        <v>1600</v>
      </c>
      <c r="C1602">
        <v>100</v>
      </c>
      <c r="D1602" s="2">
        <v>25.330864667892456</v>
      </c>
      <c r="E1602" s="2" t="s">
        <v>10</v>
      </c>
      <c r="F1602" s="2" t="s">
        <v>41</v>
      </c>
      <c r="G1602" s="2">
        <v>4.3</v>
      </c>
    </row>
    <row r="1603" spans="1:7" x14ac:dyDescent="0.25">
      <c r="A1603" t="s">
        <v>3</v>
      </c>
      <c r="B1603">
        <v>1601</v>
      </c>
      <c r="C1603">
        <v>50</v>
      </c>
      <c r="D1603" s="3">
        <v>32.081936836242676</v>
      </c>
      <c r="E1603" s="3" t="s">
        <v>10</v>
      </c>
      <c r="F1603" s="3" t="s">
        <v>41</v>
      </c>
      <c r="G1603" s="3">
        <v>4.3</v>
      </c>
    </row>
    <row r="1604" spans="1:7" x14ac:dyDescent="0.25">
      <c r="A1604" t="s">
        <v>3</v>
      </c>
      <c r="B1604">
        <v>1602</v>
      </c>
      <c r="C1604">
        <v>100</v>
      </c>
      <c r="D1604" s="2">
        <v>17.771484613418579</v>
      </c>
      <c r="E1604" s="2" t="s">
        <v>10</v>
      </c>
      <c r="F1604" s="2" t="s">
        <v>45</v>
      </c>
      <c r="G1604" s="2">
        <v>6.2</v>
      </c>
    </row>
    <row r="1605" spans="1:7" x14ac:dyDescent="0.25">
      <c r="A1605" t="s">
        <v>3</v>
      </c>
      <c r="B1605">
        <v>1603</v>
      </c>
      <c r="C1605">
        <v>100</v>
      </c>
      <c r="D1605" s="3">
        <v>27.444484949111938</v>
      </c>
      <c r="E1605" s="3" t="s">
        <v>10</v>
      </c>
      <c r="F1605" s="3" t="s">
        <v>41</v>
      </c>
      <c r="G1605" s="3">
        <v>5.2</v>
      </c>
    </row>
    <row r="1606" spans="1:7" x14ac:dyDescent="0.25">
      <c r="A1606" t="s">
        <v>3</v>
      </c>
      <c r="B1606">
        <v>1604</v>
      </c>
      <c r="C1606">
        <v>100</v>
      </c>
      <c r="D1606" s="2">
        <v>24.06049656867981</v>
      </c>
      <c r="E1606" s="2" t="s">
        <v>10</v>
      </c>
      <c r="F1606" s="2" t="s">
        <v>41</v>
      </c>
      <c r="G1606" s="2">
        <v>5.2</v>
      </c>
    </row>
    <row r="1607" spans="1:7" x14ac:dyDescent="0.25">
      <c r="A1607" t="s">
        <v>3</v>
      </c>
      <c r="B1607">
        <v>1605</v>
      </c>
      <c r="C1607">
        <v>0</v>
      </c>
      <c r="D1607" s="3">
        <v>34.471788167953491</v>
      </c>
      <c r="E1607" s="3" t="s">
        <v>10</v>
      </c>
      <c r="F1607" s="3" t="s">
        <v>41</v>
      </c>
      <c r="G1607" s="3">
        <v>5.2</v>
      </c>
    </row>
    <row r="1608" spans="1:7" x14ac:dyDescent="0.25">
      <c r="A1608" t="s">
        <v>3</v>
      </c>
      <c r="B1608">
        <v>1606</v>
      </c>
      <c r="C1608">
        <v>100</v>
      </c>
      <c r="D1608" s="2">
        <v>29.579704523086548</v>
      </c>
      <c r="E1608" s="2" t="s">
        <v>10</v>
      </c>
      <c r="F1608" s="2" t="s">
        <v>41</v>
      </c>
      <c r="G1608" s="2">
        <v>5.2</v>
      </c>
    </row>
    <row r="1609" spans="1:7" x14ac:dyDescent="0.25">
      <c r="A1609" t="s">
        <v>3</v>
      </c>
      <c r="B1609">
        <v>1607</v>
      </c>
      <c r="C1609">
        <v>100</v>
      </c>
      <c r="D1609" s="3">
        <v>19.530815362930298</v>
      </c>
      <c r="E1609" s="3" t="s">
        <v>10</v>
      </c>
      <c r="F1609" s="3" t="s">
        <v>41</v>
      </c>
      <c r="G1609" s="3">
        <v>5.2</v>
      </c>
    </row>
    <row r="1610" spans="1:7" x14ac:dyDescent="0.25">
      <c r="A1610" t="s">
        <v>3</v>
      </c>
      <c r="B1610">
        <v>1608</v>
      </c>
      <c r="C1610">
        <v>20</v>
      </c>
      <c r="D1610" s="2">
        <v>37.348410367965698</v>
      </c>
      <c r="E1610" s="2" t="s">
        <v>10</v>
      </c>
      <c r="F1610" s="2" t="s">
        <v>41</v>
      </c>
      <c r="G1610" s="2">
        <v>5.2</v>
      </c>
    </row>
    <row r="1611" spans="1:7" x14ac:dyDescent="0.25">
      <c r="A1611" t="s">
        <v>3</v>
      </c>
      <c r="B1611">
        <v>1609</v>
      </c>
      <c r="C1611">
        <v>100</v>
      </c>
      <c r="D1611" s="3">
        <v>24.430730581283569</v>
      </c>
      <c r="E1611" s="3" t="s">
        <v>10</v>
      </c>
      <c r="F1611" s="3" t="s">
        <v>41</v>
      </c>
      <c r="G1611" s="3">
        <v>5.2</v>
      </c>
    </row>
    <row r="1612" spans="1:7" x14ac:dyDescent="0.25">
      <c r="A1612" t="s">
        <v>3</v>
      </c>
      <c r="B1612">
        <v>1610</v>
      </c>
      <c r="C1612">
        <v>100</v>
      </c>
      <c r="D1612" s="2">
        <v>31.362510442733765</v>
      </c>
      <c r="E1612" s="2" t="s">
        <v>10</v>
      </c>
      <c r="F1612" s="2" t="s">
        <v>41</v>
      </c>
      <c r="G1612" s="2">
        <v>5.2</v>
      </c>
    </row>
    <row r="1613" spans="1:7" x14ac:dyDescent="0.25">
      <c r="A1613" t="s">
        <v>3</v>
      </c>
      <c r="B1613">
        <v>1611</v>
      </c>
      <c r="C1613">
        <v>100</v>
      </c>
      <c r="D1613" s="3">
        <v>30.473174810409546</v>
      </c>
      <c r="E1613" s="3" t="s">
        <v>10</v>
      </c>
      <c r="F1613" s="3" t="s">
        <v>41</v>
      </c>
      <c r="G1613" s="3">
        <v>5.2</v>
      </c>
    </row>
    <row r="1614" spans="1:7" x14ac:dyDescent="0.25">
      <c r="A1614" t="s">
        <v>3</v>
      </c>
      <c r="B1614">
        <v>1612</v>
      </c>
      <c r="C1614">
        <v>100</v>
      </c>
      <c r="D1614" s="2">
        <v>26.269397735595703</v>
      </c>
      <c r="E1614" s="2" t="s">
        <v>10</v>
      </c>
      <c r="F1614" s="2" t="s">
        <v>46</v>
      </c>
      <c r="G1614" s="2">
        <v>5</v>
      </c>
    </row>
    <row r="1615" spans="1:7" x14ac:dyDescent="0.25">
      <c r="A1615" t="s">
        <v>3</v>
      </c>
      <c r="B1615">
        <v>1613</v>
      </c>
      <c r="C1615">
        <v>100</v>
      </c>
      <c r="D1615" s="3">
        <v>37.773693799972534</v>
      </c>
      <c r="E1615" s="3" t="s">
        <v>10</v>
      </c>
      <c r="F1615" s="3" t="s">
        <v>43</v>
      </c>
      <c r="G1615" s="3">
        <v>1.9</v>
      </c>
    </row>
    <row r="1616" spans="1:7" x14ac:dyDescent="0.25">
      <c r="A1616" t="s">
        <v>3</v>
      </c>
      <c r="B1616">
        <v>1614</v>
      </c>
      <c r="C1616">
        <v>100</v>
      </c>
      <c r="D1616" s="2">
        <v>41.349817514419556</v>
      </c>
      <c r="E1616" s="2" t="s">
        <v>10</v>
      </c>
      <c r="F1616" s="2" t="s">
        <v>43</v>
      </c>
      <c r="G1616" s="2">
        <v>1.9</v>
      </c>
    </row>
    <row r="1617" spans="1:7" x14ac:dyDescent="0.25">
      <c r="A1617" t="s">
        <v>3</v>
      </c>
      <c r="B1617">
        <v>1615</v>
      </c>
      <c r="C1617">
        <v>100</v>
      </c>
      <c r="D1617" s="3">
        <v>34.601315498352051</v>
      </c>
      <c r="E1617" s="3" t="s">
        <v>10</v>
      </c>
      <c r="F1617" s="3" t="s">
        <v>43</v>
      </c>
      <c r="G1617" s="3">
        <v>1.9</v>
      </c>
    </row>
    <row r="1618" spans="1:7" x14ac:dyDescent="0.25">
      <c r="A1618" t="s">
        <v>3</v>
      </c>
      <c r="B1618">
        <v>1616</v>
      </c>
      <c r="C1618">
        <v>100</v>
      </c>
      <c r="D1618" s="2">
        <v>30.205889225006104</v>
      </c>
      <c r="E1618" s="2" t="s">
        <v>10</v>
      </c>
      <c r="F1618" s="2" t="s">
        <v>43</v>
      </c>
      <c r="G1618" s="2">
        <v>1.9</v>
      </c>
    </row>
    <row r="1619" spans="1:7" x14ac:dyDescent="0.25">
      <c r="A1619" t="s">
        <v>3</v>
      </c>
      <c r="B1619">
        <v>1617</v>
      </c>
      <c r="C1619">
        <v>100</v>
      </c>
      <c r="D1619" s="3">
        <v>18.737225294113159</v>
      </c>
      <c r="E1619" s="3" t="s">
        <v>10</v>
      </c>
      <c r="F1619" s="3" t="s">
        <v>43</v>
      </c>
      <c r="G1619" s="3">
        <v>1.9</v>
      </c>
    </row>
    <row r="1620" spans="1:7" x14ac:dyDescent="0.25">
      <c r="A1620" t="s">
        <v>3</v>
      </c>
      <c r="B1620">
        <v>1618</v>
      </c>
      <c r="C1620">
        <v>95</v>
      </c>
      <c r="D1620" s="2">
        <v>40.33656907081604</v>
      </c>
      <c r="E1620" s="2" t="s">
        <v>10</v>
      </c>
      <c r="F1620" s="2" t="s">
        <v>43</v>
      </c>
      <c r="G1620" s="2">
        <v>1.9</v>
      </c>
    </row>
    <row r="1621" spans="1:7" x14ac:dyDescent="0.25">
      <c r="A1621" t="s">
        <v>3</v>
      </c>
      <c r="B1621">
        <v>1619</v>
      </c>
      <c r="C1621">
        <v>100</v>
      </c>
      <c r="D1621" s="3">
        <v>30.812608242034912</v>
      </c>
      <c r="E1621" s="3" t="s">
        <v>10</v>
      </c>
      <c r="F1621" s="3" t="s">
        <v>43</v>
      </c>
      <c r="G1621" s="3">
        <v>1.9</v>
      </c>
    </row>
    <row r="1622" spans="1:7" x14ac:dyDescent="0.25">
      <c r="A1622" t="s">
        <v>3</v>
      </c>
      <c r="B1622">
        <v>1620</v>
      </c>
      <c r="C1622">
        <v>15</v>
      </c>
      <c r="D1622" s="2">
        <v>40.440683126449585</v>
      </c>
      <c r="E1622" s="2" t="s">
        <v>10</v>
      </c>
      <c r="F1622" s="2" t="s">
        <v>43</v>
      </c>
      <c r="G1622" s="2">
        <v>1.9</v>
      </c>
    </row>
    <row r="1623" spans="1:7" x14ac:dyDescent="0.25">
      <c r="A1623" t="s">
        <v>3</v>
      </c>
      <c r="B1623">
        <v>1621</v>
      </c>
      <c r="C1623">
        <v>100</v>
      </c>
      <c r="D1623" s="3">
        <v>37.575523376464844</v>
      </c>
      <c r="E1623" s="3" t="s">
        <v>10</v>
      </c>
      <c r="F1623" s="3" t="s">
        <v>43</v>
      </c>
      <c r="G1623" s="3">
        <v>1.9</v>
      </c>
    </row>
    <row r="1624" spans="1:7" x14ac:dyDescent="0.25">
      <c r="A1624" t="s">
        <v>3</v>
      </c>
      <c r="B1624">
        <v>1622</v>
      </c>
      <c r="C1624">
        <v>100</v>
      </c>
      <c r="D1624" s="2">
        <v>27.430733203887939</v>
      </c>
      <c r="E1624" s="2" t="s">
        <v>10</v>
      </c>
      <c r="F1624" s="2" t="s">
        <v>43</v>
      </c>
      <c r="G1624" s="2">
        <v>1.9</v>
      </c>
    </row>
    <row r="1625" spans="1:7" x14ac:dyDescent="0.25">
      <c r="A1625" t="s">
        <v>3</v>
      </c>
      <c r="B1625">
        <v>1623</v>
      </c>
      <c r="C1625">
        <v>100</v>
      </c>
      <c r="D1625" s="3">
        <v>34.663777112960815</v>
      </c>
      <c r="E1625" s="3" t="s">
        <v>10</v>
      </c>
      <c r="F1625" s="3" t="s">
        <v>43</v>
      </c>
      <c r="G1625" s="3">
        <v>1.9</v>
      </c>
    </row>
    <row r="1626" spans="1:7" x14ac:dyDescent="0.25">
      <c r="A1626" t="s">
        <v>3</v>
      </c>
      <c r="B1626">
        <v>1624</v>
      </c>
      <c r="C1626">
        <v>100</v>
      </c>
      <c r="D1626" s="2">
        <v>21.784181833267212</v>
      </c>
      <c r="E1626" s="2" t="s">
        <v>10</v>
      </c>
      <c r="F1626" s="2" t="s">
        <v>43</v>
      </c>
      <c r="G1626" s="2">
        <v>1.9</v>
      </c>
    </row>
    <row r="1627" spans="1:7" x14ac:dyDescent="0.25">
      <c r="A1627" t="s">
        <v>3</v>
      </c>
      <c r="B1627">
        <v>1625</v>
      </c>
      <c r="C1627">
        <v>65</v>
      </c>
      <c r="D1627" s="3">
        <v>30.004352569580078</v>
      </c>
      <c r="E1627" s="3" t="s">
        <v>10</v>
      </c>
      <c r="F1627" s="3" t="s">
        <v>43</v>
      </c>
      <c r="G1627" s="3">
        <v>1.9</v>
      </c>
    </row>
    <row r="1628" spans="1:7" x14ac:dyDescent="0.25">
      <c r="A1628" t="s">
        <v>3</v>
      </c>
      <c r="B1628">
        <v>1626</v>
      </c>
      <c r="C1628">
        <v>35</v>
      </c>
      <c r="D1628" s="2">
        <v>25.755147457122803</v>
      </c>
      <c r="E1628" s="2" t="s">
        <v>10</v>
      </c>
      <c r="F1628" s="2" t="s">
        <v>43</v>
      </c>
      <c r="G1628" s="2">
        <v>2.1</v>
      </c>
    </row>
    <row r="1629" spans="1:7" x14ac:dyDescent="0.25">
      <c r="A1629" t="s">
        <v>3</v>
      </c>
      <c r="B1629">
        <v>1627</v>
      </c>
      <c r="C1629">
        <v>20</v>
      </c>
      <c r="D1629" s="3">
        <v>22.019891977310181</v>
      </c>
      <c r="E1629" s="3" t="s">
        <v>10</v>
      </c>
      <c r="F1629" s="3" t="s">
        <v>43</v>
      </c>
      <c r="G1629" s="3">
        <v>2.1</v>
      </c>
    </row>
    <row r="1630" spans="1:7" x14ac:dyDescent="0.25">
      <c r="A1630" t="s">
        <v>3</v>
      </c>
      <c r="B1630">
        <v>1628</v>
      </c>
      <c r="C1630">
        <v>100</v>
      </c>
      <c r="D1630" s="2">
        <v>17.155714273452759</v>
      </c>
      <c r="E1630" s="2" t="s">
        <v>10</v>
      </c>
      <c r="F1630" s="2" t="s">
        <v>43</v>
      </c>
      <c r="G1630" s="2">
        <v>2.1</v>
      </c>
    </row>
    <row r="1631" spans="1:7" x14ac:dyDescent="0.25">
      <c r="A1631" t="s">
        <v>3</v>
      </c>
      <c r="B1631">
        <v>1629</v>
      </c>
      <c r="C1631">
        <v>100</v>
      </c>
      <c r="D1631" s="3">
        <v>33.905638694763184</v>
      </c>
      <c r="E1631" s="3" t="s">
        <v>10</v>
      </c>
      <c r="F1631" s="3" t="s">
        <v>41</v>
      </c>
      <c r="G1631" s="3">
        <v>4</v>
      </c>
    </row>
    <row r="1632" spans="1:7" x14ac:dyDescent="0.25">
      <c r="A1632" t="s">
        <v>3</v>
      </c>
      <c r="B1632">
        <v>1630</v>
      </c>
      <c r="C1632">
        <v>100</v>
      </c>
      <c r="D1632" s="2">
        <v>25.703580379486084</v>
      </c>
      <c r="E1632" s="2" t="s">
        <v>10</v>
      </c>
      <c r="F1632" s="2" t="s">
        <v>41</v>
      </c>
      <c r="G1632" s="2">
        <v>4</v>
      </c>
    </row>
    <row r="1633" spans="1:7" x14ac:dyDescent="0.25">
      <c r="A1633" t="s">
        <v>3</v>
      </c>
      <c r="B1633">
        <v>1631</v>
      </c>
      <c r="C1633">
        <v>100</v>
      </c>
      <c r="D1633" s="3">
        <v>43.373818635940552</v>
      </c>
      <c r="E1633" s="3" t="s">
        <v>10</v>
      </c>
      <c r="F1633" s="3" t="s">
        <v>41</v>
      </c>
      <c r="G1633" s="3">
        <v>4</v>
      </c>
    </row>
    <row r="1634" spans="1:7" x14ac:dyDescent="0.25">
      <c r="A1634" t="s">
        <v>3</v>
      </c>
      <c r="B1634">
        <v>1632</v>
      </c>
      <c r="C1634">
        <v>100</v>
      </c>
      <c r="D1634" s="2">
        <v>34.951320886611938</v>
      </c>
      <c r="E1634" s="2" t="s">
        <v>10</v>
      </c>
      <c r="F1634" s="2" t="s">
        <v>41</v>
      </c>
      <c r="G1634" s="2">
        <v>4</v>
      </c>
    </row>
    <row r="1635" spans="1:7" x14ac:dyDescent="0.25">
      <c r="A1635" t="s">
        <v>3</v>
      </c>
      <c r="B1635">
        <v>1633</v>
      </c>
      <c r="C1635">
        <v>100</v>
      </c>
      <c r="D1635" s="3">
        <v>35.490200996398926</v>
      </c>
      <c r="E1635" s="3" t="s">
        <v>10</v>
      </c>
      <c r="F1635" s="3" t="s">
        <v>43</v>
      </c>
      <c r="G1635" s="3">
        <v>2.1</v>
      </c>
    </row>
    <row r="1636" spans="1:7" x14ac:dyDescent="0.25">
      <c r="A1636" t="s">
        <v>3</v>
      </c>
      <c r="B1636">
        <v>1634</v>
      </c>
      <c r="C1636">
        <v>0</v>
      </c>
      <c r="D1636" s="2">
        <v>67.39964485168457</v>
      </c>
      <c r="E1636" s="2" t="s">
        <v>10</v>
      </c>
      <c r="F1636" s="2" t="s">
        <v>43</v>
      </c>
      <c r="G1636" s="2">
        <v>2.1</v>
      </c>
    </row>
    <row r="1637" spans="1:7" x14ac:dyDescent="0.25">
      <c r="A1637" t="s">
        <v>3</v>
      </c>
      <c r="B1637">
        <v>1635</v>
      </c>
      <c r="C1637">
        <v>100</v>
      </c>
      <c r="D1637" s="3">
        <v>21.917689800262451</v>
      </c>
      <c r="E1637" s="3" t="s">
        <v>10</v>
      </c>
      <c r="F1637" s="3" t="s">
        <v>43</v>
      </c>
      <c r="G1637" s="3">
        <v>2.1</v>
      </c>
    </row>
    <row r="1638" spans="1:7" x14ac:dyDescent="0.25">
      <c r="A1638" t="s">
        <v>3</v>
      </c>
      <c r="B1638">
        <v>1636</v>
      </c>
      <c r="C1638">
        <v>100</v>
      </c>
      <c r="D1638" s="2">
        <v>42.160346984863281</v>
      </c>
      <c r="E1638" s="2" t="s">
        <v>10</v>
      </c>
      <c r="F1638" s="2" t="s">
        <v>39</v>
      </c>
      <c r="G1638" s="2">
        <v>5</v>
      </c>
    </row>
    <row r="1639" spans="1:7" x14ac:dyDescent="0.25">
      <c r="A1639" t="s">
        <v>3</v>
      </c>
      <c r="B1639">
        <v>1637</v>
      </c>
      <c r="C1639">
        <v>90</v>
      </c>
      <c r="D1639" s="3">
        <v>34.401721715927124</v>
      </c>
      <c r="E1639" s="3" t="s">
        <v>10</v>
      </c>
      <c r="F1639" s="3" t="s">
        <v>39</v>
      </c>
      <c r="G1639" s="3">
        <v>5</v>
      </c>
    </row>
    <row r="1640" spans="1:7" x14ac:dyDescent="0.25">
      <c r="A1640" t="s">
        <v>3</v>
      </c>
      <c r="B1640">
        <v>1638</v>
      </c>
      <c r="C1640">
        <v>0</v>
      </c>
      <c r="D1640" s="2">
        <v>31.831984758377075</v>
      </c>
      <c r="E1640" s="2" t="s">
        <v>10</v>
      </c>
      <c r="F1640" s="2" t="s">
        <v>39</v>
      </c>
      <c r="G1640" s="2">
        <v>5</v>
      </c>
    </row>
    <row r="1641" spans="1:7" x14ac:dyDescent="0.25">
      <c r="A1641" t="s">
        <v>3</v>
      </c>
      <c r="B1641">
        <v>1639</v>
      </c>
      <c r="C1641">
        <v>100</v>
      </c>
      <c r="D1641" s="3">
        <v>30.232496023178101</v>
      </c>
      <c r="E1641" s="3" t="s">
        <v>10</v>
      </c>
      <c r="F1641" s="3" t="s">
        <v>39</v>
      </c>
      <c r="G1641" s="3">
        <v>5</v>
      </c>
    </row>
    <row r="1642" spans="1:7" x14ac:dyDescent="0.25">
      <c r="A1642" t="s">
        <v>3</v>
      </c>
      <c r="B1642">
        <v>1640</v>
      </c>
      <c r="C1642">
        <v>0</v>
      </c>
      <c r="D1642" s="2">
        <v>38.576426029205322</v>
      </c>
      <c r="E1642" s="2" t="s">
        <v>10</v>
      </c>
      <c r="F1642" s="2" t="s">
        <v>46</v>
      </c>
      <c r="G1642" s="2">
        <v>5.2</v>
      </c>
    </row>
    <row r="1643" spans="1:7" x14ac:dyDescent="0.25">
      <c r="A1643" t="s">
        <v>3</v>
      </c>
      <c r="B1643">
        <v>1641</v>
      </c>
      <c r="C1643">
        <v>100</v>
      </c>
      <c r="D1643" s="3">
        <v>49.226526737213135</v>
      </c>
      <c r="E1643" s="3" t="s">
        <v>10</v>
      </c>
      <c r="F1643" s="3" t="s">
        <v>46</v>
      </c>
      <c r="G1643" s="3">
        <v>5.2</v>
      </c>
    </row>
    <row r="1644" spans="1:7" x14ac:dyDescent="0.25">
      <c r="A1644" t="s">
        <v>3</v>
      </c>
      <c r="B1644">
        <v>1642</v>
      </c>
      <c r="C1644">
        <v>100</v>
      </c>
      <c r="D1644" s="2">
        <v>15.568077802658081</v>
      </c>
      <c r="E1644" s="2" t="s">
        <v>10</v>
      </c>
      <c r="F1644" s="2" t="s">
        <v>41</v>
      </c>
      <c r="G1644" s="2">
        <v>4.3</v>
      </c>
    </row>
    <row r="1645" spans="1:7" x14ac:dyDescent="0.25">
      <c r="A1645" t="s">
        <v>3</v>
      </c>
      <c r="B1645">
        <v>1643</v>
      </c>
      <c r="C1645">
        <v>100</v>
      </c>
      <c r="D1645" s="3">
        <v>46.524971008300781</v>
      </c>
      <c r="E1645" s="3" t="s">
        <v>10</v>
      </c>
      <c r="F1645" s="3" t="s">
        <v>53</v>
      </c>
      <c r="G1645" s="3">
        <v>6.8</v>
      </c>
    </row>
    <row r="1646" spans="1:7" x14ac:dyDescent="0.25">
      <c r="A1646" t="s">
        <v>3</v>
      </c>
      <c r="B1646">
        <v>1644</v>
      </c>
      <c r="C1646">
        <v>100</v>
      </c>
      <c r="D1646" s="2">
        <v>37.555872678756714</v>
      </c>
      <c r="E1646" s="2" t="s">
        <v>10</v>
      </c>
      <c r="F1646" s="2" t="s">
        <v>41</v>
      </c>
      <c r="G1646" s="2">
        <v>7.1</v>
      </c>
    </row>
    <row r="1647" spans="1:7" x14ac:dyDescent="0.25">
      <c r="A1647" t="s">
        <v>3</v>
      </c>
      <c r="B1647">
        <v>1645</v>
      </c>
      <c r="C1647">
        <v>100</v>
      </c>
      <c r="D1647" s="3">
        <v>37.487195491790771</v>
      </c>
      <c r="E1647" s="3" t="s">
        <v>10</v>
      </c>
      <c r="F1647" s="3" t="s">
        <v>41</v>
      </c>
      <c r="G1647" s="3">
        <v>4</v>
      </c>
    </row>
    <row r="1648" spans="1:7" x14ac:dyDescent="0.25">
      <c r="A1648" t="s">
        <v>3</v>
      </c>
      <c r="B1648">
        <v>1646</v>
      </c>
      <c r="C1648">
        <v>100</v>
      </c>
      <c r="D1648" s="2">
        <v>35.047707080841064</v>
      </c>
      <c r="E1648" s="2" t="s">
        <v>10</v>
      </c>
      <c r="F1648" s="2" t="s">
        <v>46</v>
      </c>
      <c r="G1648" s="2">
        <v>1.9</v>
      </c>
    </row>
    <row r="1649" spans="1:7" x14ac:dyDescent="0.25">
      <c r="A1649" t="s">
        <v>3</v>
      </c>
      <c r="B1649">
        <v>1647</v>
      </c>
      <c r="C1649">
        <v>90</v>
      </c>
      <c r="D1649" s="3">
        <v>34.871495008468628</v>
      </c>
      <c r="E1649" s="3" t="s">
        <v>10</v>
      </c>
      <c r="F1649" s="3" t="s">
        <v>46</v>
      </c>
      <c r="G1649" s="3">
        <v>1.9</v>
      </c>
    </row>
    <row r="1650" spans="1:7" x14ac:dyDescent="0.25">
      <c r="A1650" t="s">
        <v>3</v>
      </c>
      <c r="B1650">
        <v>1648</v>
      </c>
      <c r="C1650">
        <v>100</v>
      </c>
      <c r="D1650" s="2">
        <v>35.032934188842773</v>
      </c>
      <c r="E1650" s="2" t="s">
        <v>10</v>
      </c>
      <c r="F1650" s="2" t="s">
        <v>46</v>
      </c>
      <c r="G1650" s="2">
        <v>1.9</v>
      </c>
    </row>
    <row r="1651" spans="1:7" x14ac:dyDescent="0.25">
      <c r="A1651" t="s">
        <v>3</v>
      </c>
      <c r="B1651">
        <v>1649</v>
      </c>
      <c r="C1651">
        <v>100</v>
      </c>
      <c r="D1651" s="3">
        <v>32.707524061203003</v>
      </c>
      <c r="E1651" s="3" t="s">
        <v>10</v>
      </c>
      <c r="F1651" s="3" t="s">
        <v>46</v>
      </c>
      <c r="G1651" s="3">
        <v>1.9</v>
      </c>
    </row>
    <row r="1652" spans="1:7" x14ac:dyDescent="0.25">
      <c r="A1652" t="s">
        <v>3</v>
      </c>
      <c r="B1652">
        <v>1650</v>
      </c>
      <c r="C1652">
        <v>0</v>
      </c>
      <c r="D1652" s="2">
        <v>22.033254623413086</v>
      </c>
      <c r="E1652" s="2" t="s">
        <v>10</v>
      </c>
      <c r="F1652" s="2" t="s">
        <v>46</v>
      </c>
      <c r="G1652" s="2">
        <v>1.9</v>
      </c>
    </row>
    <row r="1653" spans="1:7" x14ac:dyDescent="0.25">
      <c r="A1653" t="s">
        <v>3</v>
      </c>
      <c r="B1653">
        <v>1651</v>
      </c>
      <c r="C1653">
        <v>100</v>
      </c>
      <c r="D1653" s="3">
        <v>43.850223779678345</v>
      </c>
      <c r="E1653" s="3" t="s">
        <v>10</v>
      </c>
      <c r="F1653" s="3" t="s">
        <v>46</v>
      </c>
      <c r="G1653" s="3">
        <v>1.9</v>
      </c>
    </row>
    <row r="1654" spans="1:7" x14ac:dyDescent="0.25">
      <c r="A1654" t="s">
        <v>3</v>
      </c>
      <c r="B1654">
        <v>1652</v>
      </c>
      <c r="C1654">
        <v>100</v>
      </c>
      <c r="D1654" s="2">
        <v>28.086791276931763</v>
      </c>
      <c r="E1654" s="2" t="s">
        <v>10</v>
      </c>
      <c r="F1654" s="2" t="s">
        <v>41</v>
      </c>
      <c r="G1654" s="2">
        <v>4.3</v>
      </c>
    </row>
    <row r="1655" spans="1:7" x14ac:dyDescent="0.25">
      <c r="A1655" t="s">
        <v>3</v>
      </c>
      <c r="B1655">
        <v>1653</v>
      </c>
      <c r="C1655">
        <v>0</v>
      </c>
      <c r="D1655" s="3">
        <v>20.067012548446655</v>
      </c>
      <c r="E1655" s="3" t="s">
        <v>10</v>
      </c>
      <c r="F1655" s="3" t="s">
        <v>41</v>
      </c>
      <c r="G1655" s="3">
        <v>4</v>
      </c>
    </row>
    <row r="1656" spans="1:7" x14ac:dyDescent="0.25">
      <c r="A1656" t="s">
        <v>3</v>
      </c>
      <c r="B1656">
        <v>1654</v>
      </c>
      <c r="C1656">
        <v>0</v>
      </c>
      <c r="D1656" s="2">
        <v>33.222095251083374</v>
      </c>
      <c r="E1656" s="2" t="s">
        <v>10</v>
      </c>
      <c r="F1656" s="2" t="s">
        <v>41</v>
      </c>
      <c r="G1656" s="2">
        <v>4</v>
      </c>
    </row>
    <row r="1657" spans="1:7" x14ac:dyDescent="0.25">
      <c r="A1657" t="s">
        <v>3</v>
      </c>
      <c r="B1657">
        <v>1655</v>
      </c>
      <c r="C1657">
        <v>0</v>
      </c>
      <c r="D1657" s="3">
        <v>32.367443799972534</v>
      </c>
      <c r="E1657" s="3" t="s">
        <v>10</v>
      </c>
      <c r="F1657" s="3" t="s">
        <v>41</v>
      </c>
      <c r="G1657" s="3">
        <v>4.5999999999999996</v>
      </c>
    </row>
    <row r="1658" spans="1:7" x14ac:dyDescent="0.25">
      <c r="A1658" t="s">
        <v>3</v>
      </c>
      <c r="B1658">
        <v>1656</v>
      </c>
      <c r="C1658">
        <v>60</v>
      </c>
      <c r="D1658" s="2">
        <v>25.126267671585083</v>
      </c>
      <c r="E1658" s="2" t="s">
        <v>10</v>
      </c>
      <c r="F1658" s="2" t="s">
        <v>13</v>
      </c>
      <c r="G1658" s="2">
        <v>6.2</v>
      </c>
    </row>
    <row r="1659" spans="1:7" x14ac:dyDescent="0.25">
      <c r="A1659" t="s">
        <v>3</v>
      </c>
      <c r="B1659">
        <v>1657</v>
      </c>
      <c r="C1659">
        <v>100</v>
      </c>
      <c r="D1659" s="3">
        <v>32.580413818359375</v>
      </c>
      <c r="E1659" s="3" t="s">
        <v>10</v>
      </c>
      <c r="F1659" s="3" t="s">
        <v>41</v>
      </c>
      <c r="G1659" s="3">
        <v>4.9000000000000004</v>
      </c>
    </row>
    <row r="1660" spans="1:7" x14ac:dyDescent="0.25">
      <c r="A1660" t="s">
        <v>3</v>
      </c>
      <c r="B1660">
        <v>1658</v>
      </c>
      <c r="C1660">
        <v>100</v>
      </c>
      <c r="D1660" s="2">
        <v>35.615638494491577</v>
      </c>
      <c r="E1660" s="2" t="s">
        <v>10</v>
      </c>
      <c r="F1660" s="2" t="s">
        <v>41</v>
      </c>
      <c r="G1660" s="2">
        <v>4.9000000000000004</v>
      </c>
    </row>
    <row r="1661" spans="1:7" x14ac:dyDescent="0.25">
      <c r="A1661" t="s">
        <v>3</v>
      </c>
      <c r="B1661">
        <v>1659</v>
      </c>
      <c r="C1661">
        <v>100</v>
      </c>
      <c r="D1661" s="3">
        <v>25.866936445236206</v>
      </c>
      <c r="E1661" s="3" t="s">
        <v>10</v>
      </c>
      <c r="F1661" s="3" t="s">
        <v>41</v>
      </c>
      <c r="G1661" s="3">
        <v>4.9000000000000004</v>
      </c>
    </row>
    <row r="1662" spans="1:7" x14ac:dyDescent="0.25">
      <c r="A1662" t="s">
        <v>3</v>
      </c>
      <c r="B1662">
        <v>1660</v>
      </c>
      <c r="C1662">
        <v>100</v>
      </c>
      <c r="D1662" s="2">
        <v>28.420051097869873</v>
      </c>
      <c r="E1662" s="2" t="s">
        <v>10</v>
      </c>
      <c r="F1662" s="2" t="s">
        <v>41</v>
      </c>
      <c r="G1662" s="2">
        <v>7.8</v>
      </c>
    </row>
    <row r="1663" spans="1:7" x14ac:dyDescent="0.25">
      <c r="A1663" t="s">
        <v>3</v>
      </c>
      <c r="B1663">
        <v>1661</v>
      </c>
      <c r="C1663">
        <v>0</v>
      </c>
      <c r="D1663" s="3">
        <v>29.174679517745972</v>
      </c>
      <c r="E1663" s="3" t="s">
        <v>10</v>
      </c>
      <c r="F1663" s="3" t="s">
        <v>41</v>
      </c>
      <c r="G1663" s="3">
        <v>4.9000000000000004</v>
      </c>
    </row>
    <row r="1664" spans="1:7" x14ac:dyDescent="0.25">
      <c r="A1664" t="s">
        <v>3</v>
      </c>
      <c r="B1664">
        <v>1662</v>
      </c>
      <c r="C1664">
        <v>100</v>
      </c>
      <c r="D1664" s="2">
        <v>39.400418758392334</v>
      </c>
      <c r="E1664" s="2" t="s">
        <v>10</v>
      </c>
      <c r="F1664" s="2" t="s">
        <v>41</v>
      </c>
      <c r="G1664" s="2">
        <v>4.9000000000000004</v>
      </c>
    </row>
    <row r="1665" spans="1:7" x14ac:dyDescent="0.25">
      <c r="A1665" t="s">
        <v>3</v>
      </c>
      <c r="B1665">
        <v>1663</v>
      </c>
      <c r="C1665">
        <v>100</v>
      </c>
      <c r="D1665" s="3">
        <v>42.495376348495483</v>
      </c>
      <c r="E1665" s="3" t="s">
        <v>10</v>
      </c>
      <c r="F1665" s="3" t="s">
        <v>41</v>
      </c>
      <c r="G1665" s="3">
        <v>4.9000000000000004</v>
      </c>
    </row>
    <row r="1666" spans="1:7" x14ac:dyDescent="0.25">
      <c r="A1666" t="s">
        <v>3</v>
      </c>
      <c r="B1666">
        <v>1664</v>
      </c>
      <c r="C1666">
        <v>35</v>
      </c>
      <c r="D1666" s="2">
        <v>32.125192165374756</v>
      </c>
      <c r="E1666" s="2" t="s">
        <v>10</v>
      </c>
      <c r="F1666" s="2" t="s">
        <v>41</v>
      </c>
      <c r="G1666" s="2">
        <v>4.9000000000000004</v>
      </c>
    </row>
    <row r="1667" spans="1:7" x14ac:dyDescent="0.25">
      <c r="A1667" t="s">
        <v>3</v>
      </c>
      <c r="B1667">
        <v>1665</v>
      </c>
      <c r="C1667">
        <v>100</v>
      </c>
      <c r="D1667" s="3">
        <v>27.625541925430298</v>
      </c>
      <c r="E1667" s="3" t="s">
        <v>10</v>
      </c>
      <c r="F1667" s="3" t="s">
        <v>45</v>
      </c>
      <c r="G1667" s="3">
        <v>3.3</v>
      </c>
    </row>
    <row r="1668" spans="1:7" x14ac:dyDescent="0.25">
      <c r="A1668" t="s">
        <v>3</v>
      </c>
      <c r="B1668">
        <v>1666</v>
      </c>
      <c r="C1668">
        <v>15</v>
      </c>
      <c r="D1668" s="2">
        <v>37.329507112503052</v>
      </c>
      <c r="E1668" s="2" t="s">
        <v>10</v>
      </c>
      <c r="F1668" s="2" t="s">
        <v>45</v>
      </c>
      <c r="G1668" s="2">
        <v>3.3</v>
      </c>
    </row>
    <row r="1669" spans="1:7" x14ac:dyDescent="0.25">
      <c r="A1669" t="s">
        <v>3</v>
      </c>
      <c r="B1669">
        <v>1667</v>
      </c>
      <c r="C1669">
        <v>0</v>
      </c>
      <c r="D1669" s="3">
        <v>23.859910011291504</v>
      </c>
      <c r="E1669" s="3" t="s">
        <v>10</v>
      </c>
      <c r="F1669" s="3" t="s">
        <v>13</v>
      </c>
      <c r="G1669" s="3">
        <v>3.6</v>
      </c>
    </row>
    <row r="1670" spans="1:7" x14ac:dyDescent="0.25">
      <c r="A1670" t="s">
        <v>3</v>
      </c>
      <c r="B1670">
        <v>1668</v>
      </c>
      <c r="C1670">
        <v>0</v>
      </c>
      <c r="D1670" s="2">
        <v>21.309162139892578</v>
      </c>
      <c r="E1670" s="2" t="s">
        <v>10</v>
      </c>
      <c r="F1670" s="2" t="s">
        <v>13</v>
      </c>
      <c r="G1670" s="2">
        <v>3.6</v>
      </c>
    </row>
    <row r="1671" spans="1:7" x14ac:dyDescent="0.25">
      <c r="A1671" t="s">
        <v>3</v>
      </c>
      <c r="B1671">
        <v>1669</v>
      </c>
      <c r="C1671">
        <v>50</v>
      </c>
      <c r="D1671" s="3">
        <v>36.721095323562622</v>
      </c>
      <c r="E1671" s="3" t="s">
        <v>10</v>
      </c>
      <c r="F1671" s="3" t="s">
        <v>53</v>
      </c>
      <c r="G1671" s="3">
        <v>7.5</v>
      </c>
    </row>
    <row r="1672" spans="1:7" x14ac:dyDescent="0.25">
      <c r="A1672" t="s">
        <v>3</v>
      </c>
      <c r="B1672">
        <v>1670</v>
      </c>
      <c r="C1672">
        <v>0</v>
      </c>
      <c r="D1672" s="2">
        <v>15.465985536575317</v>
      </c>
      <c r="E1672" s="2" t="s">
        <v>10</v>
      </c>
      <c r="F1672" s="2" t="s">
        <v>45</v>
      </c>
      <c r="G1672" s="2">
        <v>1.9</v>
      </c>
    </row>
    <row r="1673" spans="1:7" x14ac:dyDescent="0.25">
      <c r="A1673" t="s">
        <v>3</v>
      </c>
      <c r="B1673">
        <v>1671</v>
      </c>
      <c r="C1673">
        <v>0</v>
      </c>
      <c r="D1673" s="3">
        <v>12.233994007110596</v>
      </c>
      <c r="E1673" s="3" t="s">
        <v>10</v>
      </c>
      <c r="F1673" s="3" t="s">
        <v>41</v>
      </c>
      <c r="G1673" s="3">
        <v>5</v>
      </c>
    </row>
    <row r="1674" spans="1:7" x14ac:dyDescent="0.25">
      <c r="A1674" t="s">
        <v>3</v>
      </c>
      <c r="B1674">
        <v>1672</v>
      </c>
      <c r="C1674">
        <v>100</v>
      </c>
      <c r="D1674" s="2">
        <v>30.878643751144409</v>
      </c>
      <c r="E1674" s="2" t="s">
        <v>10</v>
      </c>
      <c r="F1674" s="2" t="s">
        <v>41</v>
      </c>
      <c r="G1674" s="2">
        <v>4.9000000000000004</v>
      </c>
    </row>
    <row r="1675" spans="1:7" x14ac:dyDescent="0.25">
      <c r="A1675" t="s">
        <v>3</v>
      </c>
      <c r="B1675">
        <v>1673</v>
      </c>
      <c r="C1675">
        <v>100</v>
      </c>
      <c r="D1675" s="3">
        <v>31.174917459487915</v>
      </c>
      <c r="E1675" s="3" t="s">
        <v>10</v>
      </c>
      <c r="F1675" s="3" t="s">
        <v>59</v>
      </c>
      <c r="G1675" s="3">
        <v>2.1</v>
      </c>
    </row>
    <row r="1676" spans="1:7" x14ac:dyDescent="0.25">
      <c r="A1676" t="s">
        <v>3</v>
      </c>
      <c r="B1676">
        <v>1674</v>
      </c>
      <c r="C1676">
        <v>70</v>
      </c>
      <c r="D1676" s="2">
        <v>21.034852504730225</v>
      </c>
      <c r="E1676" s="2" t="s">
        <v>10</v>
      </c>
      <c r="F1676" s="2" t="s">
        <v>56</v>
      </c>
      <c r="G1676" s="2">
        <v>7.2</v>
      </c>
    </row>
    <row r="1677" spans="1:7" x14ac:dyDescent="0.25">
      <c r="A1677" t="s">
        <v>3</v>
      </c>
      <c r="B1677">
        <v>1675</v>
      </c>
      <c r="C1677">
        <v>70</v>
      </c>
      <c r="D1677" s="3">
        <v>31.524692296981812</v>
      </c>
      <c r="E1677" s="3" t="s">
        <v>10</v>
      </c>
      <c r="F1677" s="3" t="s">
        <v>56</v>
      </c>
      <c r="G1677" s="3">
        <v>7.2</v>
      </c>
    </row>
    <row r="1678" spans="1:7" x14ac:dyDescent="0.25">
      <c r="A1678" t="s">
        <v>3</v>
      </c>
      <c r="B1678">
        <v>1676</v>
      </c>
      <c r="C1678">
        <v>0</v>
      </c>
      <c r="D1678" s="2">
        <v>33.279648780822754</v>
      </c>
      <c r="E1678" s="2" t="s">
        <v>10</v>
      </c>
      <c r="F1678" s="2" t="s">
        <v>46</v>
      </c>
      <c r="G1678" s="2">
        <v>5</v>
      </c>
    </row>
    <row r="1679" spans="1:7" x14ac:dyDescent="0.25">
      <c r="A1679" t="s">
        <v>3</v>
      </c>
      <c r="B1679">
        <v>1677</v>
      </c>
      <c r="C1679">
        <v>0</v>
      </c>
      <c r="D1679" s="3">
        <v>28.369117498397827</v>
      </c>
      <c r="E1679" s="3" t="s">
        <v>10</v>
      </c>
      <c r="F1679" s="3" t="s">
        <v>49</v>
      </c>
      <c r="G1679" s="3">
        <v>6.1</v>
      </c>
    </row>
    <row r="1680" spans="1:7" x14ac:dyDescent="0.25">
      <c r="A1680" t="s">
        <v>3</v>
      </c>
      <c r="B1680">
        <v>1678</v>
      </c>
      <c r="C1680">
        <v>100</v>
      </c>
      <c r="D1680" s="2">
        <v>37.850693941116333</v>
      </c>
      <c r="E1680" s="2" t="s">
        <v>10</v>
      </c>
      <c r="F1680" s="2" t="s">
        <v>43</v>
      </c>
      <c r="G1680" s="2">
        <v>5</v>
      </c>
    </row>
    <row r="1681" spans="1:7" x14ac:dyDescent="0.25">
      <c r="A1681" t="s">
        <v>3</v>
      </c>
      <c r="B1681">
        <v>1679</v>
      </c>
      <c r="C1681">
        <v>0</v>
      </c>
      <c r="D1681" s="3">
        <v>30.316013097763062</v>
      </c>
      <c r="E1681" s="3" t="s">
        <v>10</v>
      </c>
      <c r="F1681" s="3" t="s">
        <v>41</v>
      </c>
      <c r="G1681" s="3">
        <v>4.9000000000000004</v>
      </c>
    </row>
    <row r="1682" spans="1:7" x14ac:dyDescent="0.25">
      <c r="A1682" t="s">
        <v>3</v>
      </c>
      <c r="B1682">
        <v>1680</v>
      </c>
      <c r="C1682">
        <v>100</v>
      </c>
      <c r="D1682" s="2">
        <v>37.59837818145752</v>
      </c>
      <c r="E1682" s="2" t="s">
        <v>10</v>
      </c>
      <c r="F1682" s="2" t="s">
        <v>41</v>
      </c>
      <c r="G1682" s="2">
        <v>4.5999999999999996</v>
      </c>
    </row>
    <row r="1683" spans="1:7" x14ac:dyDescent="0.25">
      <c r="A1683" t="s">
        <v>3</v>
      </c>
      <c r="B1683">
        <v>1681</v>
      </c>
      <c r="C1683">
        <v>75</v>
      </c>
      <c r="D1683" s="3">
        <v>26.044626951217651</v>
      </c>
      <c r="E1683" s="3" t="s">
        <v>10</v>
      </c>
      <c r="F1683" s="3" t="s">
        <v>41</v>
      </c>
      <c r="G1683" s="3">
        <v>4.5999999999999996</v>
      </c>
    </row>
    <row r="1684" spans="1:7" x14ac:dyDescent="0.25">
      <c r="A1684" t="s">
        <v>3</v>
      </c>
      <c r="B1684">
        <v>1682</v>
      </c>
      <c r="C1684">
        <v>70</v>
      </c>
      <c r="D1684" s="2">
        <v>19.99626612663269</v>
      </c>
      <c r="E1684" s="2" t="s">
        <v>10</v>
      </c>
      <c r="F1684" s="2" t="s">
        <v>45</v>
      </c>
      <c r="G1684" s="2">
        <v>2.1</v>
      </c>
    </row>
    <row r="1685" spans="1:7" x14ac:dyDescent="0.25">
      <c r="A1685" t="s">
        <v>3</v>
      </c>
      <c r="B1685">
        <v>1683</v>
      </c>
      <c r="C1685">
        <v>0</v>
      </c>
      <c r="D1685" s="3">
        <v>27.330083847045898</v>
      </c>
      <c r="E1685" s="3" t="s">
        <v>10</v>
      </c>
      <c r="F1685" s="3" t="s">
        <v>45</v>
      </c>
      <c r="G1685" s="3">
        <v>2.1</v>
      </c>
    </row>
    <row r="1686" spans="1:7" x14ac:dyDescent="0.25">
      <c r="A1686" t="s">
        <v>3</v>
      </c>
      <c r="B1686">
        <v>1684</v>
      </c>
      <c r="C1686">
        <v>100</v>
      </c>
      <c r="D1686" s="2">
        <v>11.603821992874146</v>
      </c>
      <c r="E1686" s="2" t="s">
        <v>10</v>
      </c>
      <c r="F1686" s="2" t="s">
        <v>41</v>
      </c>
      <c r="G1686" s="2">
        <v>5</v>
      </c>
    </row>
    <row r="1687" spans="1:7" x14ac:dyDescent="0.25">
      <c r="A1687" t="s">
        <v>3</v>
      </c>
      <c r="B1687">
        <v>1685</v>
      </c>
      <c r="C1687">
        <v>100</v>
      </c>
      <c r="D1687" s="3">
        <v>27.419486045837402</v>
      </c>
      <c r="E1687" s="3" t="s">
        <v>10</v>
      </c>
      <c r="F1687" s="3" t="s">
        <v>41</v>
      </c>
      <c r="G1687" s="3">
        <v>5</v>
      </c>
    </row>
    <row r="1688" spans="1:7" x14ac:dyDescent="0.25">
      <c r="A1688" t="s">
        <v>3</v>
      </c>
      <c r="B1688">
        <v>1686</v>
      </c>
      <c r="C1688">
        <v>100</v>
      </c>
      <c r="D1688" s="2">
        <v>29.503113031387329</v>
      </c>
      <c r="E1688" s="2" t="s">
        <v>10</v>
      </c>
      <c r="F1688" s="2" t="s">
        <v>45</v>
      </c>
      <c r="G1688" s="2">
        <v>4.3</v>
      </c>
    </row>
    <row r="1689" spans="1:7" x14ac:dyDescent="0.25">
      <c r="A1689" t="s">
        <v>3</v>
      </c>
      <c r="B1689">
        <v>1687</v>
      </c>
      <c r="C1689">
        <v>95</v>
      </c>
      <c r="D1689" s="3">
        <v>37.384999513626099</v>
      </c>
      <c r="E1689" s="3" t="s">
        <v>10</v>
      </c>
      <c r="F1689" s="3" t="s">
        <v>45</v>
      </c>
      <c r="G1689" s="3">
        <v>4.3</v>
      </c>
    </row>
    <row r="1690" spans="1:7" x14ac:dyDescent="0.25">
      <c r="A1690" t="s">
        <v>3</v>
      </c>
      <c r="B1690">
        <v>1688</v>
      </c>
      <c r="C1690">
        <v>100</v>
      </c>
      <c r="D1690" s="2">
        <v>29.800336360931396</v>
      </c>
      <c r="E1690" s="2" t="s">
        <v>10</v>
      </c>
      <c r="F1690" s="2" t="s">
        <v>41</v>
      </c>
      <c r="G1690" s="2">
        <v>4.9000000000000004</v>
      </c>
    </row>
    <row r="1691" spans="1:7" x14ac:dyDescent="0.25">
      <c r="A1691" t="s">
        <v>3</v>
      </c>
      <c r="B1691">
        <v>1689</v>
      </c>
      <c r="C1691">
        <v>100</v>
      </c>
      <c r="D1691" s="3">
        <v>29.702851295471191</v>
      </c>
      <c r="E1691" s="3" t="s">
        <v>10</v>
      </c>
      <c r="F1691" s="3" t="s">
        <v>41</v>
      </c>
      <c r="G1691" s="3">
        <v>5</v>
      </c>
    </row>
    <row r="1692" spans="1:7" x14ac:dyDescent="0.25">
      <c r="A1692" t="s">
        <v>3</v>
      </c>
      <c r="B1692">
        <v>1690</v>
      </c>
      <c r="C1692">
        <v>100</v>
      </c>
      <c r="D1692" s="2">
        <v>43.970001220703125</v>
      </c>
      <c r="E1692" s="2" t="s">
        <v>10</v>
      </c>
      <c r="F1692" s="2" t="s">
        <v>50</v>
      </c>
      <c r="G1692" s="2">
        <v>4.5999999999999996</v>
      </c>
    </row>
    <row r="1693" spans="1:7" x14ac:dyDescent="0.25">
      <c r="A1693" t="s">
        <v>3</v>
      </c>
      <c r="B1693">
        <v>1691</v>
      </c>
      <c r="C1693">
        <v>0</v>
      </c>
      <c r="D1693" s="3">
        <v>31.696513891220093</v>
      </c>
      <c r="E1693" s="3" t="s">
        <v>10</v>
      </c>
      <c r="F1693" s="3" t="s">
        <v>50</v>
      </c>
      <c r="G1693" s="3">
        <v>4.5999999999999996</v>
      </c>
    </row>
    <row r="1694" spans="1:7" x14ac:dyDescent="0.25">
      <c r="A1694" t="s">
        <v>3</v>
      </c>
      <c r="B1694">
        <v>1692</v>
      </c>
      <c r="C1694">
        <v>0</v>
      </c>
      <c r="D1694" s="2">
        <v>29.848029136657715</v>
      </c>
      <c r="E1694" s="2" t="s">
        <v>10</v>
      </c>
      <c r="F1694" s="2" t="s">
        <v>50</v>
      </c>
      <c r="G1694" s="2">
        <v>4.5999999999999996</v>
      </c>
    </row>
    <row r="1695" spans="1:7" x14ac:dyDescent="0.25">
      <c r="A1695" t="s">
        <v>3</v>
      </c>
      <c r="B1695">
        <v>1693</v>
      </c>
      <c r="C1695">
        <v>100</v>
      </c>
      <c r="D1695" s="3">
        <v>25.942377090454102</v>
      </c>
      <c r="E1695" s="3" t="s">
        <v>10</v>
      </c>
      <c r="F1695" s="3" t="s">
        <v>50</v>
      </c>
      <c r="G1695" s="3">
        <v>4.5999999999999996</v>
      </c>
    </row>
    <row r="1696" spans="1:7" x14ac:dyDescent="0.25">
      <c r="A1696" t="s">
        <v>3</v>
      </c>
      <c r="B1696">
        <v>1694</v>
      </c>
      <c r="C1696">
        <v>40</v>
      </c>
      <c r="D1696" s="2">
        <v>21.832347393035889</v>
      </c>
      <c r="E1696" s="2" t="s">
        <v>10</v>
      </c>
      <c r="F1696" s="2" t="s">
        <v>43</v>
      </c>
      <c r="G1696" s="2">
        <v>6.4</v>
      </c>
    </row>
    <row r="1697" spans="1:7" x14ac:dyDescent="0.25">
      <c r="A1697" t="s">
        <v>3</v>
      </c>
      <c r="B1697">
        <v>1695</v>
      </c>
      <c r="C1697">
        <v>100</v>
      </c>
      <c r="D1697" s="3">
        <v>21.288012504577637</v>
      </c>
      <c r="E1697" s="3" t="s">
        <v>10</v>
      </c>
      <c r="F1697" s="3" t="s">
        <v>43</v>
      </c>
      <c r="G1697" s="3">
        <v>6.4</v>
      </c>
    </row>
    <row r="1698" spans="1:7" x14ac:dyDescent="0.25">
      <c r="A1698" t="s">
        <v>3</v>
      </c>
      <c r="B1698">
        <v>1696</v>
      </c>
      <c r="C1698">
        <v>100</v>
      </c>
      <c r="D1698" s="2">
        <v>30.773659944534302</v>
      </c>
      <c r="E1698" s="2" t="s">
        <v>10</v>
      </c>
      <c r="F1698" s="2" t="s">
        <v>41</v>
      </c>
      <c r="G1698" s="2">
        <v>4.9000000000000004</v>
      </c>
    </row>
    <row r="1699" spans="1:7" x14ac:dyDescent="0.25">
      <c r="A1699" t="s">
        <v>3</v>
      </c>
      <c r="B1699">
        <v>1697</v>
      </c>
      <c r="C1699">
        <v>100</v>
      </c>
      <c r="D1699" s="3">
        <v>32.025480508804321</v>
      </c>
      <c r="E1699" s="3" t="s">
        <v>10</v>
      </c>
      <c r="F1699" s="3" t="s">
        <v>41</v>
      </c>
      <c r="G1699" s="3">
        <v>7.8</v>
      </c>
    </row>
    <row r="1700" spans="1:7" x14ac:dyDescent="0.25">
      <c r="A1700" t="s">
        <v>3</v>
      </c>
      <c r="B1700">
        <v>1698</v>
      </c>
      <c r="C1700">
        <v>85</v>
      </c>
      <c r="D1700" s="2">
        <v>27.080718755722046</v>
      </c>
      <c r="E1700" s="2" t="s">
        <v>10</v>
      </c>
      <c r="F1700" s="2" t="s">
        <v>41</v>
      </c>
      <c r="G1700" s="2">
        <v>7.1</v>
      </c>
    </row>
    <row r="1701" spans="1:7" x14ac:dyDescent="0.25">
      <c r="A1701" t="s">
        <v>3</v>
      </c>
      <c r="B1701">
        <v>1699</v>
      </c>
      <c r="C1701">
        <v>100</v>
      </c>
      <c r="D1701" s="3">
        <v>31.694531917572021</v>
      </c>
      <c r="E1701" s="3" t="s">
        <v>10</v>
      </c>
      <c r="F1701" s="3" t="s">
        <v>41</v>
      </c>
      <c r="G1701" s="3">
        <v>7.1</v>
      </c>
    </row>
    <row r="1702" spans="1:7" x14ac:dyDescent="0.25">
      <c r="A1702" t="s">
        <v>3</v>
      </c>
      <c r="B1702">
        <v>1700</v>
      </c>
      <c r="C1702">
        <v>100</v>
      </c>
      <c r="D1702" s="2">
        <v>28.546764135360718</v>
      </c>
      <c r="E1702" s="2" t="s">
        <v>10</v>
      </c>
      <c r="F1702" s="2" t="s">
        <v>41</v>
      </c>
      <c r="G1702" s="2">
        <v>7.1</v>
      </c>
    </row>
    <row r="1703" spans="1:7" x14ac:dyDescent="0.25">
      <c r="A1703" t="s">
        <v>3</v>
      </c>
      <c r="B1703">
        <v>1701</v>
      </c>
      <c r="C1703">
        <v>0</v>
      </c>
      <c r="D1703" s="3">
        <v>31.841975450515747</v>
      </c>
      <c r="E1703" s="3" t="s">
        <v>10</v>
      </c>
      <c r="F1703" s="3" t="s">
        <v>41</v>
      </c>
      <c r="G1703" s="3">
        <v>7.1</v>
      </c>
    </row>
    <row r="1704" spans="1:7" x14ac:dyDescent="0.25">
      <c r="A1704" t="s">
        <v>3</v>
      </c>
      <c r="B1704">
        <v>1702</v>
      </c>
      <c r="C1704">
        <v>96</v>
      </c>
      <c r="D1704" s="2">
        <v>18.017164945602417</v>
      </c>
      <c r="E1704" s="2" t="s">
        <v>10</v>
      </c>
      <c r="F1704" s="2" t="s">
        <v>41</v>
      </c>
      <c r="G1704" s="2">
        <v>4.7</v>
      </c>
    </row>
    <row r="1705" spans="1:7" x14ac:dyDescent="0.25">
      <c r="A1705" t="s">
        <v>3</v>
      </c>
      <c r="B1705">
        <v>1703</v>
      </c>
      <c r="C1705">
        <v>10</v>
      </c>
      <c r="D1705" s="3">
        <v>30.277867317199707</v>
      </c>
      <c r="E1705" s="3" t="s">
        <v>10</v>
      </c>
      <c r="F1705" s="3" t="s">
        <v>39</v>
      </c>
      <c r="G1705" s="3">
        <v>7.5</v>
      </c>
    </row>
    <row r="1706" spans="1:7" x14ac:dyDescent="0.25">
      <c r="A1706" t="s">
        <v>3</v>
      </c>
      <c r="B1706">
        <v>1704</v>
      </c>
      <c r="C1706">
        <v>0</v>
      </c>
      <c r="D1706" s="2">
        <v>20.20470929145813</v>
      </c>
      <c r="E1706" s="2" t="s">
        <v>10</v>
      </c>
      <c r="F1706" s="2" t="s">
        <v>41</v>
      </c>
      <c r="G1706" s="2">
        <v>4</v>
      </c>
    </row>
    <row r="1707" spans="1:7" x14ac:dyDescent="0.25">
      <c r="A1707" t="s">
        <v>3</v>
      </c>
      <c r="B1707">
        <v>1705</v>
      </c>
      <c r="C1707">
        <v>0</v>
      </c>
      <c r="D1707" s="3">
        <v>35.164942026138306</v>
      </c>
      <c r="E1707" s="3" t="s">
        <v>10</v>
      </c>
      <c r="F1707" s="3" t="s">
        <v>41</v>
      </c>
      <c r="G1707" s="3">
        <v>4</v>
      </c>
    </row>
    <row r="1708" spans="1:7" x14ac:dyDescent="0.25">
      <c r="A1708" t="s">
        <v>3</v>
      </c>
      <c r="B1708">
        <v>1706</v>
      </c>
      <c r="C1708">
        <v>100</v>
      </c>
      <c r="D1708" s="2">
        <v>18.886062622070313</v>
      </c>
      <c r="E1708" s="2" t="s">
        <v>10</v>
      </c>
      <c r="F1708" s="2" t="s">
        <v>41</v>
      </c>
      <c r="G1708" s="2">
        <v>4</v>
      </c>
    </row>
    <row r="1709" spans="1:7" x14ac:dyDescent="0.25">
      <c r="A1709" t="s">
        <v>3</v>
      </c>
      <c r="B1709">
        <v>1707</v>
      </c>
      <c r="C1709">
        <v>100</v>
      </c>
      <c r="D1709" s="3">
        <v>26.682275295257568</v>
      </c>
      <c r="E1709" s="3" t="s">
        <v>10</v>
      </c>
      <c r="F1709" s="3" t="s">
        <v>41</v>
      </c>
      <c r="G1709" s="3">
        <v>4</v>
      </c>
    </row>
    <row r="1710" spans="1:7" x14ac:dyDescent="0.25">
      <c r="A1710" t="s">
        <v>3</v>
      </c>
      <c r="B1710">
        <v>1708</v>
      </c>
      <c r="C1710">
        <v>0</v>
      </c>
      <c r="D1710" s="2">
        <v>32.756621837615967</v>
      </c>
      <c r="E1710" s="2" t="s">
        <v>10</v>
      </c>
      <c r="F1710" s="2" t="s">
        <v>41</v>
      </c>
      <c r="G1710" s="2">
        <v>3.5</v>
      </c>
    </row>
    <row r="1711" spans="1:7" x14ac:dyDescent="0.25">
      <c r="A1711" t="s">
        <v>3</v>
      </c>
      <c r="B1711">
        <v>1709</v>
      </c>
      <c r="C1711">
        <v>90</v>
      </c>
      <c r="D1711" s="3">
        <v>12.735261201858521</v>
      </c>
      <c r="E1711" s="3" t="s">
        <v>10</v>
      </c>
      <c r="F1711" s="3" t="s">
        <v>41</v>
      </c>
      <c r="G1711" s="3">
        <v>3.5</v>
      </c>
    </row>
    <row r="1712" spans="1:7" x14ac:dyDescent="0.25">
      <c r="A1712" t="s">
        <v>3</v>
      </c>
      <c r="B1712">
        <v>1710</v>
      </c>
      <c r="C1712">
        <v>100</v>
      </c>
      <c r="D1712" s="2">
        <v>24.314406633377075</v>
      </c>
      <c r="E1712" s="2" t="s">
        <v>10</v>
      </c>
      <c r="F1712" s="2" t="s">
        <v>41</v>
      </c>
      <c r="G1712" s="2">
        <v>3.5</v>
      </c>
    </row>
    <row r="1713" spans="1:7" x14ac:dyDescent="0.25">
      <c r="A1713" t="s">
        <v>3</v>
      </c>
      <c r="B1713">
        <v>1711</v>
      </c>
      <c r="C1713">
        <v>100</v>
      </c>
      <c r="D1713" s="3">
        <v>31.168841123580933</v>
      </c>
      <c r="E1713" s="3" t="s">
        <v>10</v>
      </c>
      <c r="F1713" s="3" t="s">
        <v>13</v>
      </c>
      <c r="G1713" s="3">
        <v>2.1</v>
      </c>
    </row>
    <row r="1714" spans="1:7" x14ac:dyDescent="0.25">
      <c r="A1714" t="s">
        <v>3</v>
      </c>
      <c r="B1714">
        <v>1712</v>
      </c>
      <c r="C1714">
        <v>40</v>
      </c>
      <c r="D1714" s="2">
        <v>31.306751728057861</v>
      </c>
      <c r="E1714" s="2" t="s">
        <v>10</v>
      </c>
      <c r="F1714" s="2" t="s">
        <v>41</v>
      </c>
      <c r="G1714" s="2">
        <v>4.3</v>
      </c>
    </row>
    <row r="1715" spans="1:7" x14ac:dyDescent="0.25">
      <c r="A1715" t="s">
        <v>3</v>
      </c>
      <c r="B1715">
        <v>1713</v>
      </c>
      <c r="C1715">
        <v>100</v>
      </c>
      <c r="D1715" s="3">
        <v>17.517575979232788</v>
      </c>
      <c r="E1715" s="3" t="s">
        <v>10</v>
      </c>
      <c r="F1715" s="3" t="s">
        <v>41</v>
      </c>
      <c r="G1715" s="3">
        <v>4.3</v>
      </c>
    </row>
    <row r="1716" spans="1:7" x14ac:dyDescent="0.25">
      <c r="A1716" t="s">
        <v>3</v>
      </c>
      <c r="B1716">
        <v>1714</v>
      </c>
      <c r="C1716">
        <v>15</v>
      </c>
      <c r="D1716" s="2">
        <v>32.604361057281494</v>
      </c>
      <c r="E1716" s="2" t="s">
        <v>10</v>
      </c>
      <c r="F1716" s="2" t="s">
        <v>41</v>
      </c>
      <c r="G1716" s="2">
        <v>4.3</v>
      </c>
    </row>
    <row r="1717" spans="1:7" x14ac:dyDescent="0.25">
      <c r="A1717" t="s">
        <v>3</v>
      </c>
      <c r="B1717">
        <v>1715</v>
      </c>
      <c r="C1717">
        <v>100</v>
      </c>
      <c r="D1717" s="3">
        <v>32.371821165084839</v>
      </c>
      <c r="E1717" s="3" t="s">
        <v>10</v>
      </c>
      <c r="F1717" s="3" t="s">
        <v>41</v>
      </c>
      <c r="G1717" s="3">
        <v>4.3</v>
      </c>
    </row>
    <row r="1718" spans="1:7" x14ac:dyDescent="0.25">
      <c r="A1718" t="s">
        <v>3</v>
      </c>
      <c r="B1718">
        <v>1716</v>
      </c>
      <c r="C1718">
        <v>90</v>
      </c>
      <c r="D1718" s="2">
        <v>33.0105881690979</v>
      </c>
      <c r="E1718" s="2" t="s">
        <v>10</v>
      </c>
      <c r="F1718" s="2" t="s">
        <v>50</v>
      </c>
      <c r="G1718" s="2">
        <v>6</v>
      </c>
    </row>
    <row r="1719" spans="1:7" x14ac:dyDescent="0.25">
      <c r="A1719" t="s">
        <v>3</v>
      </c>
      <c r="B1719">
        <v>1717</v>
      </c>
      <c r="C1719">
        <v>20</v>
      </c>
      <c r="D1719" s="3">
        <v>33.270199775695801</v>
      </c>
      <c r="E1719" s="3" t="s">
        <v>10</v>
      </c>
      <c r="F1719" s="3" t="s">
        <v>50</v>
      </c>
      <c r="G1719" s="3">
        <v>6</v>
      </c>
    </row>
    <row r="1720" spans="1:7" x14ac:dyDescent="0.25">
      <c r="A1720" t="s">
        <v>3</v>
      </c>
      <c r="B1720">
        <v>1718</v>
      </c>
      <c r="C1720">
        <v>0</v>
      </c>
      <c r="D1720" s="2">
        <v>23.707268238067627</v>
      </c>
      <c r="E1720" s="2" t="s">
        <v>10</v>
      </c>
      <c r="F1720" s="2" t="s">
        <v>50</v>
      </c>
      <c r="G1720" s="2">
        <v>6</v>
      </c>
    </row>
    <row r="1721" spans="1:7" x14ac:dyDescent="0.25">
      <c r="A1721" t="s">
        <v>3</v>
      </c>
      <c r="B1721">
        <v>1719</v>
      </c>
      <c r="C1721">
        <v>100</v>
      </c>
      <c r="D1721" s="3">
        <v>34.289232492446899</v>
      </c>
      <c r="E1721" s="3" t="s">
        <v>10</v>
      </c>
      <c r="F1721" s="3" t="s">
        <v>45</v>
      </c>
      <c r="G1721" s="3">
        <v>7.2</v>
      </c>
    </row>
    <row r="1722" spans="1:7" x14ac:dyDescent="0.25">
      <c r="A1722" t="s">
        <v>3</v>
      </c>
      <c r="B1722">
        <v>1720</v>
      </c>
      <c r="C1722">
        <v>100</v>
      </c>
      <c r="D1722" s="2">
        <v>34.393959283828735</v>
      </c>
      <c r="E1722" s="2" t="s">
        <v>10</v>
      </c>
      <c r="F1722" s="2" t="s">
        <v>41</v>
      </c>
      <c r="G1722" s="2">
        <v>5.4</v>
      </c>
    </row>
    <row r="1723" spans="1:7" x14ac:dyDescent="0.25">
      <c r="A1723" t="s">
        <v>3</v>
      </c>
      <c r="B1723">
        <v>1721</v>
      </c>
      <c r="C1723">
        <v>100</v>
      </c>
      <c r="D1723" s="3">
        <v>38.640991687774658</v>
      </c>
      <c r="E1723" s="3" t="s">
        <v>10</v>
      </c>
      <c r="F1723" s="3" t="s">
        <v>41</v>
      </c>
      <c r="G1723" s="3">
        <v>6.2</v>
      </c>
    </row>
    <row r="1724" spans="1:7" x14ac:dyDescent="0.25">
      <c r="A1724" t="s">
        <v>3</v>
      </c>
      <c r="B1724">
        <v>1722</v>
      </c>
      <c r="C1724">
        <v>0</v>
      </c>
      <c r="D1724" s="2">
        <v>31.791627168655396</v>
      </c>
      <c r="E1724" s="2" t="s">
        <v>10</v>
      </c>
      <c r="F1724" s="2" t="s">
        <v>56</v>
      </c>
      <c r="G1724" s="2">
        <v>6.9</v>
      </c>
    </row>
    <row r="1725" spans="1:7" x14ac:dyDescent="0.25">
      <c r="A1725" t="s">
        <v>3</v>
      </c>
      <c r="B1725">
        <v>1723</v>
      </c>
      <c r="C1725">
        <v>40</v>
      </c>
      <c r="D1725" s="3">
        <v>45.817327976226807</v>
      </c>
      <c r="E1725" s="3" t="s">
        <v>10</v>
      </c>
      <c r="F1725" s="3" t="s">
        <v>56</v>
      </c>
      <c r="G1725" s="3">
        <v>6.9</v>
      </c>
    </row>
    <row r="1726" spans="1:7" x14ac:dyDescent="0.25">
      <c r="A1726" t="s">
        <v>3</v>
      </c>
      <c r="B1726">
        <v>1724</v>
      </c>
      <c r="C1726">
        <v>5</v>
      </c>
      <c r="D1726" s="2">
        <v>26.623389720916748</v>
      </c>
      <c r="E1726" s="2" t="s">
        <v>10</v>
      </c>
      <c r="F1726" s="2" t="s">
        <v>45</v>
      </c>
      <c r="G1726" s="2">
        <v>6.8</v>
      </c>
    </row>
    <row r="1727" spans="1:7" x14ac:dyDescent="0.25">
      <c r="A1727" t="s">
        <v>3</v>
      </c>
      <c r="B1727">
        <v>1725</v>
      </c>
      <c r="C1727">
        <v>35</v>
      </c>
      <c r="D1727" s="3">
        <v>33.699893951416016</v>
      </c>
      <c r="E1727" s="3" t="s">
        <v>10</v>
      </c>
      <c r="F1727" s="3" t="s">
        <v>41</v>
      </c>
      <c r="G1727" s="3">
        <v>5</v>
      </c>
    </row>
    <row r="1728" spans="1:7" x14ac:dyDescent="0.25">
      <c r="A1728" t="s">
        <v>3</v>
      </c>
      <c r="B1728">
        <v>1726</v>
      </c>
      <c r="C1728">
        <v>100</v>
      </c>
      <c r="D1728" s="2">
        <v>34.647348880767822</v>
      </c>
      <c r="E1728" s="2" t="s">
        <v>10</v>
      </c>
      <c r="F1728" s="2" t="s">
        <v>46</v>
      </c>
      <c r="G1728" s="2">
        <v>4.9000000000000004</v>
      </c>
    </row>
    <row r="1729" spans="1:7" x14ac:dyDescent="0.25">
      <c r="A1729" t="s">
        <v>3</v>
      </c>
      <c r="B1729">
        <v>1727</v>
      </c>
      <c r="C1729">
        <v>70</v>
      </c>
      <c r="D1729" s="3">
        <v>35.321905374526978</v>
      </c>
      <c r="E1729" s="3" t="s">
        <v>10</v>
      </c>
      <c r="F1729" s="3" t="s">
        <v>63</v>
      </c>
      <c r="G1729" s="3">
        <v>4.9000000000000004</v>
      </c>
    </row>
    <row r="1730" spans="1:7" x14ac:dyDescent="0.25">
      <c r="A1730" t="s">
        <v>3</v>
      </c>
      <c r="B1730">
        <v>1728</v>
      </c>
      <c r="C1730">
        <v>100</v>
      </c>
      <c r="D1730" s="2">
        <v>32.99380087852478</v>
      </c>
      <c r="E1730" s="2" t="s">
        <v>10</v>
      </c>
      <c r="F1730" s="2" t="s">
        <v>44</v>
      </c>
      <c r="G1730" s="2">
        <v>6.6</v>
      </c>
    </row>
    <row r="1731" spans="1:7" x14ac:dyDescent="0.25">
      <c r="A1731" t="s">
        <v>3</v>
      </c>
      <c r="B1731">
        <v>1729</v>
      </c>
      <c r="C1731">
        <v>100</v>
      </c>
      <c r="D1731" s="3">
        <v>36.033946752548218</v>
      </c>
      <c r="E1731" s="3" t="s">
        <v>10</v>
      </c>
      <c r="F1731" s="3" t="s">
        <v>44</v>
      </c>
      <c r="G1731" s="3">
        <v>6.6</v>
      </c>
    </row>
    <row r="1732" spans="1:7" x14ac:dyDescent="0.25">
      <c r="A1732" t="s">
        <v>3</v>
      </c>
      <c r="B1732">
        <v>1730</v>
      </c>
      <c r="C1732">
        <v>100</v>
      </c>
      <c r="D1732" s="2">
        <v>32.198379755020142</v>
      </c>
      <c r="E1732" s="2" t="s">
        <v>10</v>
      </c>
      <c r="F1732" s="2" t="s">
        <v>44</v>
      </c>
      <c r="G1732" s="2">
        <v>6.6</v>
      </c>
    </row>
    <row r="1733" spans="1:7" x14ac:dyDescent="0.25">
      <c r="A1733" t="s">
        <v>3</v>
      </c>
      <c r="B1733">
        <v>1731</v>
      </c>
      <c r="C1733">
        <v>100</v>
      </c>
      <c r="D1733" s="3">
        <v>31.176634073257446</v>
      </c>
      <c r="E1733" s="3" t="s">
        <v>10</v>
      </c>
      <c r="F1733" s="3" t="s">
        <v>44</v>
      </c>
      <c r="G1733" s="3">
        <v>6.6</v>
      </c>
    </row>
    <row r="1734" spans="1:7" x14ac:dyDescent="0.25">
      <c r="A1734" t="s">
        <v>3</v>
      </c>
      <c r="B1734">
        <v>1732</v>
      </c>
      <c r="C1734">
        <v>15</v>
      </c>
      <c r="D1734" s="2">
        <v>27.560050964355469</v>
      </c>
      <c r="E1734" s="2" t="s">
        <v>10</v>
      </c>
      <c r="F1734" s="2" t="s">
        <v>43</v>
      </c>
      <c r="G1734" s="2">
        <v>4.7</v>
      </c>
    </row>
    <row r="1735" spans="1:7" x14ac:dyDescent="0.25">
      <c r="A1735" t="s">
        <v>3</v>
      </c>
      <c r="B1735">
        <v>1733</v>
      </c>
      <c r="C1735">
        <v>100</v>
      </c>
      <c r="D1735" s="3">
        <v>23.425180673599243</v>
      </c>
      <c r="E1735" s="3" t="s">
        <v>10</v>
      </c>
      <c r="F1735" s="3" t="s">
        <v>43</v>
      </c>
      <c r="G1735" s="3">
        <v>4.7</v>
      </c>
    </row>
    <row r="1736" spans="1:7" x14ac:dyDescent="0.25">
      <c r="A1736" t="s">
        <v>3</v>
      </c>
      <c r="B1736">
        <v>1734</v>
      </c>
      <c r="C1736">
        <v>30</v>
      </c>
      <c r="D1736" s="2">
        <v>14.632423162460327</v>
      </c>
      <c r="E1736" s="2" t="s">
        <v>10</v>
      </c>
      <c r="F1736" s="2" t="s">
        <v>43</v>
      </c>
      <c r="G1736" s="2">
        <v>4.7</v>
      </c>
    </row>
    <row r="1737" spans="1:7" x14ac:dyDescent="0.25">
      <c r="A1737" t="s">
        <v>3</v>
      </c>
      <c r="B1737">
        <v>1735</v>
      </c>
      <c r="C1737">
        <v>100</v>
      </c>
      <c r="D1737" s="3">
        <v>23.260495901107788</v>
      </c>
      <c r="E1737" s="3" t="s">
        <v>10</v>
      </c>
      <c r="F1737" s="3" t="s">
        <v>43</v>
      </c>
      <c r="G1737" s="3">
        <v>4.7</v>
      </c>
    </row>
    <row r="1738" spans="1:7" x14ac:dyDescent="0.25">
      <c r="A1738" t="s">
        <v>3</v>
      </c>
      <c r="B1738">
        <v>1736</v>
      </c>
      <c r="C1738">
        <v>0</v>
      </c>
      <c r="D1738" s="2">
        <v>36.738427400588989</v>
      </c>
      <c r="E1738" s="2" t="s">
        <v>10</v>
      </c>
      <c r="F1738" s="2" t="s">
        <v>43</v>
      </c>
      <c r="G1738" s="2">
        <v>4.7</v>
      </c>
    </row>
    <row r="1739" spans="1:7" x14ac:dyDescent="0.25">
      <c r="A1739" t="s">
        <v>3</v>
      </c>
      <c r="B1739">
        <v>1737</v>
      </c>
      <c r="C1739">
        <v>100</v>
      </c>
      <c r="D1739" s="3">
        <v>34.602006673812866</v>
      </c>
      <c r="E1739" s="3" t="s">
        <v>10</v>
      </c>
      <c r="F1739" s="3" t="s">
        <v>53</v>
      </c>
      <c r="G1739" s="3">
        <v>5</v>
      </c>
    </row>
    <row r="1740" spans="1:7" x14ac:dyDescent="0.25">
      <c r="A1740" t="s">
        <v>3</v>
      </c>
      <c r="B1740">
        <v>1738</v>
      </c>
      <c r="C1740">
        <v>100</v>
      </c>
      <c r="D1740" s="2">
        <v>28.4223473072052</v>
      </c>
      <c r="E1740" s="2" t="s">
        <v>10</v>
      </c>
      <c r="F1740" s="2" t="s">
        <v>53</v>
      </c>
      <c r="G1740" s="2">
        <v>5</v>
      </c>
    </row>
    <row r="1741" spans="1:7" x14ac:dyDescent="0.25">
      <c r="A1741" t="s">
        <v>3</v>
      </c>
      <c r="B1741">
        <v>1739</v>
      </c>
      <c r="C1741">
        <v>100</v>
      </c>
      <c r="D1741" s="3">
        <v>25.668643712997437</v>
      </c>
      <c r="E1741" s="3" t="s">
        <v>10</v>
      </c>
      <c r="F1741" s="3" t="s">
        <v>41</v>
      </c>
      <c r="G1741" s="3">
        <v>4.3</v>
      </c>
    </row>
    <row r="1742" spans="1:7" x14ac:dyDescent="0.25">
      <c r="A1742" t="s">
        <v>3</v>
      </c>
      <c r="B1742">
        <v>1740</v>
      </c>
      <c r="C1742">
        <v>100</v>
      </c>
      <c r="D1742" s="2">
        <v>26.339765787124634</v>
      </c>
      <c r="E1742" s="2" t="s">
        <v>10</v>
      </c>
      <c r="F1742" s="2" t="s">
        <v>47</v>
      </c>
      <c r="G1742" s="2">
        <v>10</v>
      </c>
    </row>
    <row r="1743" spans="1:7" x14ac:dyDescent="0.25">
      <c r="A1743" t="s">
        <v>3</v>
      </c>
      <c r="B1743">
        <v>1741</v>
      </c>
      <c r="C1743">
        <v>100</v>
      </c>
      <c r="D1743" s="3">
        <v>31.23693060874939</v>
      </c>
      <c r="E1743" s="3" t="s">
        <v>10</v>
      </c>
      <c r="F1743" s="3" t="s">
        <v>47</v>
      </c>
      <c r="G1743" s="3">
        <v>10</v>
      </c>
    </row>
    <row r="1744" spans="1:7" x14ac:dyDescent="0.25">
      <c r="A1744" t="s">
        <v>3</v>
      </c>
      <c r="B1744">
        <v>1742</v>
      </c>
      <c r="C1744">
        <v>100</v>
      </c>
      <c r="D1744" s="2">
        <v>32.84934139251709</v>
      </c>
      <c r="E1744" s="2" t="s">
        <v>10</v>
      </c>
      <c r="F1744" s="2" t="s">
        <v>47</v>
      </c>
      <c r="G1744" s="2">
        <v>10</v>
      </c>
    </row>
    <row r="1745" spans="1:7" x14ac:dyDescent="0.25">
      <c r="A1745" t="s">
        <v>3</v>
      </c>
      <c r="B1745">
        <v>1743</v>
      </c>
      <c r="C1745">
        <v>100</v>
      </c>
      <c r="D1745" s="3">
        <v>32.977036237716675</v>
      </c>
      <c r="E1745" s="3" t="s">
        <v>10</v>
      </c>
      <c r="F1745" s="3" t="s">
        <v>47</v>
      </c>
      <c r="G1745" s="3">
        <v>10</v>
      </c>
    </row>
    <row r="1746" spans="1:7" x14ac:dyDescent="0.25">
      <c r="A1746" t="s">
        <v>3</v>
      </c>
      <c r="B1746">
        <v>1744</v>
      </c>
      <c r="C1746">
        <v>100</v>
      </c>
      <c r="D1746" s="2">
        <v>28.5480055809021</v>
      </c>
      <c r="E1746" s="2" t="s">
        <v>10</v>
      </c>
      <c r="F1746" s="2" t="s">
        <v>47</v>
      </c>
      <c r="G1746" s="2">
        <v>10</v>
      </c>
    </row>
    <row r="1747" spans="1:7" x14ac:dyDescent="0.25">
      <c r="A1747" t="s">
        <v>3</v>
      </c>
      <c r="B1747">
        <v>1745</v>
      </c>
      <c r="C1747">
        <v>100</v>
      </c>
      <c r="D1747" s="3">
        <v>87.264476299285889</v>
      </c>
      <c r="E1747" s="3" t="s">
        <v>10</v>
      </c>
      <c r="F1747" s="3" t="s">
        <v>39</v>
      </c>
      <c r="G1747" s="3">
        <v>8.5</v>
      </c>
    </row>
    <row r="1748" spans="1:7" x14ac:dyDescent="0.25">
      <c r="A1748" t="s">
        <v>3</v>
      </c>
      <c r="B1748">
        <v>1746</v>
      </c>
      <c r="C1748">
        <v>100</v>
      </c>
      <c r="D1748" s="2">
        <v>34.145900964736938</v>
      </c>
      <c r="E1748" s="2" t="s">
        <v>10</v>
      </c>
      <c r="F1748" s="2" t="s">
        <v>41</v>
      </c>
      <c r="G1748" s="2">
        <v>7.8</v>
      </c>
    </row>
    <row r="1749" spans="1:7" x14ac:dyDescent="0.25">
      <c r="A1749" t="s">
        <v>3</v>
      </c>
      <c r="B1749">
        <v>1747</v>
      </c>
      <c r="C1749">
        <v>0</v>
      </c>
      <c r="D1749" s="3">
        <v>30.01547384262085</v>
      </c>
      <c r="E1749" s="3" t="s">
        <v>10</v>
      </c>
      <c r="F1749" s="3" t="s">
        <v>64</v>
      </c>
      <c r="G1749" s="3">
        <v>7.6</v>
      </c>
    </row>
    <row r="1750" spans="1:7" x14ac:dyDescent="0.25">
      <c r="A1750" t="s">
        <v>3</v>
      </c>
      <c r="B1750">
        <v>1748</v>
      </c>
      <c r="C1750">
        <v>100</v>
      </c>
      <c r="D1750" s="2">
        <v>25.516720294952393</v>
      </c>
      <c r="E1750" s="2" t="s">
        <v>10</v>
      </c>
      <c r="F1750" s="2" t="s">
        <v>46</v>
      </c>
      <c r="G1750" s="2">
        <v>5</v>
      </c>
    </row>
    <row r="1751" spans="1:7" x14ac:dyDescent="0.25">
      <c r="A1751" t="s">
        <v>3</v>
      </c>
      <c r="B1751">
        <v>1749</v>
      </c>
      <c r="C1751">
        <v>100</v>
      </c>
      <c r="D1751" s="3">
        <v>32.040640354156494</v>
      </c>
      <c r="E1751" s="3" t="s">
        <v>10</v>
      </c>
      <c r="F1751" s="3" t="s">
        <v>46</v>
      </c>
      <c r="G1751" s="3">
        <v>5</v>
      </c>
    </row>
    <row r="1752" spans="1:7" x14ac:dyDescent="0.25">
      <c r="A1752" t="s">
        <v>3</v>
      </c>
      <c r="B1752">
        <v>1750</v>
      </c>
      <c r="C1752">
        <v>95</v>
      </c>
      <c r="D1752" s="2">
        <v>30.095571756362915</v>
      </c>
      <c r="E1752" s="2" t="s">
        <v>10</v>
      </c>
      <c r="F1752" s="2" t="s">
        <v>39</v>
      </c>
      <c r="G1752" s="2">
        <v>5.0999999999999996</v>
      </c>
    </row>
    <row r="1753" spans="1:7" x14ac:dyDescent="0.25">
      <c r="A1753" t="s">
        <v>3</v>
      </c>
      <c r="B1753">
        <v>1751</v>
      </c>
      <c r="C1753">
        <v>100</v>
      </c>
      <c r="D1753" s="3">
        <v>38.998699188232422</v>
      </c>
      <c r="E1753" s="3" t="s">
        <v>10</v>
      </c>
      <c r="F1753" s="3" t="s">
        <v>43</v>
      </c>
      <c r="G1753" s="3">
        <v>2.2999999999999998</v>
      </c>
    </row>
    <row r="1754" spans="1:7" x14ac:dyDescent="0.25">
      <c r="A1754" t="s">
        <v>3</v>
      </c>
      <c r="B1754">
        <v>1752</v>
      </c>
      <c r="C1754">
        <v>50</v>
      </c>
      <c r="D1754" s="2">
        <v>36.465358018875122</v>
      </c>
      <c r="E1754" s="2" t="s">
        <v>10</v>
      </c>
      <c r="F1754" s="2" t="s">
        <v>43</v>
      </c>
      <c r="G1754" s="2">
        <v>2.2999999999999998</v>
      </c>
    </row>
    <row r="1755" spans="1:7" x14ac:dyDescent="0.25">
      <c r="A1755" t="s">
        <v>3</v>
      </c>
      <c r="B1755">
        <v>1753</v>
      </c>
      <c r="C1755">
        <v>100</v>
      </c>
      <c r="D1755" s="3">
        <v>29.497075080871582</v>
      </c>
      <c r="E1755" s="3" t="s">
        <v>10</v>
      </c>
      <c r="F1755" s="3" t="s">
        <v>45</v>
      </c>
      <c r="G1755" s="3">
        <v>6.2</v>
      </c>
    </row>
    <row r="1756" spans="1:7" x14ac:dyDescent="0.25">
      <c r="A1756" t="s">
        <v>3</v>
      </c>
      <c r="B1756">
        <v>1754</v>
      </c>
      <c r="C1756">
        <v>30</v>
      </c>
      <c r="D1756" s="2">
        <v>26.407794237136841</v>
      </c>
      <c r="E1756" s="2" t="s">
        <v>10</v>
      </c>
      <c r="F1756" s="2" t="s">
        <v>45</v>
      </c>
      <c r="G1756" s="2">
        <v>6.2</v>
      </c>
    </row>
    <row r="1757" spans="1:7" x14ac:dyDescent="0.25">
      <c r="A1757" t="s">
        <v>3</v>
      </c>
      <c r="B1757">
        <v>1755</v>
      </c>
      <c r="C1757">
        <v>85</v>
      </c>
      <c r="D1757" s="3">
        <v>15.040525436401367</v>
      </c>
      <c r="E1757" s="3" t="s">
        <v>10</v>
      </c>
      <c r="F1757" s="3" t="s">
        <v>45</v>
      </c>
      <c r="G1757" s="3">
        <v>6.2</v>
      </c>
    </row>
    <row r="1758" spans="1:7" x14ac:dyDescent="0.25">
      <c r="A1758" t="s">
        <v>3</v>
      </c>
      <c r="B1758">
        <v>1756</v>
      </c>
      <c r="C1758">
        <v>100</v>
      </c>
      <c r="D1758" s="2">
        <v>27.787154912948608</v>
      </c>
      <c r="E1758" s="2" t="s">
        <v>10</v>
      </c>
      <c r="F1758" s="2" t="s">
        <v>45</v>
      </c>
      <c r="G1758" s="2">
        <v>6.2</v>
      </c>
    </row>
    <row r="1759" spans="1:7" x14ac:dyDescent="0.25">
      <c r="A1759" t="s">
        <v>3</v>
      </c>
      <c r="B1759">
        <v>1757</v>
      </c>
      <c r="C1759">
        <v>100</v>
      </c>
      <c r="D1759" s="3">
        <v>27.878768682479858</v>
      </c>
      <c r="E1759" s="3" t="s">
        <v>10</v>
      </c>
      <c r="F1759" s="3" t="s">
        <v>45</v>
      </c>
      <c r="G1759" s="3">
        <v>6.2</v>
      </c>
    </row>
    <row r="1760" spans="1:7" x14ac:dyDescent="0.25">
      <c r="A1760" t="s">
        <v>3</v>
      </c>
      <c r="B1760">
        <v>1758</v>
      </c>
      <c r="C1760">
        <v>0</v>
      </c>
      <c r="D1760" s="2">
        <v>23.428657531738281</v>
      </c>
      <c r="E1760" s="2" t="s">
        <v>10</v>
      </c>
      <c r="F1760" s="2" t="s">
        <v>45</v>
      </c>
      <c r="G1760" s="2">
        <v>6.2</v>
      </c>
    </row>
    <row r="1761" spans="1:7" x14ac:dyDescent="0.25">
      <c r="A1761" t="s">
        <v>3</v>
      </c>
      <c r="B1761">
        <v>1759</v>
      </c>
      <c r="C1761">
        <v>100</v>
      </c>
      <c r="D1761" s="3">
        <v>18.933195829391479</v>
      </c>
      <c r="E1761" s="3" t="s">
        <v>10</v>
      </c>
      <c r="F1761" s="3" t="s">
        <v>45</v>
      </c>
      <c r="G1761" s="3">
        <v>6.2</v>
      </c>
    </row>
    <row r="1762" spans="1:7" x14ac:dyDescent="0.25">
      <c r="A1762" t="s">
        <v>3</v>
      </c>
      <c r="B1762">
        <v>1760</v>
      </c>
      <c r="C1762">
        <v>100</v>
      </c>
      <c r="D1762" s="2">
        <v>31.090152025222778</v>
      </c>
      <c r="E1762" s="2" t="s">
        <v>10</v>
      </c>
      <c r="F1762" s="2" t="s">
        <v>46</v>
      </c>
      <c r="G1762" s="2">
        <v>5</v>
      </c>
    </row>
    <row r="1763" spans="1:7" x14ac:dyDescent="0.25">
      <c r="A1763" t="s">
        <v>3</v>
      </c>
      <c r="B1763">
        <v>1761</v>
      </c>
      <c r="C1763">
        <v>100</v>
      </c>
      <c r="D1763" s="3">
        <v>27.427533149719238</v>
      </c>
      <c r="E1763" s="3" t="s">
        <v>10</v>
      </c>
      <c r="F1763" s="3" t="s">
        <v>56</v>
      </c>
      <c r="G1763" s="3">
        <v>4.5999999999999996</v>
      </c>
    </row>
    <row r="1764" spans="1:7" x14ac:dyDescent="0.25">
      <c r="A1764" t="s">
        <v>3</v>
      </c>
      <c r="B1764">
        <v>1762</v>
      </c>
      <c r="C1764">
        <v>100</v>
      </c>
      <c r="D1764" s="2">
        <v>22.809097766876221</v>
      </c>
      <c r="E1764" s="2" t="s">
        <v>10</v>
      </c>
      <c r="F1764" s="2" t="s">
        <v>56</v>
      </c>
      <c r="G1764" s="2">
        <v>4.5999999999999996</v>
      </c>
    </row>
    <row r="1765" spans="1:7" x14ac:dyDescent="0.25">
      <c r="A1765" t="s">
        <v>3</v>
      </c>
      <c r="B1765">
        <v>1763</v>
      </c>
      <c r="C1765">
        <v>40</v>
      </c>
      <c r="D1765" s="3">
        <v>22.551417112350464</v>
      </c>
      <c r="E1765" s="3" t="s">
        <v>10</v>
      </c>
      <c r="F1765" s="3" t="s">
        <v>41</v>
      </c>
      <c r="G1765" s="3">
        <v>5</v>
      </c>
    </row>
    <row r="1766" spans="1:7" x14ac:dyDescent="0.25">
      <c r="A1766" t="s">
        <v>3</v>
      </c>
      <c r="B1766">
        <v>1764</v>
      </c>
      <c r="C1766">
        <v>0</v>
      </c>
      <c r="D1766" s="2">
        <v>31.187494516372681</v>
      </c>
      <c r="E1766" s="2" t="s">
        <v>10</v>
      </c>
      <c r="F1766" s="2" t="s">
        <v>41</v>
      </c>
      <c r="G1766" s="2">
        <v>4.9000000000000004</v>
      </c>
    </row>
    <row r="1767" spans="1:7" x14ac:dyDescent="0.25">
      <c r="A1767" t="s">
        <v>3</v>
      </c>
      <c r="B1767">
        <v>1765</v>
      </c>
      <c r="C1767">
        <v>100</v>
      </c>
      <c r="D1767" s="3">
        <v>19.266758680343628</v>
      </c>
      <c r="E1767" s="3" t="s">
        <v>10</v>
      </c>
      <c r="F1767" s="3" t="s">
        <v>41</v>
      </c>
      <c r="G1767" s="3">
        <v>4.9000000000000004</v>
      </c>
    </row>
    <row r="1768" spans="1:7" x14ac:dyDescent="0.25">
      <c r="A1768" t="s">
        <v>3</v>
      </c>
      <c r="B1768">
        <v>1766</v>
      </c>
      <c r="C1768">
        <v>50</v>
      </c>
      <c r="D1768" s="2">
        <v>32.366187810897827</v>
      </c>
      <c r="E1768" s="2" t="s">
        <v>10</v>
      </c>
      <c r="F1768" s="2" t="s">
        <v>41</v>
      </c>
      <c r="G1768" s="2">
        <v>5</v>
      </c>
    </row>
    <row r="1769" spans="1:7" x14ac:dyDescent="0.25">
      <c r="A1769" t="s">
        <v>3</v>
      </c>
      <c r="B1769">
        <v>1767</v>
      </c>
      <c r="C1769">
        <v>60</v>
      </c>
      <c r="D1769" s="3">
        <v>17.214921951293945</v>
      </c>
      <c r="E1769" s="3" t="s">
        <v>10</v>
      </c>
      <c r="F1769" s="3" t="s">
        <v>41</v>
      </c>
      <c r="G1769" s="3">
        <v>5</v>
      </c>
    </row>
    <row r="1770" spans="1:7" x14ac:dyDescent="0.25">
      <c r="A1770" t="s">
        <v>3</v>
      </c>
      <c r="B1770">
        <v>1768</v>
      </c>
      <c r="C1770">
        <v>100</v>
      </c>
      <c r="D1770" s="2">
        <v>20.819187164306641</v>
      </c>
      <c r="E1770" s="2" t="s">
        <v>10</v>
      </c>
      <c r="F1770" s="2" t="s">
        <v>41</v>
      </c>
      <c r="G1770" s="2">
        <v>7.8</v>
      </c>
    </row>
    <row r="1771" spans="1:7" x14ac:dyDescent="0.25">
      <c r="A1771" t="s">
        <v>3</v>
      </c>
      <c r="B1771">
        <v>1769</v>
      </c>
      <c r="C1771">
        <v>5</v>
      </c>
      <c r="D1771" s="3">
        <v>32.296966075897217</v>
      </c>
      <c r="E1771" s="3" t="s">
        <v>10</v>
      </c>
      <c r="F1771" s="3" t="s">
        <v>41</v>
      </c>
      <c r="G1771" s="3">
        <v>7.8</v>
      </c>
    </row>
    <row r="1772" spans="1:7" x14ac:dyDescent="0.25">
      <c r="A1772" t="s">
        <v>3</v>
      </c>
      <c r="B1772">
        <v>1770</v>
      </c>
      <c r="C1772">
        <v>100</v>
      </c>
      <c r="D1772" s="2">
        <v>30.511472463607788</v>
      </c>
      <c r="E1772" s="2" t="s">
        <v>10</v>
      </c>
      <c r="F1772" s="2" t="s">
        <v>41</v>
      </c>
      <c r="G1772" s="2">
        <v>7.8</v>
      </c>
    </row>
    <row r="1773" spans="1:7" x14ac:dyDescent="0.25">
      <c r="A1773" t="s">
        <v>3</v>
      </c>
      <c r="B1773">
        <v>1771</v>
      </c>
      <c r="C1773">
        <v>100</v>
      </c>
      <c r="D1773" s="3">
        <v>28.101632833480835</v>
      </c>
      <c r="E1773" s="3" t="s">
        <v>10</v>
      </c>
      <c r="F1773" s="3" t="s">
        <v>41</v>
      </c>
      <c r="G1773" s="3">
        <v>7.8</v>
      </c>
    </row>
    <row r="1774" spans="1:7" x14ac:dyDescent="0.25">
      <c r="A1774" t="s">
        <v>3</v>
      </c>
      <c r="B1774">
        <v>1772</v>
      </c>
      <c r="C1774">
        <v>100</v>
      </c>
      <c r="D1774" s="2">
        <v>25.956570625305176</v>
      </c>
      <c r="E1774" s="2" t="s">
        <v>10</v>
      </c>
      <c r="F1774" s="2" t="s">
        <v>41</v>
      </c>
      <c r="G1774" s="2">
        <v>7.8</v>
      </c>
    </row>
    <row r="1775" spans="1:7" x14ac:dyDescent="0.25">
      <c r="A1775" t="s">
        <v>3</v>
      </c>
      <c r="B1775">
        <v>1773</v>
      </c>
      <c r="C1775">
        <v>0</v>
      </c>
      <c r="D1775" s="3">
        <v>28.856256008148193</v>
      </c>
      <c r="E1775" s="3" t="s">
        <v>10</v>
      </c>
      <c r="F1775" s="3" t="s">
        <v>41</v>
      </c>
      <c r="G1775" s="3">
        <v>2.1</v>
      </c>
    </row>
    <row r="1776" spans="1:7" x14ac:dyDescent="0.25">
      <c r="A1776" t="s">
        <v>3</v>
      </c>
      <c r="B1776">
        <v>1774</v>
      </c>
      <c r="C1776">
        <v>20</v>
      </c>
      <c r="D1776" s="2">
        <v>552.76566314697266</v>
      </c>
      <c r="E1776" s="2" t="s">
        <v>10</v>
      </c>
      <c r="F1776" s="2" t="s">
        <v>41</v>
      </c>
      <c r="G1776" s="2">
        <v>2.1</v>
      </c>
    </row>
    <row r="1777" spans="1:7" x14ac:dyDescent="0.25">
      <c r="A1777" t="s">
        <v>3</v>
      </c>
      <c r="B1777">
        <v>1775</v>
      </c>
      <c r="C1777">
        <v>20</v>
      </c>
      <c r="D1777" s="3">
        <v>18.96147632598877</v>
      </c>
      <c r="E1777" s="3" t="s">
        <v>10</v>
      </c>
      <c r="F1777" s="3" t="s">
        <v>41</v>
      </c>
      <c r="G1777" s="3">
        <v>2.1</v>
      </c>
    </row>
    <row r="1778" spans="1:7" x14ac:dyDescent="0.25">
      <c r="A1778" t="s">
        <v>3</v>
      </c>
      <c r="B1778">
        <v>1776</v>
      </c>
      <c r="C1778">
        <v>0</v>
      </c>
      <c r="D1778" s="2">
        <v>28.268270254135132</v>
      </c>
      <c r="E1778" s="2" t="s">
        <v>10</v>
      </c>
      <c r="F1778" s="2" t="s">
        <v>41</v>
      </c>
      <c r="G1778" s="2">
        <v>2.1</v>
      </c>
    </row>
    <row r="1779" spans="1:7" x14ac:dyDescent="0.25">
      <c r="A1779" t="s">
        <v>3</v>
      </c>
      <c r="B1779">
        <v>1777</v>
      </c>
      <c r="C1779">
        <v>100</v>
      </c>
      <c r="D1779" s="3">
        <v>17.316638708114624</v>
      </c>
      <c r="E1779" s="3" t="s">
        <v>10</v>
      </c>
      <c r="F1779" s="3" t="s">
        <v>41</v>
      </c>
      <c r="G1779" s="3">
        <v>2.1</v>
      </c>
    </row>
    <row r="1780" spans="1:7" x14ac:dyDescent="0.25">
      <c r="A1780" t="s">
        <v>3</v>
      </c>
      <c r="B1780">
        <v>1778</v>
      </c>
      <c r="C1780">
        <v>100</v>
      </c>
      <c r="D1780" s="2">
        <v>31.776558876037598</v>
      </c>
      <c r="E1780" s="2" t="s">
        <v>10</v>
      </c>
      <c r="F1780" s="2" t="s">
        <v>41</v>
      </c>
      <c r="G1780" s="2">
        <v>2.1</v>
      </c>
    </row>
    <row r="1781" spans="1:7" x14ac:dyDescent="0.25">
      <c r="A1781" t="s">
        <v>3</v>
      </c>
      <c r="B1781">
        <v>1779</v>
      </c>
      <c r="C1781">
        <v>100</v>
      </c>
      <c r="D1781" s="3">
        <v>28.972290277481079</v>
      </c>
      <c r="E1781" s="3" t="s">
        <v>10</v>
      </c>
      <c r="F1781" s="3" t="s">
        <v>41</v>
      </c>
      <c r="G1781" s="3">
        <v>2.1</v>
      </c>
    </row>
    <row r="1782" spans="1:7" x14ac:dyDescent="0.25">
      <c r="A1782" t="s">
        <v>3</v>
      </c>
      <c r="B1782">
        <v>1780</v>
      </c>
      <c r="C1782">
        <v>5</v>
      </c>
      <c r="D1782" s="2">
        <v>27.235666990280151</v>
      </c>
      <c r="E1782" s="2" t="s">
        <v>10</v>
      </c>
      <c r="F1782" s="2" t="s">
        <v>41</v>
      </c>
      <c r="G1782" s="2">
        <v>2.1</v>
      </c>
    </row>
    <row r="1783" spans="1:7" x14ac:dyDescent="0.25">
      <c r="A1783" t="s">
        <v>3</v>
      </c>
      <c r="B1783">
        <v>1781</v>
      </c>
      <c r="C1783">
        <v>100</v>
      </c>
      <c r="D1783" s="3">
        <v>29.501460790634155</v>
      </c>
      <c r="E1783" s="3" t="s">
        <v>10</v>
      </c>
      <c r="F1783" s="3" t="s">
        <v>41</v>
      </c>
      <c r="G1783" s="3">
        <v>2.1</v>
      </c>
    </row>
    <row r="1784" spans="1:7" x14ac:dyDescent="0.25">
      <c r="A1784" t="s">
        <v>3</v>
      </c>
      <c r="B1784">
        <v>1782</v>
      </c>
      <c r="C1784">
        <v>0</v>
      </c>
      <c r="D1784" s="2">
        <v>28.808819770812988</v>
      </c>
      <c r="E1784" s="2" t="s">
        <v>10</v>
      </c>
      <c r="F1784" s="2" t="s">
        <v>41</v>
      </c>
      <c r="G1784" s="2">
        <v>7.2</v>
      </c>
    </row>
    <row r="1785" spans="1:7" x14ac:dyDescent="0.25">
      <c r="A1785" t="s">
        <v>3</v>
      </c>
      <c r="B1785">
        <v>1783</v>
      </c>
      <c r="C1785">
        <v>100</v>
      </c>
      <c r="D1785" s="3">
        <v>20.60894775390625</v>
      </c>
      <c r="E1785" s="3" t="s">
        <v>10</v>
      </c>
      <c r="F1785" s="3" t="s">
        <v>41</v>
      </c>
      <c r="G1785" s="3">
        <v>4.9000000000000004</v>
      </c>
    </row>
    <row r="1786" spans="1:7" x14ac:dyDescent="0.25">
      <c r="A1786" t="s">
        <v>3</v>
      </c>
      <c r="B1786">
        <v>1784</v>
      </c>
      <c r="C1786">
        <v>0</v>
      </c>
      <c r="D1786" s="2">
        <v>26.159357786178589</v>
      </c>
      <c r="E1786" s="2" t="s">
        <v>10</v>
      </c>
      <c r="F1786" s="2" t="s">
        <v>41</v>
      </c>
      <c r="G1786" s="2">
        <v>4.9000000000000004</v>
      </c>
    </row>
    <row r="1787" spans="1:7" x14ac:dyDescent="0.25">
      <c r="A1787" t="s">
        <v>3</v>
      </c>
      <c r="B1787">
        <v>1785</v>
      </c>
      <c r="C1787">
        <v>0</v>
      </c>
      <c r="D1787" s="3">
        <v>27.776552438735962</v>
      </c>
      <c r="E1787" s="3" t="s">
        <v>10</v>
      </c>
      <c r="F1787" s="3" t="s">
        <v>41</v>
      </c>
      <c r="G1787" s="3">
        <v>4.9000000000000004</v>
      </c>
    </row>
    <row r="1788" spans="1:7" x14ac:dyDescent="0.25">
      <c r="A1788" t="s">
        <v>3</v>
      </c>
      <c r="B1788">
        <v>1786</v>
      </c>
      <c r="C1788">
        <v>5</v>
      </c>
      <c r="D1788" s="2">
        <v>16.098990440368652</v>
      </c>
      <c r="E1788" s="2" t="s">
        <v>10</v>
      </c>
      <c r="F1788" s="2" t="s">
        <v>41</v>
      </c>
      <c r="G1788" s="2">
        <v>4.9000000000000004</v>
      </c>
    </row>
    <row r="1789" spans="1:7" x14ac:dyDescent="0.25">
      <c r="A1789" t="s">
        <v>3</v>
      </c>
      <c r="B1789">
        <v>1787</v>
      </c>
      <c r="C1789">
        <v>100</v>
      </c>
      <c r="D1789" s="3">
        <v>43.286966323852539</v>
      </c>
      <c r="E1789" s="3" t="s">
        <v>10</v>
      </c>
      <c r="F1789" s="3" t="s">
        <v>55</v>
      </c>
      <c r="G1789" s="3">
        <v>4.3</v>
      </c>
    </row>
    <row r="1790" spans="1:7" x14ac:dyDescent="0.25">
      <c r="A1790" t="s">
        <v>3</v>
      </c>
      <c r="B1790">
        <v>1788</v>
      </c>
      <c r="C1790">
        <v>100</v>
      </c>
      <c r="D1790" s="2">
        <v>21.67673921585083</v>
      </c>
      <c r="E1790" s="2" t="s">
        <v>10</v>
      </c>
      <c r="F1790" s="2" t="s">
        <v>55</v>
      </c>
      <c r="G1790" s="2">
        <v>4.3</v>
      </c>
    </row>
    <row r="1791" spans="1:7" x14ac:dyDescent="0.25">
      <c r="A1791" t="s">
        <v>3</v>
      </c>
      <c r="B1791">
        <v>1789</v>
      </c>
      <c r="C1791">
        <v>0</v>
      </c>
      <c r="D1791" s="3">
        <v>26.348722696304321</v>
      </c>
      <c r="E1791" s="3" t="s">
        <v>10</v>
      </c>
      <c r="F1791" s="3" t="s">
        <v>39</v>
      </c>
      <c r="G1791" s="3">
        <v>6.8</v>
      </c>
    </row>
    <row r="1792" spans="1:7" x14ac:dyDescent="0.25">
      <c r="A1792" t="s">
        <v>3</v>
      </c>
      <c r="B1792">
        <v>1790</v>
      </c>
      <c r="C1792">
        <v>100</v>
      </c>
      <c r="D1792" s="2">
        <v>18.555704355239868</v>
      </c>
      <c r="E1792" s="2" t="s">
        <v>10</v>
      </c>
      <c r="F1792" s="2" t="s">
        <v>39</v>
      </c>
      <c r="G1792" s="2">
        <v>6.8</v>
      </c>
    </row>
    <row r="1793" spans="1:7" x14ac:dyDescent="0.25">
      <c r="A1793" t="s">
        <v>3</v>
      </c>
      <c r="B1793">
        <v>1791</v>
      </c>
      <c r="C1793">
        <v>100</v>
      </c>
      <c r="D1793" s="3">
        <v>11.935581207275391</v>
      </c>
      <c r="E1793" s="3" t="s">
        <v>10</v>
      </c>
      <c r="F1793" s="3" t="s">
        <v>41</v>
      </c>
      <c r="G1793" s="3">
        <v>5</v>
      </c>
    </row>
    <row r="1794" spans="1:7" x14ac:dyDescent="0.25">
      <c r="A1794" t="s">
        <v>3</v>
      </c>
      <c r="B1794">
        <v>1792</v>
      </c>
      <c r="C1794">
        <v>100</v>
      </c>
      <c r="D1794" s="2">
        <v>30.086817264556885</v>
      </c>
      <c r="E1794" s="2" t="s">
        <v>10</v>
      </c>
      <c r="F1794" s="2" t="s">
        <v>41</v>
      </c>
      <c r="G1794" s="2">
        <v>5</v>
      </c>
    </row>
    <row r="1795" spans="1:7" x14ac:dyDescent="0.25">
      <c r="A1795" t="s">
        <v>3</v>
      </c>
      <c r="B1795">
        <v>1793</v>
      </c>
      <c r="C1795">
        <v>100</v>
      </c>
      <c r="D1795" s="3">
        <v>26.70727014541626</v>
      </c>
      <c r="E1795" s="3" t="s">
        <v>10</v>
      </c>
      <c r="F1795" s="3" t="s">
        <v>41</v>
      </c>
      <c r="G1795" s="3">
        <v>5</v>
      </c>
    </row>
    <row r="1796" spans="1:7" x14ac:dyDescent="0.25">
      <c r="A1796" t="s">
        <v>3</v>
      </c>
      <c r="B1796">
        <v>1794</v>
      </c>
      <c r="C1796">
        <v>100</v>
      </c>
      <c r="D1796" s="2">
        <v>27.239223480224609</v>
      </c>
      <c r="E1796" s="2" t="s">
        <v>10</v>
      </c>
      <c r="F1796" s="2" t="s">
        <v>41</v>
      </c>
      <c r="G1796" s="2">
        <v>5</v>
      </c>
    </row>
    <row r="1797" spans="1:7" x14ac:dyDescent="0.25">
      <c r="A1797" t="s">
        <v>3</v>
      </c>
      <c r="B1797">
        <v>1795</v>
      </c>
      <c r="C1797">
        <v>100</v>
      </c>
      <c r="D1797" s="3">
        <v>29.87456750869751</v>
      </c>
      <c r="E1797" s="3" t="s">
        <v>10</v>
      </c>
      <c r="F1797" s="3" t="s">
        <v>41</v>
      </c>
      <c r="G1797" s="3">
        <v>5</v>
      </c>
    </row>
    <row r="1798" spans="1:7" x14ac:dyDescent="0.25">
      <c r="A1798" t="s">
        <v>3</v>
      </c>
      <c r="B1798">
        <v>1796</v>
      </c>
      <c r="C1798">
        <v>100</v>
      </c>
      <c r="D1798" s="2">
        <v>12.68278169631958</v>
      </c>
      <c r="E1798" s="2" t="s">
        <v>10</v>
      </c>
      <c r="F1798" s="2" t="s">
        <v>41</v>
      </c>
      <c r="G1798" s="2">
        <v>5</v>
      </c>
    </row>
    <row r="1799" spans="1:7" x14ac:dyDescent="0.25">
      <c r="A1799" t="s">
        <v>3</v>
      </c>
      <c r="B1799">
        <v>1797</v>
      </c>
      <c r="C1799">
        <v>0</v>
      </c>
      <c r="D1799" s="3">
        <v>22.365972757339478</v>
      </c>
      <c r="E1799" s="3" t="s">
        <v>10</v>
      </c>
      <c r="F1799" s="3" t="s">
        <v>41</v>
      </c>
      <c r="G1799" s="3">
        <v>5</v>
      </c>
    </row>
    <row r="1800" spans="1:7" x14ac:dyDescent="0.25">
      <c r="A1800" t="s">
        <v>3</v>
      </c>
      <c r="B1800">
        <v>1798</v>
      </c>
      <c r="C1800">
        <v>0</v>
      </c>
      <c r="D1800" s="2">
        <v>30.385992527008057</v>
      </c>
      <c r="E1800" s="2" t="s">
        <v>10</v>
      </c>
      <c r="F1800" s="2" t="s">
        <v>56</v>
      </c>
      <c r="G1800" s="2">
        <v>7.2</v>
      </c>
    </row>
    <row r="1801" spans="1:7" x14ac:dyDescent="0.25">
      <c r="A1801" t="s">
        <v>3</v>
      </c>
      <c r="B1801">
        <v>1799</v>
      </c>
      <c r="C1801">
        <v>100</v>
      </c>
      <c r="D1801" s="3">
        <v>39.431730031967163</v>
      </c>
      <c r="E1801" s="3" t="s">
        <v>10</v>
      </c>
      <c r="F1801" s="3" t="s">
        <v>56</v>
      </c>
      <c r="G1801" s="3">
        <v>7.2</v>
      </c>
    </row>
    <row r="1802" spans="1:7" x14ac:dyDescent="0.25">
      <c r="A1802" t="s">
        <v>3</v>
      </c>
      <c r="B1802">
        <v>1800</v>
      </c>
      <c r="C1802">
        <v>0</v>
      </c>
      <c r="D1802" s="2">
        <v>25.235001564025879</v>
      </c>
      <c r="E1802" s="2" t="s">
        <v>10</v>
      </c>
      <c r="F1802" s="2" t="s">
        <v>41</v>
      </c>
      <c r="G1802" s="2">
        <v>4.3</v>
      </c>
    </row>
    <row r="1803" spans="1:7" x14ac:dyDescent="0.25">
      <c r="A1803" t="s">
        <v>3</v>
      </c>
      <c r="B1803">
        <v>1801</v>
      </c>
      <c r="C1803">
        <v>20</v>
      </c>
      <c r="D1803" s="3">
        <v>37.634206295013428</v>
      </c>
      <c r="E1803" s="3" t="s">
        <v>10</v>
      </c>
      <c r="F1803" s="3" t="s">
        <v>41</v>
      </c>
      <c r="G1803" s="3">
        <v>4.3</v>
      </c>
    </row>
    <row r="1804" spans="1:7" x14ac:dyDescent="0.25">
      <c r="A1804" t="s">
        <v>3</v>
      </c>
      <c r="B1804">
        <v>1802</v>
      </c>
      <c r="C1804">
        <v>100</v>
      </c>
      <c r="D1804" s="2">
        <v>25.5587477684021</v>
      </c>
      <c r="E1804" s="2" t="s">
        <v>10</v>
      </c>
      <c r="F1804" s="2" t="s">
        <v>41</v>
      </c>
      <c r="G1804" s="2">
        <v>4.3</v>
      </c>
    </row>
    <row r="1805" spans="1:7" x14ac:dyDescent="0.25">
      <c r="A1805" t="s">
        <v>3</v>
      </c>
      <c r="B1805">
        <v>1803</v>
      </c>
      <c r="C1805">
        <v>60</v>
      </c>
      <c r="D1805" s="3">
        <v>34.34038782119751</v>
      </c>
      <c r="E1805" s="3" t="s">
        <v>10</v>
      </c>
      <c r="F1805" s="3" t="s">
        <v>46</v>
      </c>
      <c r="G1805" s="3">
        <v>5</v>
      </c>
    </row>
    <row r="1806" spans="1:7" x14ac:dyDescent="0.25">
      <c r="A1806" t="s">
        <v>3</v>
      </c>
      <c r="B1806">
        <v>1804</v>
      </c>
      <c r="C1806">
        <v>100</v>
      </c>
      <c r="D1806" s="2">
        <v>25.407992601394653</v>
      </c>
      <c r="E1806" s="2" t="s">
        <v>10</v>
      </c>
      <c r="F1806" s="2" t="s">
        <v>39</v>
      </c>
      <c r="G1806" s="2">
        <v>6.9</v>
      </c>
    </row>
    <row r="1807" spans="1:7" x14ac:dyDescent="0.25">
      <c r="A1807" t="s">
        <v>3</v>
      </c>
      <c r="B1807">
        <v>1805</v>
      </c>
      <c r="C1807">
        <v>100</v>
      </c>
      <c r="D1807" s="3">
        <v>31.254895210266113</v>
      </c>
      <c r="E1807" s="3" t="s">
        <v>10</v>
      </c>
      <c r="F1807" s="3" t="s">
        <v>60</v>
      </c>
      <c r="G1807" s="3">
        <v>6.9</v>
      </c>
    </row>
    <row r="1808" spans="1:7" x14ac:dyDescent="0.25">
      <c r="A1808" t="s">
        <v>3</v>
      </c>
      <c r="B1808">
        <v>1806</v>
      </c>
      <c r="C1808">
        <v>0</v>
      </c>
      <c r="D1808" s="2">
        <v>16.289892911911011</v>
      </c>
      <c r="E1808" s="2" t="s">
        <v>10</v>
      </c>
      <c r="F1808" s="2" t="s">
        <v>46</v>
      </c>
      <c r="G1808" s="2">
        <v>4.7</v>
      </c>
    </row>
    <row r="1809" spans="1:7" x14ac:dyDescent="0.25">
      <c r="A1809" t="s">
        <v>3</v>
      </c>
      <c r="B1809">
        <v>1807</v>
      </c>
      <c r="C1809">
        <v>100</v>
      </c>
      <c r="D1809" s="3">
        <v>25.961284637451172</v>
      </c>
      <c r="E1809" s="3" t="s">
        <v>10</v>
      </c>
      <c r="F1809" s="3" t="s">
        <v>46</v>
      </c>
      <c r="G1809" s="3">
        <v>4.7</v>
      </c>
    </row>
    <row r="1810" spans="1:7" x14ac:dyDescent="0.25">
      <c r="A1810" t="s">
        <v>3</v>
      </c>
      <c r="B1810">
        <v>1808</v>
      </c>
      <c r="C1810">
        <v>100</v>
      </c>
      <c r="D1810" s="2">
        <v>29.680035591125488</v>
      </c>
      <c r="E1810" s="2" t="s">
        <v>10</v>
      </c>
      <c r="F1810" s="2" t="s">
        <v>46</v>
      </c>
      <c r="G1810" s="2">
        <v>4.7</v>
      </c>
    </row>
    <row r="1811" spans="1:7" x14ac:dyDescent="0.25">
      <c r="A1811" t="s">
        <v>3</v>
      </c>
      <c r="B1811">
        <v>1809</v>
      </c>
      <c r="C1811">
        <v>0</v>
      </c>
      <c r="D1811" s="3">
        <v>19.621557474136353</v>
      </c>
      <c r="E1811" s="3" t="s">
        <v>10</v>
      </c>
      <c r="F1811" s="3" t="s">
        <v>46</v>
      </c>
      <c r="G1811" s="3">
        <v>4.7</v>
      </c>
    </row>
    <row r="1812" spans="1:7" x14ac:dyDescent="0.25">
      <c r="A1812" t="s">
        <v>3</v>
      </c>
      <c r="B1812">
        <v>1810</v>
      </c>
      <c r="C1812">
        <v>85</v>
      </c>
      <c r="D1812" s="2">
        <v>15.992822885513306</v>
      </c>
      <c r="E1812" s="2" t="s">
        <v>10</v>
      </c>
      <c r="F1812" s="2" t="s">
        <v>46</v>
      </c>
      <c r="G1812" s="2">
        <v>4.7</v>
      </c>
    </row>
    <row r="1813" spans="1:7" x14ac:dyDescent="0.25">
      <c r="A1813" t="s">
        <v>3</v>
      </c>
      <c r="B1813">
        <v>1811</v>
      </c>
      <c r="C1813">
        <v>100</v>
      </c>
      <c r="D1813" s="3">
        <v>20.476046323776245</v>
      </c>
      <c r="E1813" s="3" t="s">
        <v>10</v>
      </c>
      <c r="F1813" s="3" t="s">
        <v>46</v>
      </c>
      <c r="G1813" s="3">
        <v>4.7</v>
      </c>
    </row>
    <row r="1814" spans="1:7" x14ac:dyDescent="0.25">
      <c r="A1814" t="s">
        <v>3</v>
      </c>
      <c r="B1814">
        <v>1812</v>
      </c>
      <c r="C1814">
        <v>30</v>
      </c>
      <c r="D1814" s="2">
        <v>28.93869948387146</v>
      </c>
      <c r="E1814" s="2" t="s">
        <v>10</v>
      </c>
      <c r="F1814" s="2" t="s">
        <v>39</v>
      </c>
      <c r="G1814" s="2">
        <v>6.9</v>
      </c>
    </row>
    <row r="1815" spans="1:7" x14ac:dyDescent="0.25">
      <c r="A1815" t="s">
        <v>3</v>
      </c>
      <c r="B1815">
        <v>1813</v>
      </c>
      <c r="C1815">
        <v>100</v>
      </c>
      <c r="D1815" s="3">
        <v>28.021007061004639</v>
      </c>
      <c r="E1815" s="3" t="s">
        <v>10</v>
      </c>
      <c r="F1815" s="3" t="s">
        <v>39</v>
      </c>
      <c r="G1815" s="3">
        <v>6.9</v>
      </c>
    </row>
    <row r="1816" spans="1:7" x14ac:dyDescent="0.25">
      <c r="A1816" t="s">
        <v>3</v>
      </c>
      <c r="B1816">
        <v>1814</v>
      </c>
      <c r="C1816">
        <v>100</v>
      </c>
      <c r="D1816" s="2">
        <v>32.114486694335938</v>
      </c>
      <c r="E1816" s="2" t="s">
        <v>10</v>
      </c>
      <c r="F1816" s="2" t="s">
        <v>39</v>
      </c>
      <c r="G1816" s="2">
        <v>6.9</v>
      </c>
    </row>
    <row r="1817" spans="1:7" x14ac:dyDescent="0.25">
      <c r="A1817" t="s">
        <v>3</v>
      </c>
      <c r="B1817">
        <v>1815</v>
      </c>
      <c r="C1817">
        <v>100</v>
      </c>
      <c r="D1817" s="3">
        <v>36.39087963104248</v>
      </c>
      <c r="E1817" s="3" t="s">
        <v>10</v>
      </c>
      <c r="F1817" s="3" t="s">
        <v>39</v>
      </c>
      <c r="G1817" s="3">
        <v>6.9</v>
      </c>
    </row>
    <row r="1818" spans="1:7" x14ac:dyDescent="0.25">
      <c r="A1818" t="s">
        <v>3</v>
      </c>
      <c r="B1818">
        <v>1816</v>
      </c>
      <c r="C1818">
        <v>100</v>
      </c>
      <c r="D1818" s="2">
        <v>33.316320180892944</v>
      </c>
      <c r="E1818" s="2" t="s">
        <v>10</v>
      </c>
      <c r="F1818" s="2" t="s">
        <v>47</v>
      </c>
      <c r="G1818" s="2">
        <v>7.5</v>
      </c>
    </row>
    <row r="1819" spans="1:7" x14ac:dyDescent="0.25">
      <c r="A1819" t="s">
        <v>3</v>
      </c>
      <c r="B1819">
        <v>1817</v>
      </c>
      <c r="C1819">
        <v>100</v>
      </c>
      <c r="D1819" s="3">
        <v>24.442762136459351</v>
      </c>
      <c r="E1819" s="3" t="s">
        <v>10</v>
      </c>
      <c r="F1819" s="3" t="s">
        <v>56</v>
      </c>
      <c r="G1819" s="3">
        <v>7.2</v>
      </c>
    </row>
    <row r="1820" spans="1:7" x14ac:dyDescent="0.25">
      <c r="A1820" t="s">
        <v>3</v>
      </c>
      <c r="B1820">
        <v>1818</v>
      </c>
      <c r="C1820">
        <v>75</v>
      </c>
      <c r="D1820" s="2">
        <v>28.770174741744995</v>
      </c>
      <c r="E1820" s="2" t="s">
        <v>10</v>
      </c>
      <c r="F1820" s="2" t="s">
        <v>56</v>
      </c>
      <c r="G1820" s="2">
        <v>7.2</v>
      </c>
    </row>
    <row r="1821" spans="1:7" x14ac:dyDescent="0.25">
      <c r="A1821" t="s">
        <v>3</v>
      </c>
      <c r="B1821">
        <v>1819</v>
      </c>
      <c r="C1821">
        <v>11</v>
      </c>
      <c r="D1821" s="3">
        <v>19.977325201034546</v>
      </c>
      <c r="E1821" s="3" t="s">
        <v>10</v>
      </c>
      <c r="F1821" s="3" t="s">
        <v>41</v>
      </c>
      <c r="G1821" s="3">
        <v>4.9000000000000004</v>
      </c>
    </row>
    <row r="1822" spans="1:7" x14ac:dyDescent="0.25">
      <c r="A1822" t="s">
        <v>3</v>
      </c>
      <c r="B1822">
        <v>1820</v>
      </c>
      <c r="C1822">
        <v>60</v>
      </c>
      <c r="D1822" s="2">
        <v>23.679032564163208</v>
      </c>
      <c r="E1822" s="2" t="s">
        <v>10</v>
      </c>
      <c r="F1822" s="2" t="s">
        <v>41</v>
      </c>
      <c r="G1822" s="2">
        <v>4.9000000000000004</v>
      </c>
    </row>
    <row r="1823" spans="1:7" x14ac:dyDescent="0.25">
      <c r="A1823" t="s">
        <v>3</v>
      </c>
      <c r="B1823">
        <v>1821</v>
      </c>
      <c r="C1823">
        <v>0</v>
      </c>
      <c r="D1823" s="3">
        <v>30.096583604812622</v>
      </c>
      <c r="E1823" s="3" t="s">
        <v>10</v>
      </c>
      <c r="F1823" s="3" t="s">
        <v>41</v>
      </c>
      <c r="G1823" s="3">
        <v>4.9000000000000004</v>
      </c>
    </row>
    <row r="1824" spans="1:7" x14ac:dyDescent="0.25">
      <c r="A1824" t="s">
        <v>3</v>
      </c>
      <c r="B1824">
        <v>1822</v>
      </c>
      <c r="C1824">
        <v>100</v>
      </c>
      <c r="D1824" s="2">
        <v>27.199965238571167</v>
      </c>
      <c r="E1824" s="2" t="s">
        <v>10</v>
      </c>
      <c r="F1824" s="2" t="s">
        <v>41</v>
      </c>
      <c r="G1824" s="2">
        <v>4.9000000000000004</v>
      </c>
    </row>
    <row r="1825" spans="1:7" x14ac:dyDescent="0.25">
      <c r="A1825" t="s">
        <v>3</v>
      </c>
      <c r="B1825">
        <v>1823</v>
      </c>
      <c r="C1825">
        <v>100</v>
      </c>
      <c r="D1825" s="3">
        <v>29.847191095352173</v>
      </c>
      <c r="E1825" s="3" t="s">
        <v>10</v>
      </c>
      <c r="F1825" s="3" t="s">
        <v>41</v>
      </c>
      <c r="G1825" s="3">
        <v>4.9000000000000004</v>
      </c>
    </row>
    <row r="1826" spans="1:7" x14ac:dyDescent="0.25">
      <c r="A1826" t="s">
        <v>3</v>
      </c>
      <c r="B1826">
        <v>1824</v>
      </c>
      <c r="C1826">
        <v>100</v>
      </c>
      <c r="D1826" s="2">
        <v>11.829272031784058</v>
      </c>
      <c r="E1826" s="2" t="s">
        <v>10</v>
      </c>
      <c r="F1826" s="2" t="s">
        <v>50</v>
      </c>
      <c r="G1826" s="2">
        <v>4.5999999999999996</v>
      </c>
    </row>
    <row r="1827" spans="1:7" x14ac:dyDescent="0.25">
      <c r="A1827" t="s">
        <v>3</v>
      </c>
      <c r="B1827">
        <v>1825</v>
      </c>
      <c r="C1827">
        <v>100</v>
      </c>
      <c r="D1827" s="3">
        <v>24.122267007827759</v>
      </c>
      <c r="E1827" s="3" t="s">
        <v>10</v>
      </c>
      <c r="F1827" s="3" t="s">
        <v>41</v>
      </c>
      <c r="G1827" s="3">
        <v>4.5999999999999996</v>
      </c>
    </row>
    <row r="1828" spans="1:7" x14ac:dyDescent="0.25">
      <c r="A1828" t="s">
        <v>3</v>
      </c>
      <c r="B1828">
        <v>1826</v>
      </c>
      <c r="C1828">
        <v>100</v>
      </c>
      <c r="D1828" s="2">
        <v>30.010555028915405</v>
      </c>
      <c r="E1828" s="2" t="s">
        <v>10</v>
      </c>
      <c r="F1828" s="2" t="s">
        <v>41</v>
      </c>
      <c r="G1828" s="2">
        <v>4.5999999999999996</v>
      </c>
    </row>
    <row r="1829" spans="1:7" x14ac:dyDescent="0.25">
      <c r="A1829" t="s">
        <v>3</v>
      </c>
      <c r="B1829">
        <v>1827</v>
      </c>
      <c r="C1829">
        <v>100</v>
      </c>
      <c r="D1829" s="3">
        <v>40.037832498550415</v>
      </c>
      <c r="E1829" s="3" t="s">
        <v>10</v>
      </c>
      <c r="F1829" s="3" t="s">
        <v>41</v>
      </c>
      <c r="G1829" s="3">
        <v>7.1</v>
      </c>
    </row>
    <row r="1830" spans="1:7" x14ac:dyDescent="0.25">
      <c r="A1830" t="s">
        <v>3</v>
      </c>
      <c r="B1830">
        <v>1828</v>
      </c>
      <c r="C1830">
        <v>0</v>
      </c>
      <c r="D1830" s="2">
        <v>27.363731622695923</v>
      </c>
      <c r="E1830" s="2" t="s">
        <v>10</v>
      </c>
      <c r="F1830" s="2" t="s">
        <v>41</v>
      </c>
      <c r="G1830" s="2">
        <v>7.1</v>
      </c>
    </row>
    <row r="1831" spans="1:7" x14ac:dyDescent="0.25">
      <c r="A1831" t="s">
        <v>3</v>
      </c>
      <c r="B1831">
        <v>1829</v>
      </c>
      <c r="C1831">
        <v>30</v>
      </c>
      <c r="D1831" s="3">
        <v>39.810569286346436</v>
      </c>
      <c r="E1831" s="3" t="s">
        <v>10</v>
      </c>
      <c r="F1831" s="3" t="s">
        <v>41</v>
      </c>
      <c r="G1831" s="3">
        <v>7.1</v>
      </c>
    </row>
    <row r="1832" spans="1:7" x14ac:dyDescent="0.25">
      <c r="A1832" t="s">
        <v>3</v>
      </c>
      <c r="B1832">
        <v>1830</v>
      </c>
      <c r="C1832">
        <v>0</v>
      </c>
      <c r="D1832" s="2">
        <v>27.382091999053955</v>
      </c>
      <c r="E1832" s="2" t="s">
        <v>10</v>
      </c>
      <c r="F1832" s="2" t="s">
        <v>41</v>
      </c>
      <c r="G1832" s="2">
        <v>4.7</v>
      </c>
    </row>
    <row r="1833" spans="1:7" x14ac:dyDescent="0.25">
      <c r="A1833" t="s">
        <v>3</v>
      </c>
      <c r="B1833">
        <v>1831</v>
      </c>
      <c r="C1833">
        <v>100</v>
      </c>
      <c r="D1833" s="3">
        <v>27.462419033050537</v>
      </c>
      <c r="E1833" s="3" t="s">
        <v>10</v>
      </c>
      <c r="F1833" s="3" t="s">
        <v>41</v>
      </c>
      <c r="G1833" s="3">
        <v>7.1</v>
      </c>
    </row>
    <row r="1834" spans="1:7" x14ac:dyDescent="0.25">
      <c r="A1834" t="s">
        <v>3</v>
      </c>
      <c r="B1834">
        <v>1832</v>
      </c>
      <c r="C1834">
        <v>0</v>
      </c>
      <c r="D1834" s="2">
        <v>39.884045362472534</v>
      </c>
      <c r="E1834" s="2" t="s">
        <v>10</v>
      </c>
      <c r="F1834" s="2" t="s">
        <v>47</v>
      </c>
      <c r="G1834" s="2">
        <v>6.5</v>
      </c>
    </row>
    <row r="1835" spans="1:7" x14ac:dyDescent="0.25">
      <c r="A1835" t="s">
        <v>3</v>
      </c>
      <c r="B1835">
        <v>1833</v>
      </c>
      <c r="C1835">
        <v>100</v>
      </c>
      <c r="D1835" s="3">
        <v>29.633868455886841</v>
      </c>
      <c r="E1835" s="3" t="s">
        <v>10</v>
      </c>
      <c r="F1835" s="3" t="s">
        <v>47</v>
      </c>
      <c r="G1835" s="3">
        <v>6.5</v>
      </c>
    </row>
    <row r="1836" spans="1:7" x14ac:dyDescent="0.25">
      <c r="A1836" t="s">
        <v>3</v>
      </c>
      <c r="B1836">
        <v>1834</v>
      </c>
      <c r="C1836">
        <v>100</v>
      </c>
      <c r="D1836" s="2">
        <v>28.682298898696899</v>
      </c>
      <c r="E1836" s="2" t="s">
        <v>10</v>
      </c>
      <c r="F1836" s="2" t="s">
        <v>47</v>
      </c>
      <c r="G1836" s="2">
        <v>6.5</v>
      </c>
    </row>
    <row r="1837" spans="1:7" x14ac:dyDescent="0.25">
      <c r="A1837" t="s">
        <v>3</v>
      </c>
      <c r="B1837">
        <v>1835</v>
      </c>
      <c r="C1837">
        <v>100</v>
      </c>
      <c r="D1837" s="3">
        <v>27.366507768630981</v>
      </c>
      <c r="E1837" s="3" t="s">
        <v>10</v>
      </c>
      <c r="F1837" s="3" t="s">
        <v>47</v>
      </c>
      <c r="G1837" s="3">
        <v>6.5</v>
      </c>
    </row>
    <row r="1838" spans="1:7" x14ac:dyDescent="0.25">
      <c r="A1838" t="s">
        <v>3</v>
      </c>
      <c r="B1838">
        <v>1836</v>
      </c>
      <c r="C1838">
        <v>100</v>
      </c>
      <c r="D1838" s="2">
        <v>38.755742311477661</v>
      </c>
      <c r="E1838" s="2" t="s">
        <v>10</v>
      </c>
      <c r="F1838" s="2" t="s">
        <v>47</v>
      </c>
      <c r="G1838" s="2">
        <v>6.5</v>
      </c>
    </row>
    <row r="1839" spans="1:7" x14ac:dyDescent="0.25">
      <c r="A1839" t="s">
        <v>3</v>
      </c>
      <c r="B1839">
        <v>1837</v>
      </c>
      <c r="C1839">
        <v>0</v>
      </c>
      <c r="D1839" s="3">
        <v>27.763888359069824</v>
      </c>
      <c r="E1839" s="3" t="s">
        <v>10</v>
      </c>
      <c r="F1839" s="3" t="s">
        <v>47</v>
      </c>
      <c r="G1839" s="3">
        <v>6.5</v>
      </c>
    </row>
    <row r="1840" spans="1:7" x14ac:dyDescent="0.25">
      <c r="A1840" t="s">
        <v>3</v>
      </c>
      <c r="B1840">
        <v>1838</v>
      </c>
      <c r="C1840">
        <v>100</v>
      </c>
      <c r="D1840" s="2">
        <v>60.047694683074951</v>
      </c>
      <c r="E1840" s="2" t="s">
        <v>10</v>
      </c>
      <c r="F1840" s="2" t="s">
        <v>47</v>
      </c>
      <c r="G1840" s="2">
        <v>6.5</v>
      </c>
    </row>
    <row r="1841" spans="1:7" x14ac:dyDescent="0.25">
      <c r="A1841" t="s">
        <v>3</v>
      </c>
      <c r="B1841">
        <v>1839</v>
      </c>
      <c r="C1841">
        <v>100</v>
      </c>
      <c r="D1841" s="3">
        <v>26.031874418258667</v>
      </c>
      <c r="E1841" s="3" t="s">
        <v>10</v>
      </c>
      <c r="F1841" s="3" t="s">
        <v>47</v>
      </c>
      <c r="G1841" s="3">
        <v>6.5</v>
      </c>
    </row>
    <row r="1842" spans="1:7" x14ac:dyDescent="0.25">
      <c r="A1842" t="s">
        <v>3</v>
      </c>
      <c r="B1842">
        <v>1840</v>
      </c>
      <c r="C1842">
        <v>100</v>
      </c>
      <c r="D1842" s="2">
        <v>25.270691633224487</v>
      </c>
      <c r="E1842" s="2" t="s">
        <v>10</v>
      </c>
      <c r="F1842" s="2" t="s">
        <v>47</v>
      </c>
      <c r="G1842" s="2">
        <v>6.5</v>
      </c>
    </row>
    <row r="1843" spans="1:7" x14ac:dyDescent="0.25">
      <c r="A1843" t="s">
        <v>3</v>
      </c>
      <c r="B1843">
        <v>1841</v>
      </c>
      <c r="C1843">
        <v>75</v>
      </c>
      <c r="D1843" s="3">
        <v>31.338365793228149</v>
      </c>
      <c r="E1843" s="3" t="s">
        <v>10</v>
      </c>
      <c r="F1843" s="3" t="s">
        <v>47</v>
      </c>
      <c r="G1843" s="3">
        <v>6.5</v>
      </c>
    </row>
    <row r="1844" spans="1:7" x14ac:dyDescent="0.25">
      <c r="A1844" t="s">
        <v>3</v>
      </c>
      <c r="B1844">
        <v>1842</v>
      </c>
      <c r="C1844">
        <v>70</v>
      </c>
      <c r="D1844" s="2">
        <v>24.35461950302124</v>
      </c>
      <c r="E1844" s="2" t="s">
        <v>10</v>
      </c>
      <c r="F1844" s="2" t="s">
        <v>47</v>
      </c>
      <c r="G1844" s="2">
        <v>6.5</v>
      </c>
    </row>
    <row r="1845" spans="1:7" x14ac:dyDescent="0.25">
      <c r="A1845" t="s">
        <v>3</v>
      </c>
      <c r="B1845">
        <v>1843</v>
      </c>
      <c r="C1845">
        <v>100</v>
      </c>
      <c r="D1845" s="3">
        <v>32.604089498519897</v>
      </c>
      <c r="E1845" s="3" t="s">
        <v>10</v>
      </c>
      <c r="F1845" s="3" t="s">
        <v>47</v>
      </c>
      <c r="G1845" s="3">
        <v>6.5</v>
      </c>
    </row>
    <row r="1846" spans="1:7" x14ac:dyDescent="0.25">
      <c r="A1846" t="s">
        <v>3</v>
      </c>
      <c r="B1846">
        <v>1844</v>
      </c>
      <c r="C1846">
        <v>100</v>
      </c>
      <c r="D1846" s="2">
        <v>39.454360723495483</v>
      </c>
      <c r="E1846" s="2" t="s">
        <v>10</v>
      </c>
      <c r="F1846" s="2" t="s">
        <v>47</v>
      </c>
      <c r="G1846" s="2">
        <v>6.5</v>
      </c>
    </row>
    <row r="1847" spans="1:7" x14ac:dyDescent="0.25">
      <c r="A1847" t="s">
        <v>3</v>
      </c>
      <c r="B1847">
        <v>1845</v>
      </c>
      <c r="C1847">
        <v>70</v>
      </c>
      <c r="D1847" s="3">
        <v>32.977144002914429</v>
      </c>
      <c r="E1847" s="3" t="s">
        <v>10</v>
      </c>
      <c r="F1847" s="3" t="s">
        <v>47</v>
      </c>
      <c r="G1847" s="3">
        <v>6.5</v>
      </c>
    </row>
    <row r="1848" spans="1:7" x14ac:dyDescent="0.25">
      <c r="A1848" t="s">
        <v>3</v>
      </c>
      <c r="B1848">
        <v>1846</v>
      </c>
      <c r="C1848">
        <v>60</v>
      </c>
      <c r="D1848" s="2">
        <v>27.15094780921936</v>
      </c>
      <c r="E1848" s="2" t="s">
        <v>10</v>
      </c>
      <c r="F1848" s="2" t="s">
        <v>47</v>
      </c>
      <c r="G1848" s="2">
        <v>6.5</v>
      </c>
    </row>
    <row r="1849" spans="1:7" x14ac:dyDescent="0.25">
      <c r="A1849" t="s">
        <v>3</v>
      </c>
      <c r="B1849">
        <v>1847</v>
      </c>
      <c r="C1849">
        <v>100</v>
      </c>
      <c r="D1849" s="3">
        <v>23.343995809555054</v>
      </c>
      <c r="E1849" s="3" t="s">
        <v>10</v>
      </c>
      <c r="F1849" s="3" t="s">
        <v>47</v>
      </c>
      <c r="G1849" s="3">
        <v>6.5</v>
      </c>
    </row>
    <row r="1850" spans="1:7" x14ac:dyDescent="0.25">
      <c r="A1850" t="s">
        <v>3</v>
      </c>
      <c r="B1850">
        <v>1848</v>
      </c>
      <c r="C1850">
        <v>100</v>
      </c>
      <c r="D1850" s="2">
        <v>36.825811147689819</v>
      </c>
      <c r="E1850" s="2" t="s">
        <v>10</v>
      </c>
      <c r="F1850" s="2" t="s">
        <v>47</v>
      </c>
      <c r="G1850" s="2">
        <v>6.5</v>
      </c>
    </row>
    <row r="1851" spans="1:7" x14ac:dyDescent="0.25">
      <c r="A1851" t="s">
        <v>3</v>
      </c>
      <c r="B1851">
        <v>1849</v>
      </c>
      <c r="C1851">
        <v>100</v>
      </c>
      <c r="D1851" s="3">
        <v>33.083996057510376</v>
      </c>
      <c r="E1851" s="3" t="s">
        <v>10</v>
      </c>
      <c r="F1851" s="3" t="s">
        <v>47</v>
      </c>
      <c r="G1851" s="3">
        <v>6.5</v>
      </c>
    </row>
    <row r="1852" spans="1:7" x14ac:dyDescent="0.25">
      <c r="A1852" t="s">
        <v>3</v>
      </c>
      <c r="B1852">
        <v>1850</v>
      </c>
      <c r="C1852">
        <v>100</v>
      </c>
      <c r="D1852" s="2">
        <v>22.375001668930054</v>
      </c>
      <c r="E1852" s="2" t="s">
        <v>10</v>
      </c>
      <c r="F1852" s="2" t="s">
        <v>47</v>
      </c>
      <c r="G1852" s="2">
        <v>6.5</v>
      </c>
    </row>
    <row r="1853" spans="1:7" x14ac:dyDescent="0.25">
      <c r="A1853" t="s">
        <v>3</v>
      </c>
      <c r="B1853">
        <v>1851</v>
      </c>
      <c r="C1853">
        <v>100</v>
      </c>
      <c r="D1853" s="3">
        <v>23.54201078414917</v>
      </c>
      <c r="E1853" s="3" t="s">
        <v>10</v>
      </c>
      <c r="F1853" s="3" t="s">
        <v>47</v>
      </c>
      <c r="G1853" s="3">
        <v>6.5</v>
      </c>
    </row>
    <row r="1854" spans="1:7" x14ac:dyDescent="0.25">
      <c r="A1854" t="s">
        <v>3</v>
      </c>
      <c r="B1854">
        <v>1852</v>
      </c>
      <c r="C1854">
        <v>0</v>
      </c>
      <c r="D1854" s="2">
        <v>36.186722040176392</v>
      </c>
      <c r="E1854" s="2" t="s">
        <v>10</v>
      </c>
      <c r="F1854" s="2" t="s">
        <v>47</v>
      </c>
      <c r="G1854" s="2">
        <v>6.5</v>
      </c>
    </row>
    <row r="1855" spans="1:7" x14ac:dyDescent="0.25">
      <c r="A1855" t="s">
        <v>3</v>
      </c>
      <c r="B1855">
        <v>1853</v>
      </c>
      <c r="C1855">
        <v>100</v>
      </c>
      <c r="D1855" s="3">
        <v>34.285066604614258</v>
      </c>
      <c r="E1855" s="3" t="s">
        <v>10</v>
      </c>
      <c r="F1855" s="3" t="s">
        <v>47</v>
      </c>
      <c r="G1855" s="3">
        <v>6.5</v>
      </c>
    </row>
    <row r="1856" spans="1:7" x14ac:dyDescent="0.25">
      <c r="A1856" t="s">
        <v>3</v>
      </c>
      <c r="B1856">
        <v>1854</v>
      </c>
      <c r="C1856">
        <v>100</v>
      </c>
      <c r="D1856" s="2">
        <v>33.197457313537598</v>
      </c>
      <c r="E1856" s="2" t="s">
        <v>10</v>
      </c>
      <c r="F1856" s="2" t="s">
        <v>47</v>
      </c>
      <c r="G1856" s="2">
        <v>6.5</v>
      </c>
    </row>
    <row r="1857" spans="1:7" x14ac:dyDescent="0.25">
      <c r="A1857" t="s">
        <v>3</v>
      </c>
      <c r="B1857">
        <v>1855</v>
      </c>
      <c r="C1857">
        <v>100</v>
      </c>
      <c r="D1857" s="3">
        <v>44.396540641784668</v>
      </c>
      <c r="E1857" s="3" t="s">
        <v>10</v>
      </c>
      <c r="F1857" s="3" t="s">
        <v>47</v>
      </c>
      <c r="G1857" s="3">
        <v>6.5</v>
      </c>
    </row>
    <row r="1858" spans="1:7" x14ac:dyDescent="0.25">
      <c r="A1858" t="s">
        <v>3</v>
      </c>
      <c r="B1858">
        <v>1856</v>
      </c>
      <c r="C1858">
        <v>100</v>
      </c>
      <c r="D1858" s="2">
        <v>29.965794563293457</v>
      </c>
      <c r="E1858" s="2" t="s">
        <v>10</v>
      </c>
      <c r="F1858" s="2" t="s">
        <v>54</v>
      </c>
      <c r="G1858" s="2">
        <v>10</v>
      </c>
    </row>
    <row r="1859" spans="1:7" x14ac:dyDescent="0.25">
      <c r="A1859" t="s">
        <v>3</v>
      </c>
      <c r="B1859">
        <v>1857</v>
      </c>
      <c r="C1859">
        <v>100</v>
      </c>
      <c r="D1859" s="3">
        <v>33.220986127853394</v>
      </c>
      <c r="E1859" s="3" t="s">
        <v>10</v>
      </c>
      <c r="F1859" s="3" t="s">
        <v>54</v>
      </c>
      <c r="G1859" s="3">
        <v>10</v>
      </c>
    </row>
    <row r="1860" spans="1:7" x14ac:dyDescent="0.25">
      <c r="A1860" t="s">
        <v>3</v>
      </c>
      <c r="B1860">
        <v>1858</v>
      </c>
      <c r="C1860">
        <v>100</v>
      </c>
      <c r="D1860" s="2">
        <v>37.676069974899292</v>
      </c>
      <c r="E1860" s="2" t="s">
        <v>10</v>
      </c>
      <c r="F1860" s="2" t="s">
        <v>54</v>
      </c>
      <c r="G1860" s="2">
        <v>10</v>
      </c>
    </row>
    <row r="1861" spans="1:7" x14ac:dyDescent="0.25">
      <c r="A1861" t="s">
        <v>3</v>
      </c>
      <c r="B1861">
        <v>1859</v>
      </c>
      <c r="C1861">
        <v>75</v>
      </c>
      <c r="D1861" s="3">
        <v>12.307384967803955</v>
      </c>
      <c r="E1861" s="3" t="s">
        <v>10</v>
      </c>
      <c r="F1861" s="3" t="s">
        <v>46</v>
      </c>
      <c r="G1861" s="3">
        <v>4.3</v>
      </c>
    </row>
    <row r="1862" spans="1:7" x14ac:dyDescent="0.25">
      <c r="A1862" t="s">
        <v>3</v>
      </c>
      <c r="B1862">
        <v>1860</v>
      </c>
      <c r="C1862">
        <v>70</v>
      </c>
      <c r="D1862" s="2">
        <v>20.816033124923706</v>
      </c>
      <c r="E1862" s="2" t="s">
        <v>10</v>
      </c>
      <c r="F1862" s="2" t="s">
        <v>43</v>
      </c>
      <c r="G1862" s="2">
        <v>3.7</v>
      </c>
    </row>
    <row r="1863" spans="1:7" x14ac:dyDescent="0.25">
      <c r="A1863" t="s">
        <v>3</v>
      </c>
      <c r="B1863">
        <v>1861</v>
      </c>
      <c r="C1863">
        <v>100</v>
      </c>
      <c r="D1863" s="3">
        <v>27.222600936889648</v>
      </c>
      <c r="E1863" s="3" t="s">
        <v>10</v>
      </c>
      <c r="F1863" s="3" t="s">
        <v>43</v>
      </c>
      <c r="G1863" s="3">
        <v>5</v>
      </c>
    </row>
    <row r="1864" spans="1:7" x14ac:dyDescent="0.25">
      <c r="A1864" t="s">
        <v>3</v>
      </c>
      <c r="B1864">
        <v>1862</v>
      </c>
      <c r="C1864">
        <v>100</v>
      </c>
      <c r="D1864" s="2">
        <v>29.182513952255249</v>
      </c>
      <c r="E1864" s="2" t="s">
        <v>10</v>
      </c>
      <c r="F1864" s="2" t="s">
        <v>43</v>
      </c>
      <c r="G1864" s="2">
        <v>5</v>
      </c>
    </row>
    <row r="1865" spans="1:7" x14ac:dyDescent="0.25">
      <c r="A1865" t="s">
        <v>3</v>
      </c>
      <c r="B1865">
        <v>1863</v>
      </c>
      <c r="C1865">
        <v>100</v>
      </c>
      <c r="D1865" s="3">
        <v>21.224008321762085</v>
      </c>
      <c r="E1865" s="3" t="s">
        <v>10</v>
      </c>
      <c r="F1865" s="3" t="s">
        <v>43</v>
      </c>
      <c r="G1865" s="3">
        <v>5</v>
      </c>
    </row>
    <row r="1866" spans="1:7" x14ac:dyDescent="0.25">
      <c r="A1866" t="s">
        <v>3</v>
      </c>
      <c r="B1866">
        <v>1864</v>
      </c>
      <c r="C1866">
        <v>0</v>
      </c>
      <c r="D1866" s="2">
        <v>28.505379915237427</v>
      </c>
      <c r="E1866" s="2" t="s">
        <v>10</v>
      </c>
      <c r="F1866" s="2" t="s">
        <v>43</v>
      </c>
      <c r="G1866" s="2">
        <v>5</v>
      </c>
    </row>
    <row r="1867" spans="1:7" x14ac:dyDescent="0.25">
      <c r="A1867" t="s">
        <v>3</v>
      </c>
      <c r="B1867">
        <v>1865</v>
      </c>
      <c r="C1867">
        <v>100</v>
      </c>
      <c r="D1867" s="3">
        <v>33.549882650375366</v>
      </c>
      <c r="E1867" s="3" t="s">
        <v>10</v>
      </c>
      <c r="F1867" s="3" t="s">
        <v>43</v>
      </c>
      <c r="G1867" s="3">
        <v>5</v>
      </c>
    </row>
    <row r="1868" spans="1:7" x14ac:dyDescent="0.25">
      <c r="A1868" t="s">
        <v>3</v>
      </c>
      <c r="B1868">
        <v>1866</v>
      </c>
      <c r="C1868">
        <v>75</v>
      </c>
      <c r="D1868" s="2">
        <v>42.843258857727051</v>
      </c>
      <c r="E1868" s="2" t="s">
        <v>10</v>
      </c>
      <c r="F1868" s="2" t="s">
        <v>43</v>
      </c>
      <c r="G1868" s="2">
        <v>5</v>
      </c>
    </row>
    <row r="1869" spans="1:7" x14ac:dyDescent="0.25">
      <c r="A1869" t="s">
        <v>3</v>
      </c>
      <c r="B1869">
        <v>1867</v>
      </c>
      <c r="C1869">
        <v>100</v>
      </c>
      <c r="D1869" s="3">
        <v>31.698199033737183</v>
      </c>
      <c r="E1869" s="3" t="s">
        <v>10</v>
      </c>
      <c r="F1869" s="3" t="s">
        <v>43</v>
      </c>
      <c r="G1869" s="3">
        <v>5</v>
      </c>
    </row>
    <row r="1870" spans="1:7" x14ac:dyDescent="0.25">
      <c r="A1870" t="s">
        <v>3</v>
      </c>
      <c r="B1870">
        <v>1868</v>
      </c>
      <c r="C1870">
        <v>100</v>
      </c>
      <c r="D1870" s="2">
        <v>31.579814195632935</v>
      </c>
      <c r="E1870" s="2" t="s">
        <v>10</v>
      </c>
      <c r="F1870" s="2" t="s">
        <v>41</v>
      </c>
      <c r="G1870" s="2">
        <v>4.4000000000000004</v>
      </c>
    </row>
    <row r="1871" spans="1:7" x14ac:dyDescent="0.25">
      <c r="A1871" t="s">
        <v>3</v>
      </c>
      <c r="B1871">
        <v>1869</v>
      </c>
      <c r="C1871">
        <v>60</v>
      </c>
      <c r="D1871" s="3">
        <v>33.011462688446045</v>
      </c>
      <c r="E1871" s="3" t="s">
        <v>10</v>
      </c>
      <c r="F1871" s="3" t="s">
        <v>43</v>
      </c>
      <c r="G1871" s="3">
        <v>1.7</v>
      </c>
    </row>
    <row r="1872" spans="1:7" x14ac:dyDescent="0.25">
      <c r="A1872" t="s">
        <v>3</v>
      </c>
      <c r="B1872">
        <v>1870</v>
      </c>
      <c r="C1872">
        <v>100</v>
      </c>
      <c r="D1872" s="2">
        <v>30.995410442352295</v>
      </c>
      <c r="E1872" s="2" t="s">
        <v>10</v>
      </c>
      <c r="F1872" s="2" t="s">
        <v>43</v>
      </c>
      <c r="G1872" s="2">
        <v>4.9000000000000004</v>
      </c>
    </row>
    <row r="1873" spans="1:7" x14ac:dyDescent="0.25">
      <c r="A1873" t="s">
        <v>3</v>
      </c>
      <c r="B1873">
        <v>1871</v>
      </c>
      <c r="C1873">
        <v>100</v>
      </c>
      <c r="D1873" s="3">
        <v>35.862919569015503</v>
      </c>
      <c r="E1873" s="3" t="s">
        <v>10</v>
      </c>
      <c r="F1873" s="3" t="s">
        <v>56</v>
      </c>
      <c r="G1873" s="3">
        <v>7.2</v>
      </c>
    </row>
    <row r="1874" spans="1:7" x14ac:dyDescent="0.25">
      <c r="A1874" t="s">
        <v>3</v>
      </c>
      <c r="B1874">
        <v>1872</v>
      </c>
      <c r="C1874">
        <v>100</v>
      </c>
      <c r="D1874" s="2">
        <v>23.677999496459961</v>
      </c>
      <c r="E1874" s="2" t="s">
        <v>10</v>
      </c>
      <c r="F1874" s="2" t="s">
        <v>61</v>
      </c>
      <c r="G1874" s="2">
        <v>2.6</v>
      </c>
    </row>
    <row r="1875" spans="1:7" x14ac:dyDescent="0.25">
      <c r="A1875" t="s">
        <v>3</v>
      </c>
      <c r="B1875">
        <v>1873</v>
      </c>
      <c r="C1875">
        <v>100</v>
      </c>
      <c r="D1875" s="3">
        <v>32.104072093963623</v>
      </c>
      <c r="E1875" s="3" t="s">
        <v>10</v>
      </c>
      <c r="F1875" s="3" t="s">
        <v>43</v>
      </c>
      <c r="G1875" s="3">
        <v>1.9</v>
      </c>
    </row>
    <row r="1876" spans="1:7" x14ac:dyDescent="0.25">
      <c r="A1876" t="s">
        <v>3</v>
      </c>
      <c r="B1876">
        <v>1874</v>
      </c>
      <c r="C1876">
        <v>1</v>
      </c>
      <c r="D1876" s="2">
        <v>33.754372358322144</v>
      </c>
      <c r="E1876" s="2" t="s">
        <v>10</v>
      </c>
      <c r="F1876" s="2" t="s">
        <v>43</v>
      </c>
      <c r="G1876" s="2">
        <v>2.1</v>
      </c>
    </row>
    <row r="1877" spans="1:7" x14ac:dyDescent="0.25">
      <c r="A1877" t="s">
        <v>3</v>
      </c>
      <c r="B1877">
        <v>1875</v>
      </c>
      <c r="C1877">
        <v>100</v>
      </c>
      <c r="D1877" s="3">
        <v>30.176724672317505</v>
      </c>
      <c r="E1877" s="3" t="s">
        <v>10</v>
      </c>
      <c r="F1877" s="3" t="s">
        <v>43</v>
      </c>
      <c r="G1877" s="3">
        <v>1.7</v>
      </c>
    </row>
    <row r="1878" spans="1:7" x14ac:dyDescent="0.25">
      <c r="A1878" t="s">
        <v>3</v>
      </c>
      <c r="B1878">
        <v>1876</v>
      </c>
      <c r="C1878">
        <v>0</v>
      </c>
      <c r="D1878" s="2">
        <v>15.746452331542969</v>
      </c>
      <c r="E1878" s="2" t="s">
        <v>10</v>
      </c>
      <c r="F1878" s="2" t="s">
        <v>46</v>
      </c>
      <c r="G1878" s="2">
        <v>6.8</v>
      </c>
    </row>
    <row r="1879" spans="1:7" x14ac:dyDescent="0.25">
      <c r="A1879" t="s">
        <v>3</v>
      </c>
      <c r="B1879">
        <v>1877</v>
      </c>
      <c r="C1879">
        <v>100</v>
      </c>
      <c r="D1879" s="3">
        <v>35.84249472618103</v>
      </c>
      <c r="E1879" s="3" t="s">
        <v>10</v>
      </c>
      <c r="F1879" s="3" t="s">
        <v>42</v>
      </c>
      <c r="G1879" s="3">
        <v>10</v>
      </c>
    </row>
    <row r="1880" spans="1:7" x14ac:dyDescent="0.25">
      <c r="A1880" t="s">
        <v>3</v>
      </c>
      <c r="B1880">
        <v>1878</v>
      </c>
      <c r="C1880">
        <v>70</v>
      </c>
      <c r="D1880" s="2">
        <v>33.615122556686401</v>
      </c>
      <c r="E1880" s="2" t="s">
        <v>10</v>
      </c>
      <c r="F1880" s="2" t="s">
        <v>46</v>
      </c>
      <c r="G1880" s="2">
        <v>5</v>
      </c>
    </row>
    <row r="1881" spans="1:7" x14ac:dyDescent="0.25">
      <c r="A1881" t="s">
        <v>3</v>
      </c>
      <c r="B1881">
        <v>1879</v>
      </c>
      <c r="C1881">
        <v>100</v>
      </c>
      <c r="D1881" s="3">
        <v>31.893183946609497</v>
      </c>
      <c r="E1881" s="3" t="s">
        <v>10</v>
      </c>
      <c r="F1881" s="3" t="s">
        <v>41</v>
      </c>
      <c r="G1881" s="3">
        <v>5</v>
      </c>
    </row>
    <row r="1882" spans="1:7" x14ac:dyDescent="0.25">
      <c r="A1882" t="s">
        <v>3</v>
      </c>
      <c r="B1882">
        <v>1880</v>
      </c>
      <c r="C1882">
        <v>100</v>
      </c>
      <c r="D1882" s="2">
        <v>22.124390840530396</v>
      </c>
      <c r="E1882" s="2" t="s">
        <v>10</v>
      </c>
      <c r="F1882" s="2" t="s">
        <v>46</v>
      </c>
      <c r="G1882" s="2">
        <v>4.3</v>
      </c>
    </row>
    <row r="1883" spans="1:7" x14ac:dyDescent="0.25">
      <c r="A1883" t="s">
        <v>3</v>
      </c>
      <c r="B1883">
        <v>1881</v>
      </c>
      <c r="C1883">
        <v>100</v>
      </c>
      <c r="D1883" s="3">
        <v>30.183006763458252</v>
      </c>
      <c r="E1883" s="3" t="s">
        <v>10</v>
      </c>
      <c r="F1883" s="3" t="s">
        <v>46</v>
      </c>
      <c r="G1883" s="3">
        <v>4.3</v>
      </c>
    </row>
    <row r="1884" spans="1:7" x14ac:dyDescent="0.25">
      <c r="A1884" t="s">
        <v>3</v>
      </c>
      <c r="B1884">
        <v>1882</v>
      </c>
      <c r="C1884">
        <v>100</v>
      </c>
      <c r="D1884" s="2">
        <v>30.278461694717407</v>
      </c>
      <c r="E1884" s="2" t="s">
        <v>10</v>
      </c>
      <c r="F1884" s="2" t="s">
        <v>46</v>
      </c>
      <c r="G1884" s="2">
        <v>4.3</v>
      </c>
    </row>
    <row r="1885" spans="1:7" x14ac:dyDescent="0.25">
      <c r="A1885" t="s">
        <v>3</v>
      </c>
      <c r="B1885">
        <v>1883</v>
      </c>
      <c r="C1885">
        <v>100</v>
      </c>
      <c r="D1885" s="3">
        <v>32.883241653442383</v>
      </c>
      <c r="E1885" s="3" t="s">
        <v>10</v>
      </c>
      <c r="F1885" s="3" t="s">
        <v>46</v>
      </c>
      <c r="G1885" s="3">
        <v>4.3</v>
      </c>
    </row>
    <row r="1886" spans="1:7" x14ac:dyDescent="0.25">
      <c r="A1886" t="s">
        <v>3</v>
      </c>
      <c r="B1886">
        <v>1884</v>
      </c>
      <c r="C1886">
        <v>0</v>
      </c>
      <c r="D1886" s="2">
        <v>29.555678367614746</v>
      </c>
      <c r="E1886" s="2" t="s">
        <v>10</v>
      </c>
      <c r="F1886" s="2" t="s">
        <v>43</v>
      </c>
      <c r="G1886" s="2">
        <v>2.1</v>
      </c>
    </row>
    <row r="1887" spans="1:7" x14ac:dyDescent="0.25">
      <c r="A1887" t="s">
        <v>3</v>
      </c>
      <c r="B1887">
        <v>1885</v>
      </c>
      <c r="C1887">
        <v>100</v>
      </c>
      <c r="D1887" s="3">
        <v>29.986385583877563</v>
      </c>
      <c r="E1887" s="3" t="s">
        <v>10</v>
      </c>
      <c r="F1887" s="3" t="s">
        <v>49</v>
      </c>
      <c r="G1887" s="3">
        <v>6.9</v>
      </c>
    </row>
    <row r="1888" spans="1:7" x14ac:dyDescent="0.25">
      <c r="A1888" t="s">
        <v>3</v>
      </c>
      <c r="B1888">
        <v>1886</v>
      </c>
      <c r="C1888">
        <v>0</v>
      </c>
      <c r="D1888" s="2">
        <v>30.217175960540771</v>
      </c>
      <c r="E1888" s="2" t="s">
        <v>10</v>
      </c>
      <c r="F1888" s="2" t="s">
        <v>49</v>
      </c>
      <c r="G1888" s="2">
        <v>6.9</v>
      </c>
    </row>
    <row r="1889" spans="1:7" x14ac:dyDescent="0.25">
      <c r="A1889" t="s">
        <v>3</v>
      </c>
      <c r="B1889">
        <v>1887</v>
      </c>
      <c r="C1889">
        <v>100</v>
      </c>
      <c r="D1889" s="3">
        <v>22.256235122680664</v>
      </c>
      <c r="E1889" s="3" t="s">
        <v>10</v>
      </c>
      <c r="F1889" s="3" t="s">
        <v>49</v>
      </c>
      <c r="G1889" s="3">
        <v>6.9</v>
      </c>
    </row>
    <row r="1890" spans="1:7" x14ac:dyDescent="0.25">
      <c r="A1890" t="s">
        <v>3</v>
      </c>
      <c r="B1890">
        <v>1888</v>
      </c>
      <c r="C1890">
        <v>90</v>
      </c>
      <c r="D1890" s="2">
        <v>16.852689266204834</v>
      </c>
      <c r="E1890" s="2" t="s">
        <v>10</v>
      </c>
      <c r="F1890" s="2" t="s">
        <v>49</v>
      </c>
      <c r="G1890" s="2">
        <v>6.9</v>
      </c>
    </row>
    <row r="1891" spans="1:7" x14ac:dyDescent="0.25">
      <c r="A1891" t="s">
        <v>3</v>
      </c>
      <c r="B1891">
        <v>1889</v>
      </c>
      <c r="C1891">
        <v>100</v>
      </c>
      <c r="D1891" s="3">
        <v>18.559061050415039</v>
      </c>
      <c r="E1891" s="3" t="s">
        <v>10</v>
      </c>
      <c r="F1891" s="3" t="s">
        <v>49</v>
      </c>
      <c r="G1891" s="3">
        <v>6.9</v>
      </c>
    </row>
    <row r="1892" spans="1:7" x14ac:dyDescent="0.25">
      <c r="A1892" t="s">
        <v>3</v>
      </c>
      <c r="B1892">
        <v>1890</v>
      </c>
      <c r="C1892">
        <v>100</v>
      </c>
      <c r="D1892" s="2">
        <v>27.61611795425415</v>
      </c>
      <c r="E1892" s="2" t="s">
        <v>10</v>
      </c>
      <c r="F1892" s="2" t="s">
        <v>41</v>
      </c>
      <c r="G1892" s="2">
        <v>4.9000000000000004</v>
      </c>
    </row>
    <row r="1893" spans="1:7" x14ac:dyDescent="0.25">
      <c r="A1893" t="s">
        <v>3</v>
      </c>
      <c r="B1893">
        <v>1891</v>
      </c>
      <c r="C1893">
        <v>100</v>
      </c>
      <c r="D1893" s="3">
        <v>19.920237064361572</v>
      </c>
      <c r="E1893" s="3" t="s">
        <v>10</v>
      </c>
      <c r="F1893" s="3" t="s">
        <v>41</v>
      </c>
      <c r="G1893" s="3">
        <v>4.9000000000000004</v>
      </c>
    </row>
    <row r="1894" spans="1:7" x14ac:dyDescent="0.25">
      <c r="A1894" t="s">
        <v>3</v>
      </c>
      <c r="B1894">
        <v>1892</v>
      </c>
      <c r="C1894">
        <v>30</v>
      </c>
      <c r="D1894" s="2">
        <v>31.266398906707764</v>
      </c>
      <c r="E1894" s="2" t="s">
        <v>10</v>
      </c>
      <c r="F1894" s="2" t="s">
        <v>58</v>
      </c>
      <c r="G1894" s="2">
        <v>6.9</v>
      </c>
    </row>
    <row r="1895" spans="1:7" x14ac:dyDescent="0.25">
      <c r="A1895" t="s">
        <v>3</v>
      </c>
      <c r="B1895">
        <v>1893</v>
      </c>
      <c r="C1895">
        <v>100</v>
      </c>
      <c r="D1895" s="3">
        <v>26.484722375869751</v>
      </c>
      <c r="E1895" s="3" t="s">
        <v>10</v>
      </c>
      <c r="F1895" s="3" t="s">
        <v>56</v>
      </c>
      <c r="G1895" s="3">
        <v>7.2</v>
      </c>
    </row>
    <row r="1896" spans="1:7" x14ac:dyDescent="0.25">
      <c r="A1896" t="s">
        <v>3</v>
      </c>
      <c r="B1896">
        <v>1894</v>
      </c>
      <c r="C1896">
        <v>0</v>
      </c>
      <c r="D1896" s="2">
        <v>27.120130300521851</v>
      </c>
      <c r="E1896" s="2" t="s">
        <v>10</v>
      </c>
      <c r="F1896" s="2" t="s">
        <v>43</v>
      </c>
      <c r="G1896" s="2">
        <v>2.9</v>
      </c>
    </row>
    <row r="1897" spans="1:7" x14ac:dyDescent="0.25">
      <c r="A1897" t="s">
        <v>3</v>
      </c>
      <c r="B1897">
        <v>1895</v>
      </c>
      <c r="C1897">
        <v>0</v>
      </c>
      <c r="D1897" s="3">
        <v>28.735072374343872</v>
      </c>
      <c r="E1897" s="3" t="s">
        <v>10</v>
      </c>
      <c r="F1897" s="3" t="s">
        <v>41</v>
      </c>
      <c r="G1897" s="3">
        <v>7.1</v>
      </c>
    </row>
    <row r="1898" spans="1:7" x14ac:dyDescent="0.25">
      <c r="A1898" t="s">
        <v>3</v>
      </c>
      <c r="B1898">
        <v>1896</v>
      </c>
      <c r="C1898">
        <v>100</v>
      </c>
      <c r="D1898" s="2">
        <v>29.660306930541992</v>
      </c>
      <c r="E1898" s="2" t="s">
        <v>10</v>
      </c>
      <c r="F1898" s="2" t="s">
        <v>58</v>
      </c>
      <c r="G1898" s="2">
        <v>5.5</v>
      </c>
    </row>
    <row r="1899" spans="1:7" x14ac:dyDescent="0.25">
      <c r="A1899" t="s">
        <v>3</v>
      </c>
      <c r="B1899">
        <v>1897</v>
      </c>
      <c r="C1899">
        <v>100</v>
      </c>
      <c r="D1899" s="3">
        <v>28.602569103240967</v>
      </c>
      <c r="E1899" s="3" t="s">
        <v>10</v>
      </c>
      <c r="F1899" s="3" t="s">
        <v>58</v>
      </c>
      <c r="G1899" s="3">
        <v>5.5</v>
      </c>
    </row>
    <row r="1900" spans="1:7" x14ac:dyDescent="0.25">
      <c r="A1900" t="s">
        <v>3</v>
      </c>
      <c r="B1900">
        <v>1898</v>
      </c>
      <c r="C1900">
        <v>1</v>
      </c>
      <c r="D1900" s="2">
        <v>30.22101879119873</v>
      </c>
      <c r="E1900" s="2" t="s">
        <v>10</v>
      </c>
      <c r="F1900" s="2" t="s">
        <v>65</v>
      </c>
      <c r="G1900" s="2">
        <v>6.2</v>
      </c>
    </row>
    <row r="1901" spans="1:7" x14ac:dyDescent="0.25">
      <c r="A1901" t="s">
        <v>3</v>
      </c>
      <c r="B1901">
        <v>1899</v>
      </c>
      <c r="C1901">
        <v>100</v>
      </c>
      <c r="D1901" s="3">
        <v>41.550487041473389</v>
      </c>
      <c r="E1901" s="3" t="s">
        <v>10</v>
      </c>
      <c r="F1901" s="3" t="s">
        <v>39</v>
      </c>
      <c r="G1901" s="3">
        <v>6.5</v>
      </c>
    </row>
    <row r="1902" spans="1:7" x14ac:dyDescent="0.25">
      <c r="A1902" t="s">
        <v>3</v>
      </c>
      <c r="B1902">
        <v>1900</v>
      </c>
      <c r="C1902">
        <v>100</v>
      </c>
      <c r="D1902" s="2">
        <v>30.11356520652771</v>
      </c>
      <c r="E1902" s="2" t="s">
        <v>10</v>
      </c>
      <c r="F1902" s="2" t="s">
        <v>39</v>
      </c>
      <c r="G1902" s="2">
        <v>6.5</v>
      </c>
    </row>
    <row r="1903" spans="1:7" x14ac:dyDescent="0.25">
      <c r="A1903" t="s">
        <v>3</v>
      </c>
      <c r="B1903">
        <v>1901</v>
      </c>
      <c r="C1903">
        <v>100</v>
      </c>
      <c r="D1903" s="3">
        <v>38.435024499893188</v>
      </c>
      <c r="E1903" s="3" t="s">
        <v>10</v>
      </c>
      <c r="F1903" s="3" t="s">
        <v>39</v>
      </c>
      <c r="G1903" s="3">
        <v>6.5</v>
      </c>
    </row>
    <row r="1904" spans="1:7" x14ac:dyDescent="0.25">
      <c r="A1904" t="s">
        <v>3</v>
      </c>
      <c r="B1904">
        <v>1902</v>
      </c>
      <c r="C1904">
        <v>100</v>
      </c>
      <c r="D1904" s="2">
        <v>38.614454507827759</v>
      </c>
      <c r="E1904" s="2" t="s">
        <v>10</v>
      </c>
      <c r="F1904" s="2" t="s">
        <v>42</v>
      </c>
      <c r="G1904" s="2">
        <v>7.4</v>
      </c>
    </row>
    <row r="1905" spans="1:7" x14ac:dyDescent="0.25">
      <c r="A1905" t="s">
        <v>3</v>
      </c>
      <c r="B1905">
        <v>1903</v>
      </c>
      <c r="C1905">
        <v>100</v>
      </c>
      <c r="D1905" s="3">
        <v>19.256177186965942</v>
      </c>
      <c r="E1905" s="3" t="s">
        <v>10</v>
      </c>
      <c r="F1905" s="3" t="s">
        <v>56</v>
      </c>
      <c r="G1905" s="3">
        <v>6.9</v>
      </c>
    </row>
    <row r="1906" spans="1:7" x14ac:dyDescent="0.25">
      <c r="A1906" t="s">
        <v>3</v>
      </c>
      <c r="B1906">
        <v>1904</v>
      </c>
      <c r="C1906">
        <v>100</v>
      </c>
      <c r="D1906" s="2">
        <v>31.766412258148193</v>
      </c>
      <c r="E1906" s="2" t="s">
        <v>10</v>
      </c>
      <c r="F1906" s="2" t="s">
        <v>41</v>
      </c>
      <c r="G1906" s="2">
        <v>4.5999999999999996</v>
      </c>
    </row>
    <row r="1907" spans="1:7" x14ac:dyDescent="0.25">
      <c r="A1907" t="s">
        <v>3</v>
      </c>
      <c r="B1907">
        <v>1905</v>
      </c>
      <c r="C1907">
        <v>100</v>
      </c>
      <c r="D1907" s="3">
        <v>26.87855863571167</v>
      </c>
      <c r="E1907" s="3" t="s">
        <v>10</v>
      </c>
      <c r="F1907" s="3" t="s">
        <v>41</v>
      </c>
      <c r="G1907" s="3">
        <v>4.7</v>
      </c>
    </row>
    <row r="1908" spans="1:7" x14ac:dyDescent="0.25">
      <c r="A1908" t="s">
        <v>3</v>
      </c>
      <c r="B1908">
        <v>1906</v>
      </c>
      <c r="C1908">
        <v>100</v>
      </c>
      <c r="D1908" s="2">
        <v>23.796321153640747</v>
      </c>
      <c r="E1908" s="2" t="s">
        <v>10</v>
      </c>
      <c r="F1908" s="2" t="s">
        <v>41</v>
      </c>
      <c r="G1908" s="2">
        <v>5</v>
      </c>
    </row>
    <row r="1909" spans="1:7" x14ac:dyDescent="0.25">
      <c r="A1909" t="s">
        <v>3</v>
      </c>
      <c r="B1909">
        <v>1907</v>
      </c>
      <c r="C1909">
        <v>100</v>
      </c>
      <c r="D1909" s="3">
        <v>21.576028347015381</v>
      </c>
      <c r="E1909" s="3" t="s">
        <v>10</v>
      </c>
      <c r="F1909" s="3" t="s">
        <v>41</v>
      </c>
      <c r="G1909" s="3">
        <v>5</v>
      </c>
    </row>
    <row r="1910" spans="1:7" x14ac:dyDescent="0.25">
      <c r="A1910" t="s">
        <v>3</v>
      </c>
      <c r="B1910">
        <v>1908</v>
      </c>
      <c r="C1910">
        <v>0</v>
      </c>
      <c r="D1910" s="2">
        <v>26.101134300231934</v>
      </c>
      <c r="E1910" s="2" t="s">
        <v>10</v>
      </c>
      <c r="F1910" s="2" t="s">
        <v>41</v>
      </c>
      <c r="G1910" s="2">
        <v>5</v>
      </c>
    </row>
    <row r="1911" spans="1:7" x14ac:dyDescent="0.25">
      <c r="A1911" t="s">
        <v>3</v>
      </c>
      <c r="B1911">
        <v>1909</v>
      </c>
      <c r="C1911">
        <v>100</v>
      </c>
      <c r="D1911" s="3">
        <v>31.807278633117676</v>
      </c>
      <c r="E1911" s="3" t="s">
        <v>10</v>
      </c>
      <c r="F1911" s="3" t="s">
        <v>41</v>
      </c>
      <c r="G1911" s="3">
        <v>5</v>
      </c>
    </row>
    <row r="1912" spans="1:7" x14ac:dyDescent="0.25">
      <c r="A1912" t="s">
        <v>3</v>
      </c>
      <c r="B1912">
        <v>1910</v>
      </c>
      <c r="C1912">
        <v>100</v>
      </c>
      <c r="D1912" s="2">
        <v>21.2606041431427</v>
      </c>
      <c r="E1912" s="2" t="s">
        <v>10</v>
      </c>
      <c r="F1912" s="2" t="s">
        <v>41</v>
      </c>
      <c r="G1912" s="2">
        <v>5</v>
      </c>
    </row>
    <row r="1913" spans="1:7" x14ac:dyDescent="0.25">
      <c r="A1913" t="s">
        <v>3</v>
      </c>
      <c r="B1913">
        <v>1911</v>
      </c>
      <c r="C1913">
        <v>30</v>
      </c>
      <c r="D1913" s="3">
        <v>23.870099306106567</v>
      </c>
      <c r="E1913" s="3" t="s">
        <v>10</v>
      </c>
      <c r="F1913" s="3" t="s">
        <v>41</v>
      </c>
      <c r="G1913" s="3">
        <v>5</v>
      </c>
    </row>
    <row r="1914" spans="1:7" x14ac:dyDescent="0.25">
      <c r="A1914" t="s">
        <v>3</v>
      </c>
      <c r="B1914">
        <v>1912</v>
      </c>
      <c r="C1914">
        <v>100</v>
      </c>
      <c r="D1914" s="2">
        <v>26.725124359130859</v>
      </c>
      <c r="E1914" s="2" t="s">
        <v>10</v>
      </c>
      <c r="F1914" s="2" t="s">
        <v>43</v>
      </c>
      <c r="G1914" s="2">
        <v>4.9000000000000004</v>
      </c>
    </row>
    <row r="1915" spans="1:7" x14ac:dyDescent="0.25">
      <c r="A1915" t="s">
        <v>3</v>
      </c>
      <c r="B1915">
        <v>1913</v>
      </c>
      <c r="C1915">
        <v>0</v>
      </c>
      <c r="D1915" s="3">
        <v>33.573239088058472</v>
      </c>
      <c r="E1915" s="3" t="s">
        <v>10</v>
      </c>
      <c r="F1915" s="3" t="s">
        <v>43</v>
      </c>
      <c r="G1915" s="3">
        <v>4.9000000000000004</v>
      </c>
    </row>
    <row r="1916" spans="1:7" x14ac:dyDescent="0.25">
      <c r="A1916" t="s">
        <v>3</v>
      </c>
      <c r="B1916">
        <v>1914</v>
      </c>
      <c r="C1916">
        <v>100</v>
      </c>
      <c r="D1916" s="2">
        <v>34.196629047393799</v>
      </c>
      <c r="E1916" s="2" t="s">
        <v>10</v>
      </c>
      <c r="F1916" s="2" t="s">
        <v>43</v>
      </c>
      <c r="G1916" s="2">
        <v>4.9000000000000004</v>
      </c>
    </row>
    <row r="1917" spans="1:7" x14ac:dyDescent="0.25">
      <c r="A1917" t="s">
        <v>3</v>
      </c>
      <c r="B1917">
        <v>1915</v>
      </c>
      <c r="C1917">
        <v>100</v>
      </c>
      <c r="D1917" s="3">
        <v>37.388237714767456</v>
      </c>
      <c r="E1917" s="3" t="s">
        <v>10</v>
      </c>
      <c r="F1917" s="3" t="s">
        <v>43</v>
      </c>
      <c r="G1917" s="3">
        <v>4.9000000000000004</v>
      </c>
    </row>
    <row r="1918" spans="1:7" x14ac:dyDescent="0.25">
      <c r="A1918" t="s">
        <v>3</v>
      </c>
      <c r="B1918">
        <v>1916</v>
      </c>
      <c r="C1918">
        <v>100</v>
      </c>
      <c r="D1918" s="2">
        <v>34.243831872940063</v>
      </c>
      <c r="E1918" s="2" t="s">
        <v>10</v>
      </c>
      <c r="F1918" s="2" t="s">
        <v>43</v>
      </c>
      <c r="G1918" s="2">
        <v>4.9000000000000004</v>
      </c>
    </row>
    <row r="1919" spans="1:7" x14ac:dyDescent="0.25">
      <c r="A1919" t="s">
        <v>3</v>
      </c>
      <c r="B1919">
        <v>1917</v>
      </c>
      <c r="C1919">
        <v>100</v>
      </c>
      <c r="D1919" s="3">
        <v>27.472673892974854</v>
      </c>
      <c r="E1919" s="3" t="s">
        <v>10</v>
      </c>
      <c r="F1919" s="3" t="s">
        <v>43</v>
      </c>
      <c r="G1919" s="3">
        <v>4.9000000000000004</v>
      </c>
    </row>
    <row r="1920" spans="1:7" x14ac:dyDescent="0.25">
      <c r="A1920" t="s">
        <v>3</v>
      </c>
      <c r="B1920">
        <v>1918</v>
      </c>
      <c r="C1920">
        <v>100</v>
      </c>
      <c r="D1920" s="2">
        <v>28.906698703765869</v>
      </c>
      <c r="E1920" s="2" t="s">
        <v>10</v>
      </c>
      <c r="F1920" s="2" t="s">
        <v>43</v>
      </c>
      <c r="G1920" s="2">
        <v>4.9000000000000004</v>
      </c>
    </row>
    <row r="1921" spans="1:7" x14ac:dyDescent="0.25">
      <c r="A1921" t="s">
        <v>3</v>
      </c>
      <c r="B1921">
        <v>1919</v>
      </c>
      <c r="C1921">
        <v>100</v>
      </c>
      <c r="D1921" s="3">
        <v>29.036071062088013</v>
      </c>
      <c r="E1921" s="3" t="s">
        <v>10</v>
      </c>
      <c r="F1921" s="3" t="s">
        <v>43</v>
      </c>
      <c r="G1921" s="3">
        <v>4.9000000000000004</v>
      </c>
    </row>
    <row r="1922" spans="1:7" x14ac:dyDescent="0.25">
      <c r="A1922" t="s">
        <v>3</v>
      </c>
      <c r="B1922">
        <v>1920</v>
      </c>
      <c r="C1922">
        <v>0</v>
      </c>
      <c r="D1922" s="2">
        <v>33.370282173156738</v>
      </c>
      <c r="E1922" s="2" t="s">
        <v>10</v>
      </c>
      <c r="F1922" s="2" t="s">
        <v>43</v>
      </c>
      <c r="G1922" s="2">
        <v>4.9000000000000004</v>
      </c>
    </row>
    <row r="1923" spans="1:7" x14ac:dyDescent="0.25">
      <c r="A1923" t="s">
        <v>3</v>
      </c>
      <c r="B1923">
        <v>1921</v>
      </c>
      <c r="C1923">
        <v>100</v>
      </c>
      <c r="D1923" s="3">
        <v>31.823504209518433</v>
      </c>
      <c r="E1923" s="3" t="s">
        <v>10</v>
      </c>
      <c r="F1923" s="3" t="s">
        <v>43</v>
      </c>
      <c r="G1923" s="3">
        <v>4.9000000000000004</v>
      </c>
    </row>
    <row r="1924" spans="1:7" x14ac:dyDescent="0.25">
      <c r="A1924" t="s">
        <v>3</v>
      </c>
      <c r="B1924">
        <v>1922</v>
      </c>
      <c r="C1924">
        <v>100</v>
      </c>
      <c r="D1924" s="2">
        <v>28.057966232299805</v>
      </c>
      <c r="E1924" s="2" t="s">
        <v>10</v>
      </c>
      <c r="F1924" s="2" t="s">
        <v>43</v>
      </c>
      <c r="G1924" s="2">
        <v>4.9000000000000004</v>
      </c>
    </row>
    <row r="1925" spans="1:7" x14ac:dyDescent="0.25">
      <c r="A1925" t="s">
        <v>3</v>
      </c>
      <c r="B1925">
        <v>1923</v>
      </c>
      <c r="C1925">
        <v>100</v>
      </c>
      <c r="D1925" s="3">
        <v>30.261449337005615</v>
      </c>
      <c r="E1925" s="3" t="s">
        <v>10</v>
      </c>
      <c r="F1925" s="3" t="s">
        <v>43</v>
      </c>
      <c r="G1925" s="3">
        <v>4.9000000000000004</v>
      </c>
    </row>
    <row r="1926" spans="1:7" x14ac:dyDescent="0.25">
      <c r="A1926" t="s">
        <v>3</v>
      </c>
      <c r="B1926">
        <v>1924</v>
      </c>
      <c r="C1926">
        <v>60</v>
      </c>
      <c r="D1926" s="2">
        <v>33.424792051315308</v>
      </c>
      <c r="E1926" s="2" t="s">
        <v>10</v>
      </c>
      <c r="F1926" s="2" t="s">
        <v>43</v>
      </c>
      <c r="G1926" s="2">
        <v>4.9000000000000004</v>
      </c>
    </row>
    <row r="1927" spans="1:7" x14ac:dyDescent="0.25">
      <c r="A1927" t="s">
        <v>3</v>
      </c>
      <c r="B1927">
        <v>1925</v>
      </c>
      <c r="C1927">
        <v>100</v>
      </c>
      <c r="D1927" s="3">
        <v>27.433824062347412</v>
      </c>
      <c r="E1927" s="3" t="s">
        <v>10</v>
      </c>
      <c r="F1927" s="3" t="s">
        <v>43</v>
      </c>
      <c r="G1927" s="3">
        <v>4.9000000000000004</v>
      </c>
    </row>
    <row r="1928" spans="1:7" x14ac:dyDescent="0.25">
      <c r="A1928" t="s">
        <v>3</v>
      </c>
      <c r="B1928">
        <v>1926</v>
      </c>
      <c r="C1928">
        <v>100</v>
      </c>
      <c r="D1928" s="2">
        <v>26.825158834457397</v>
      </c>
      <c r="E1928" s="2" t="s">
        <v>10</v>
      </c>
      <c r="F1928" s="2" t="s">
        <v>43</v>
      </c>
      <c r="G1928" s="2">
        <v>4.9000000000000004</v>
      </c>
    </row>
    <row r="1929" spans="1:7" x14ac:dyDescent="0.25">
      <c r="A1929" t="s">
        <v>3</v>
      </c>
      <c r="B1929">
        <v>1927</v>
      </c>
      <c r="C1929">
        <v>100</v>
      </c>
      <c r="D1929" s="3">
        <v>21.744608640670776</v>
      </c>
      <c r="E1929" s="3" t="s">
        <v>10</v>
      </c>
      <c r="F1929" s="3" t="s">
        <v>43</v>
      </c>
      <c r="G1929" s="3">
        <v>4.9000000000000004</v>
      </c>
    </row>
    <row r="1930" spans="1:7" x14ac:dyDescent="0.25">
      <c r="A1930" t="s">
        <v>3</v>
      </c>
      <c r="B1930">
        <v>1928</v>
      </c>
      <c r="C1930">
        <v>100</v>
      </c>
      <c r="D1930" s="2">
        <v>38.002294778823853</v>
      </c>
      <c r="E1930" s="2" t="s">
        <v>10</v>
      </c>
      <c r="F1930" s="2" t="s">
        <v>43</v>
      </c>
      <c r="G1930" s="2">
        <v>4.9000000000000004</v>
      </c>
    </row>
    <row r="1931" spans="1:7" x14ac:dyDescent="0.25">
      <c r="A1931" t="s">
        <v>3</v>
      </c>
      <c r="B1931">
        <v>1929</v>
      </c>
      <c r="C1931">
        <v>0</v>
      </c>
      <c r="D1931" s="3">
        <v>23.374676704406738</v>
      </c>
      <c r="E1931" s="3" t="s">
        <v>10</v>
      </c>
      <c r="F1931" s="3" t="s">
        <v>43</v>
      </c>
      <c r="G1931" s="3">
        <v>4.9000000000000004</v>
      </c>
    </row>
    <row r="1932" spans="1:7" x14ac:dyDescent="0.25">
      <c r="A1932" t="s">
        <v>3</v>
      </c>
      <c r="B1932">
        <v>1930</v>
      </c>
      <c r="C1932">
        <v>5</v>
      </c>
      <c r="D1932" s="2">
        <v>17.212395191192627</v>
      </c>
      <c r="E1932" s="2" t="s">
        <v>10</v>
      </c>
      <c r="F1932" s="2" t="s">
        <v>43</v>
      </c>
      <c r="G1932" s="2">
        <v>4.9000000000000004</v>
      </c>
    </row>
    <row r="1933" spans="1:7" x14ac:dyDescent="0.25">
      <c r="A1933" t="s">
        <v>3</v>
      </c>
      <c r="B1933">
        <v>1931</v>
      </c>
      <c r="C1933">
        <v>100</v>
      </c>
      <c r="D1933" s="3">
        <v>30.218524932861328</v>
      </c>
      <c r="E1933" s="3" t="s">
        <v>10</v>
      </c>
      <c r="F1933" s="3" t="s">
        <v>43</v>
      </c>
      <c r="G1933" s="3">
        <v>4.9000000000000004</v>
      </c>
    </row>
    <row r="1934" spans="1:7" x14ac:dyDescent="0.25">
      <c r="A1934" t="s">
        <v>3</v>
      </c>
      <c r="B1934">
        <v>1932</v>
      </c>
      <c r="C1934">
        <v>100</v>
      </c>
      <c r="D1934" s="2">
        <v>26.597416400909424</v>
      </c>
      <c r="E1934" s="2" t="s">
        <v>10</v>
      </c>
      <c r="F1934" s="2" t="s">
        <v>43</v>
      </c>
      <c r="G1934" s="2">
        <v>4.9000000000000004</v>
      </c>
    </row>
    <row r="1935" spans="1:7" x14ac:dyDescent="0.25">
      <c r="A1935" t="s">
        <v>3</v>
      </c>
      <c r="B1935">
        <v>1933</v>
      </c>
      <c r="C1935">
        <v>100</v>
      </c>
      <c r="D1935" s="3">
        <v>32.187985181808472</v>
      </c>
      <c r="E1935" s="3" t="s">
        <v>10</v>
      </c>
      <c r="F1935" s="3" t="s">
        <v>43</v>
      </c>
      <c r="G1935" s="3">
        <v>4.9000000000000004</v>
      </c>
    </row>
    <row r="1936" spans="1:7" x14ac:dyDescent="0.25">
      <c r="A1936" t="s">
        <v>3</v>
      </c>
      <c r="B1936">
        <v>1934</v>
      </c>
      <c r="C1936">
        <v>100</v>
      </c>
      <c r="D1936" s="2">
        <v>34.150846242904663</v>
      </c>
      <c r="E1936" s="2" t="s">
        <v>10</v>
      </c>
      <c r="F1936" s="2" t="s">
        <v>43</v>
      </c>
      <c r="G1936" s="2">
        <v>4.9000000000000004</v>
      </c>
    </row>
    <row r="1937" spans="1:7" x14ac:dyDescent="0.25">
      <c r="A1937" t="s">
        <v>3</v>
      </c>
      <c r="B1937">
        <v>1935</v>
      </c>
      <c r="C1937">
        <v>100</v>
      </c>
      <c r="D1937" s="3">
        <v>38.649346828460693</v>
      </c>
      <c r="E1937" s="3" t="s">
        <v>10</v>
      </c>
      <c r="F1937" s="3" t="s">
        <v>43</v>
      </c>
      <c r="G1937" s="3">
        <v>4.9000000000000004</v>
      </c>
    </row>
    <row r="1938" spans="1:7" x14ac:dyDescent="0.25">
      <c r="A1938" t="s">
        <v>3</v>
      </c>
      <c r="B1938">
        <v>1936</v>
      </c>
      <c r="C1938">
        <v>0</v>
      </c>
      <c r="D1938" s="2">
        <v>32.489383459091187</v>
      </c>
      <c r="E1938" s="2" t="s">
        <v>10</v>
      </c>
      <c r="F1938" s="2" t="s">
        <v>43</v>
      </c>
      <c r="G1938" s="2">
        <v>4.9000000000000004</v>
      </c>
    </row>
    <row r="1939" spans="1:7" x14ac:dyDescent="0.25">
      <c r="A1939" t="s">
        <v>3</v>
      </c>
      <c r="B1939">
        <v>1937</v>
      </c>
      <c r="C1939">
        <v>80</v>
      </c>
      <c r="D1939" s="3">
        <v>18.182186603546143</v>
      </c>
      <c r="E1939" s="3" t="s">
        <v>10</v>
      </c>
      <c r="F1939" s="3" t="s">
        <v>43</v>
      </c>
      <c r="G1939" s="3">
        <v>4.9000000000000004</v>
      </c>
    </row>
    <row r="1940" spans="1:7" x14ac:dyDescent="0.25">
      <c r="A1940" t="s">
        <v>3</v>
      </c>
      <c r="B1940">
        <v>1938</v>
      </c>
      <c r="C1940">
        <v>100</v>
      </c>
      <c r="D1940" s="2">
        <v>38.679677724838257</v>
      </c>
      <c r="E1940" s="2" t="s">
        <v>10</v>
      </c>
      <c r="F1940" s="2" t="s">
        <v>43</v>
      </c>
      <c r="G1940" s="2">
        <v>4.9000000000000004</v>
      </c>
    </row>
    <row r="1941" spans="1:7" x14ac:dyDescent="0.25">
      <c r="A1941" t="s">
        <v>3</v>
      </c>
      <c r="B1941">
        <v>1939</v>
      </c>
      <c r="C1941">
        <v>10</v>
      </c>
      <c r="D1941" s="3">
        <v>27.763683319091797</v>
      </c>
      <c r="E1941" s="3" t="s">
        <v>10</v>
      </c>
      <c r="F1941" s="3" t="s">
        <v>43</v>
      </c>
      <c r="G1941" s="3">
        <v>4.9000000000000004</v>
      </c>
    </row>
    <row r="1942" spans="1:7" x14ac:dyDescent="0.25">
      <c r="A1942" t="s">
        <v>3</v>
      </c>
      <c r="B1942">
        <v>1940</v>
      </c>
      <c r="C1942">
        <v>100</v>
      </c>
      <c r="D1942" s="2">
        <v>33.681750774383545</v>
      </c>
      <c r="E1942" s="2" t="s">
        <v>10</v>
      </c>
      <c r="F1942" s="2" t="s">
        <v>43</v>
      </c>
      <c r="G1942" s="2">
        <v>4.9000000000000004</v>
      </c>
    </row>
    <row r="1943" spans="1:7" x14ac:dyDescent="0.25">
      <c r="A1943" t="s">
        <v>3</v>
      </c>
      <c r="B1943">
        <v>1941</v>
      </c>
      <c r="C1943">
        <v>100</v>
      </c>
      <c r="D1943" s="3">
        <v>42.044386863708496</v>
      </c>
      <c r="E1943" s="3" t="s">
        <v>10</v>
      </c>
      <c r="F1943" s="3" t="s">
        <v>43</v>
      </c>
      <c r="G1943" s="3">
        <v>4.9000000000000004</v>
      </c>
    </row>
    <row r="1944" spans="1:7" x14ac:dyDescent="0.25">
      <c r="A1944" t="s">
        <v>3</v>
      </c>
      <c r="B1944">
        <v>1942</v>
      </c>
      <c r="C1944">
        <v>0</v>
      </c>
      <c r="D1944" s="2">
        <v>32.286423444747925</v>
      </c>
      <c r="E1944" s="2" t="s">
        <v>10</v>
      </c>
      <c r="F1944" s="2" t="s">
        <v>43</v>
      </c>
      <c r="G1944" s="2">
        <v>4.9000000000000004</v>
      </c>
    </row>
    <row r="1945" spans="1:7" x14ac:dyDescent="0.25">
      <c r="A1945" t="s">
        <v>3</v>
      </c>
      <c r="B1945">
        <v>1943</v>
      </c>
      <c r="C1945">
        <v>100</v>
      </c>
      <c r="D1945" s="3">
        <v>35.14143180847168</v>
      </c>
      <c r="E1945" s="3" t="s">
        <v>10</v>
      </c>
      <c r="F1945" s="3" t="s">
        <v>43</v>
      </c>
      <c r="G1945" s="3">
        <v>4.9000000000000004</v>
      </c>
    </row>
    <row r="1946" spans="1:7" x14ac:dyDescent="0.25">
      <c r="A1946" t="s">
        <v>3</v>
      </c>
      <c r="B1946">
        <v>1944</v>
      </c>
      <c r="C1946">
        <v>100</v>
      </c>
      <c r="D1946" s="2">
        <v>30.294708251953125</v>
      </c>
      <c r="E1946" s="2" t="s">
        <v>10</v>
      </c>
      <c r="F1946" s="2" t="s">
        <v>43</v>
      </c>
      <c r="G1946" s="2">
        <v>4.9000000000000004</v>
      </c>
    </row>
    <row r="1947" spans="1:7" x14ac:dyDescent="0.25">
      <c r="A1947" t="s">
        <v>3</v>
      </c>
      <c r="B1947">
        <v>1945</v>
      </c>
      <c r="C1947">
        <v>0</v>
      </c>
      <c r="D1947" s="3">
        <v>32.705313682556152</v>
      </c>
      <c r="E1947" s="3" t="s">
        <v>10</v>
      </c>
      <c r="F1947" s="3" t="s">
        <v>43</v>
      </c>
      <c r="G1947" s="3">
        <v>4.9000000000000004</v>
      </c>
    </row>
    <row r="1948" spans="1:7" x14ac:dyDescent="0.25">
      <c r="A1948" t="s">
        <v>3</v>
      </c>
      <c r="B1948">
        <v>1946</v>
      </c>
      <c r="C1948">
        <v>100</v>
      </c>
      <c r="D1948" s="2">
        <v>21.738138198852539</v>
      </c>
      <c r="E1948" s="2" t="s">
        <v>10</v>
      </c>
      <c r="F1948" s="2" t="s">
        <v>43</v>
      </c>
      <c r="G1948" s="2">
        <v>4.9000000000000004</v>
      </c>
    </row>
    <row r="1949" spans="1:7" x14ac:dyDescent="0.25">
      <c r="A1949" t="s">
        <v>3</v>
      </c>
      <c r="B1949">
        <v>1947</v>
      </c>
      <c r="C1949">
        <v>100</v>
      </c>
      <c r="D1949" s="3">
        <v>29.151268005371094</v>
      </c>
      <c r="E1949" s="3" t="s">
        <v>10</v>
      </c>
      <c r="F1949" s="3" t="s">
        <v>43</v>
      </c>
      <c r="G1949" s="3">
        <v>4.9000000000000004</v>
      </c>
    </row>
    <row r="1950" spans="1:7" x14ac:dyDescent="0.25">
      <c r="A1950" t="s">
        <v>3</v>
      </c>
      <c r="B1950">
        <v>1948</v>
      </c>
      <c r="C1950">
        <v>100</v>
      </c>
      <c r="D1950" s="2">
        <v>29.03625226020813</v>
      </c>
      <c r="E1950" s="2" t="s">
        <v>10</v>
      </c>
      <c r="F1950" s="2" t="s">
        <v>43</v>
      </c>
      <c r="G1950" s="2">
        <v>4.9000000000000004</v>
      </c>
    </row>
    <row r="1951" spans="1:7" x14ac:dyDescent="0.25">
      <c r="A1951" t="s">
        <v>3</v>
      </c>
      <c r="B1951">
        <v>1949</v>
      </c>
      <c r="C1951">
        <v>0</v>
      </c>
      <c r="D1951" s="3">
        <v>32.180761814117432</v>
      </c>
      <c r="E1951" s="3" t="s">
        <v>10</v>
      </c>
      <c r="F1951" s="3" t="s">
        <v>43</v>
      </c>
      <c r="G1951" s="3">
        <v>4.9000000000000004</v>
      </c>
    </row>
    <row r="1952" spans="1:7" x14ac:dyDescent="0.25">
      <c r="A1952" t="s">
        <v>3</v>
      </c>
      <c r="B1952">
        <v>1950</v>
      </c>
      <c r="C1952">
        <v>70</v>
      </c>
      <c r="D1952" s="2">
        <v>21.558776617050171</v>
      </c>
      <c r="E1952" s="2" t="s">
        <v>10</v>
      </c>
      <c r="F1952" s="2" t="s">
        <v>43</v>
      </c>
      <c r="G1952" s="2">
        <v>4.9000000000000004</v>
      </c>
    </row>
    <row r="1953" spans="1:7" x14ac:dyDescent="0.25">
      <c r="A1953" t="s">
        <v>3</v>
      </c>
      <c r="B1953">
        <v>1951</v>
      </c>
      <c r="C1953">
        <v>100</v>
      </c>
      <c r="D1953" s="3">
        <v>26.104489088058472</v>
      </c>
      <c r="E1953" s="3" t="s">
        <v>10</v>
      </c>
      <c r="F1953" s="3" t="s">
        <v>43</v>
      </c>
      <c r="G1953" s="3">
        <v>4.9000000000000004</v>
      </c>
    </row>
    <row r="1954" spans="1:7" x14ac:dyDescent="0.25">
      <c r="A1954" t="s">
        <v>3</v>
      </c>
      <c r="B1954">
        <v>1952</v>
      </c>
      <c r="C1954">
        <v>100</v>
      </c>
      <c r="D1954" s="2">
        <v>30.934782981872559</v>
      </c>
      <c r="E1954" s="2" t="s">
        <v>10</v>
      </c>
      <c r="F1954" s="2" t="s">
        <v>43</v>
      </c>
      <c r="G1954" s="2">
        <v>4.9000000000000004</v>
      </c>
    </row>
    <row r="1955" spans="1:7" x14ac:dyDescent="0.25">
      <c r="A1955" t="s">
        <v>3</v>
      </c>
      <c r="B1955">
        <v>1953</v>
      </c>
      <c r="C1955">
        <v>100</v>
      </c>
      <c r="D1955" s="3">
        <v>30.432487964630127</v>
      </c>
      <c r="E1955" s="3" t="s">
        <v>10</v>
      </c>
      <c r="F1955" s="3" t="s">
        <v>43</v>
      </c>
      <c r="G1955" s="3">
        <v>4.9000000000000004</v>
      </c>
    </row>
    <row r="1956" spans="1:7" x14ac:dyDescent="0.25">
      <c r="A1956" t="s">
        <v>3</v>
      </c>
      <c r="B1956">
        <v>1954</v>
      </c>
      <c r="C1956">
        <v>100</v>
      </c>
      <c r="D1956" s="2">
        <v>29.960444450378418</v>
      </c>
      <c r="E1956" s="2" t="s">
        <v>10</v>
      </c>
      <c r="F1956" s="2" t="s">
        <v>43</v>
      </c>
      <c r="G1956" s="2">
        <v>4.9000000000000004</v>
      </c>
    </row>
    <row r="1957" spans="1:7" x14ac:dyDescent="0.25">
      <c r="A1957" t="s">
        <v>3</v>
      </c>
      <c r="B1957">
        <v>1955</v>
      </c>
      <c r="C1957">
        <v>100</v>
      </c>
      <c r="D1957" s="3">
        <v>28.462290287017822</v>
      </c>
      <c r="E1957" s="3" t="s">
        <v>10</v>
      </c>
      <c r="F1957" s="3" t="s">
        <v>43</v>
      </c>
      <c r="G1957" s="3">
        <v>4.9000000000000004</v>
      </c>
    </row>
    <row r="1958" spans="1:7" x14ac:dyDescent="0.25">
      <c r="A1958" t="s">
        <v>3</v>
      </c>
      <c r="B1958">
        <v>1956</v>
      </c>
      <c r="C1958">
        <v>100</v>
      </c>
      <c r="D1958" s="2">
        <v>29.520014762878418</v>
      </c>
      <c r="E1958" s="2" t="s">
        <v>10</v>
      </c>
      <c r="F1958" s="2" t="s">
        <v>43</v>
      </c>
      <c r="G1958" s="2">
        <v>4.9000000000000004</v>
      </c>
    </row>
    <row r="1959" spans="1:7" x14ac:dyDescent="0.25">
      <c r="A1959" t="s">
        <v>3</v>
      </c>
      <c r="B1959">
        <v>1957</v>
      </c>
      <c r="C1959">
        <v>100</v>
      </c>
      <c r="D1959" s="3">
        <v>28.801735162734985</v>
      </c>
      <c r="E1959" s="3" t="s">
        <v>10</v>
      </c>
      <c r="F1959" s="3" t="s">
        <v>43</v>
      </c>
      <c r="G1959" s="3">
        <v>4.9000000000000004</v>
      </c>
    </row>
    <row r="1960" spans="1:7" x14ac:dyDescent="0.25">
      <c r="A1960" t="s">
        <v>3</v>
      </c>
      <c r="B1960">
        <v>1958</v>
      </c>
      <c r="C1960">
        <v>100</v>
      </c>
      <c r="D1960" s="2">
        <v>30.498704195022583</v>
      </c>
      <c r="E1960" s="2" t="s">
        <v>10</v>
      </c>
      <c r="F1960" s="2" t="s">
        <v>43</v>
      </c>
      <c r="G1960" s="2">
        <v>4.9000000000000004</v>
      </c>
    </row>
    <row r="1961" spans="1:7" x14ac:dyDescent="0.25">
      <c r="A1961" t="s">
        <v>3</v>
      </c>
      <c r="B1961">
        <v>1959</v>
      </c>
      <c r="C1961">
        <v>100</v>
      </c>
      <c r="D1961" s="3">
        <v>22.490964651107788</v>
      </c>
      <c r="E1961" s="3" t="s">
        <v>10</v>
      </c>
      <c r="F1961" s="3" t="s">
        <v>43</v>
      </c>
      <c r="G1961" s="3">
        <v>4.9000000000000004</v>
      </c>
    </row>
    <row r="1962" spans="1:7" x14ac:dyDescent="0.25">
      <c r="A1962" t="s">
        <v>3</v>
      </c>
      <c r="B1962">
        <v>1960</v>
      </c>
      <c r="C1962">
        <v>70</v>
      </c>
      <c r="D1962" s="2">
        <v>61.258416175842285</v>
      </c>
      <c r="E1962" s="2" t="s">
        <v>10</v>
      </c>
      <c r="F1962" s="2" t="s">
        <v>43</v>
      </c>
      <c r="G1962" s="2">
        <v>4.9000000000000004</v>
      </c>
    </row>
    <row r="1963" spans="1:7" x14ac:dyDescent="0.25">
      <c r="A1963" t="s">
        <v>3</v>
      </c>
      <c r="B1963">
        <v>1961</v>
      </c>
      <c r="C1963">
        <v>0</v>
      </c>
      <c r="D1963" s="3">
        <v>30.643859386444099</v>
      </c>
      <c r="E1963" s="3" t="s">
        <v>10</v>
      </c>
      <c r="F1963" s="3" t="s">
        <v>66</v>
      </c>
      <c r="G1963" s="3">
        <v>6.8</v>
      </c>
    </row>
    <row r="1964" spans="1:7" x14ac:dyDescent="0.25">
      <c r="A1964" t="s">
        <v>3</v>
      </c>
      <c r="B1964">
        <v>1962</v>
      </c>
      <c r="C1964">
        <v>100</v>
      </c>
      <c r="D1964" s="2">
        <v>19.005216360092163</v>
      </c>
      <c r="E1964" s="2" t="s">
        <v>10</v>
      </c>
      <c r="F1964" s="2" t="s">
        <v>41</v>
      </c>
      <c r="G1964" s="2">
        <v>5</v>
      </c>
    </row>
    <row r="1965" spans="1:7" x14ac:dyDescent="0.25">
      <c r="A1965" t="s">
        <v>3</v>
      </c>
      <c r="B1965">
        <v>1963</v>
      </c>
      <c r="C1965">
        <v>0</v>
      </c>
      <c r="D1965" s="3">
        <v>24.592186689376831</v>
      </c>
      <c r="E1965" s="3" t="s">
        <v>10</v>
      </c>
      <c r="F1965" s="3" t="s">
        <v>41</v>
      </c>
      <c r="G1965" s="3">
        <v>5</v>
      </c>
    </row>
    <row r="1966" spans="1:7" x14ac:dyDescent="0.25">
      <c r="A1966" t="s">
        <v>3</v>
      </c>
      <c r="B1966">
        <v>1964</v>
      </c>
      <c r="C1966">
        <v>65</v>
      </c>
      <c r="D1966" s="2">
        <v>33.223995923995972</v>
      </c>
      <c r="E1966" s="2" t="s">
        <v>10</v>
      </c>
      <c r="F1966" s="2" t="s">
        <v>41</v>
      </c>
      <c r="G1966" s="2">
        <v>5</v>
      </c>
    </row>
    <row r="1967" spans="1:7" x14ac:dyDescent="0.25">
      <c r="A1967" t="s">
        <v>3</v>
      </c>
      <c r="B1967">
        <v>1965</v>
      </c>
      <c r="C1967">
        <v>0</v>
      </c>
      <c r="D1967" s="3">
        <v>27.701825380325317</v>
      </c>
      <c r="E1967" s="3" t="s">
        <v>10</v>
      </c>
      <c r="F1967" s="3" t="s">
        <v>41</v>
      </c>
      <c r="G1967" s="3">
        <v>5</v>
      </c>
    </row>
    <row r="1968" spans="1:7" x14ac:dyDescent="0.25">
      <c r="A1968" t="s">
        <v>3</v>
      </c>
      <c r="B1968">
        <v>1966</v>
      </c>
      <c r="C1968">
        <v>2</v>
      </c>
      <c r="D1968" s="2">
        <v>29.134146451950073</v>
      </c>
      <c r="E1968" s="2" t="s">
        <v>10</v>
      </c>
      <c r="F1968" s="2" t="s">
        <v>41</v>
      </c>
      <c r="G1968" s="2">
        <v>5</v>
      </c>
    </row>
    <row r="1969" spans="1:7" x14ac:dyDescent="0.25">
      <c r="A1969" t="s">
        <v>3</v>
      </c>
      <c r="B1969">
        <v>1967</v>
      </c>
      <c r="C1969">
        <v>100</v>
      </c>
      <c r="D1969" s="3">
        <v>40.217622995376587</v>
      </c>
      <c r="E1969" s="3" t="s">
        <v>10</v>
      </c>
      <c r="F1969" s="3" t="s">
        <v>41</v>
      </c>
      <c r="G1969" s="3">
        <v>5</v>
      </c>
    </row>
    <row r="1970" spans="1:7" x14ac:dyDescent="0.25">
      <c r="A1970" t="s">
        <v>3</v>
      </c>
      <c r="B1970">
        <v>1968</v>
      </c>
      <c r="C1970">
        <v>100</v>
      </c>
      <c r="D1970" s="2">
        <v>16.623839378356934</v>
      </c>
      <c r="E1970" s="2" t="s">
        <v>10</v>
      </c>
      <c r="F1970" s="2" t="s">
        <v>41</v>
      </c>
      <c r="G1970" s="2">
        <v>5</v>
      </c>
    </row>
    <row r="1971" spans="1:7" x14ac:dyDescent="0.25">
      <c r="A1971" t="s">
        <v>3</v>
      </c>
      <c r="B1971">
        <v>1969</v>
      </c>
      <c r="C1971">
        <v>100</v>
      </c>
      <c r="D1971" s="3">
        <v>23.21551775932312</v>
      </c>
      <c r="E1971" s="3" t="s">
        <v>10</v>
      </c>
      <c r="F1971" s="3" t="s">
        <v>41</v>
      </c>
      <c r="G1971" s="3">
        <v>5</v>
      </c>
    </row>
    <row r="1972" spans="1:7" x14ac:dyDescent="0.25">
      <c r="A1972" t="s">
        <v>3</v>
      </c>
      <c r="B1972">
        <v>1970</v>
      </c>
      <c r="C1972">
        <v>20</v>
      </c>
      <c r="D1972" s="2">
        <v>13.172345876693726</v>
      </c>
      <c r="E1972" s="2" t="s">
        <v>10</v>
      </c>
      <c r="F1972" s="2" t="s">
        <v>41</v>
      </c>
      <c r="G1972" s="2">
        <v>5</v>
      </c>
    </row>
    <row r="1973" spans="1:7" x14ac:dyDescent="0.25">
      <c r="A1973" t="s">
        <v>3</v>
      </c>
      <c r="B1973">
        <v>1971</v>
      </c>
      <c r="C1973">
        <v>50</v>
      </c>
      <c r="D1973" s="3">
        <v>18.295617580413818</v>
      </c>
      <c r="E1973" s="3" t="s">
        <v>10</v>
      </c>
      <c r="F1973" s="3" t="s">
        <v>41</v>
      </c>
      <c r="G1973" s="3">
        <v>5</v>
      </c>
    </row>
    <row r="1974" spans="1:7" x14ac:dyDescent="0.25">
      <c r="A1974" t="s">
        <v>3</v>
      </c>
      <c r="B1974">
        <v>1972</v>
      </c>
      <c r="C1974">
        <v>0</v>
      </c>
      <c r="D1974" s="2">
        <v>24.193945407867432</v>
      </c>
      <c r="E1974" s="2" t="s">
        <v>10</v>
      </c>
      <c r="F1974" s="2" t="s">
        <v>41</v>
      </c>
      <c r="G1974" s="2">
        <v>5</v>
      </c>
    </row>
    <row r="1975" spans="1:7" x14ac:dyDescent="0.25">
      <c r="A1975" t="s">
        <v>3</v>
      </c>
      <c r="B1975">
        <v>1973</v>
      </c>
      <c r="C1975">
        <v>100</v>
      </c>
      <c r="D1975" s="3">
        <v>24.954470872879028</v>
      </c>
      <c r="E1975" s="3" t="s">
        <v>10</v>
      </c>
      <c r="F1975" s="3" t="s">
        <v>41</v>
      </c>
      <c r="G1975" s="3">
        <v>5</v>
      </c>
    </row>
    <row r="1976" spans="1:7" x14ac:dyDescent="0.25">
      <c r="A1976" t="s">
        <v>3</v>
      </c>
      <c r="B1976">
        <v>1974</v>
      </c>
      <c r="C1976">
        <v>100</v>
      </c>
      <c r="D1976" s="2">
        <v>33.24381685256958</v>
      </c>
      <c r="E1976" s="2" t="s">
        <v>10</v>
      </c>
      <c r="F1976" s="2" t="s">
        <v>41</v>
      </c>
      <c r="G1976" s="2">
        <v>5</v>
      </c>
    </row>
    <row r="1977" spans="1:7" x14ac:dyDescent="0.25">
      <c r="A1977" t="s">
        <v>3</v>
      </c>
      <c r="B1977">
        <v>1975</v>
      </c>
      <c r="C1977">
        <v>10</v>
      </c>
      <c r="D1977" s="3">
        <v>11.799642086029053</v>
      </c>
      <c r="E1977" s="3" t="s">
        <v>10</v>
      </c>
      <c r="F1977" s="3" t="s">
        <v>41</v>
      </c>
      <c r="G1977" s="3">
        <v>5</v>
      </c>
    </row>
    <row r="1978" spans="1:7" x14ac:dyDescent="0.25">
      <c r="A1978" t="s">
        <v>3</v>
      </c>
      <c r="B1978">
        <v>1976</v>
      </c>
      <c r="C1978">
        <v>100</v>
      </c>
      <c r="D1978" s="2">
        <v>28.10312294960022</v>
      </c>
      <c r="E1978" s="2" t="s">
        <v>10</v>
      </c>
      <c r="F1978" s="2" t="s">
        <v>41</v>
      </c>
      <c r="G1978" s="2">
        <v>5</v>
      </c>
    </row>
    <row r="1979" spans="1:7" x14ac:dyDescent="0.25">
      <c r="A1979" t="s">
        <v>3</v>
      </c>
      <c r="B1979">
        <v>1977</v>
      </c>
      <c r="C1979">
        <v>85</v>
      </c>
      <c r="D1979" s="3">
        <v>17.133090972900391</v>
      </c>
      <c r="E1979" s="3" t="s">
        <v>10</v>
      </c>
      <c r="F1979" s="3" t="s">
        <v>41</v>
      </c>
      <c r="G1979" s="3">
        <v>5</v>
      </c>
    </row>
    <row r="1980" spans="1:7" x14ac:dyDescent="0.25">
      <c r="A1980" t="s">
        <v>3</v>
      </c>
      <c r="B1980">
        <v>1978</v>
      </c>
      <c r="C1980">
        <v>100</v>
      </c>
      <c r="D1980" s="2">
        <v>23.097081899642944</v>
      </c>
      <c r="E1980" s="2" t="s">
        <v>10</v>
      </c>
      <c r="F1980" s="2" t="s">
        <v>41</v>
      </c>
      <c r="G1980" s="2">
        <v>5</v>
      </c>
    </row>
    <row r="1981" spans="1:7" x14ac:dyDescent="0.25">
      <c r="A1981" t="s">
        <v>3</v>
      </c>
      <c r="B1981">
        <v>1979</v>
      </c>
      <c r="C1981">
        <v>100</v>
      </c>
      <c r="D1981" s="3">
        <v>31.182234287261963</v>
      </c>
      <c r="E1981" s="3" t="s">
        <v>10</v>
      </c>
      <c r="F1981" s="3" t="s">
        <v>41</v>
      </c>
      <c r="G1981" s="3">
        <v>5</v>
      </c>
    </row>
    <row r="1982" spans="1:7" x14ac:dyDescent="0.25">
      <c r="A1982" t="s">
        <v>3</v>
      </c>
      <c r="B1982">
        <v>1980</v>
      </c>
      <c r="C1982">
        <v>0</v>
      </c>
      <c r="D1982" s="2">
        <v>25.815418720245361</v>
      </c>
      <c r="E1982" s="2" t="s">
        <v>10</v>
      </c>
      <c r="F1982" s="2" t="s">
        <v>41</v>
      </c>
      <c r="G1982" s="2">
        <v>5</v>
      </c>
    </row>
    <row r="1983" spans="1:7" x14ac:dyDescent="0.25">
      <c r="A1983" t="s">
        <v>3</v>
      </c>
      <c r="B1983">
        <v>1981</v>
      </c>
      <c r="C1983">
        <v>100</v>
      </c>
      <c r="D1983" s="3">
        <v>30.180336713790894</v>
      </c>
      <c r="E1983" s="3" t="s">
        <v>10</v>
      </c>
      <c r="F1983" s="3" t="s">
        <v>45</v>
      </c>
      <c r="G1983" s="3">
        <v>5.8</v>
      </c>
    </row>
    <row r="1984" spans="1:7" x14ac:dyDescent="0.25">
      <c r="A1984" t="s">
        <v>3</v>
      </c>
      <c r="B1984">
        <v>1982</v>
      </c>
      <c r="C1984">
        <v>0</v>
      </c>
      <c r="D1984" s="2">
        <v>25.5302736759186</v>
      </c>
      <c r="E1984" s="2" t="s">
        <v>10</v>
      </c>
      <c r="F1984" s="2" t="s">
        <v>41</v>
      </c>
      <c r="G1984" s="2">
        <v>5</v>
      </c>
    </row>
    <row r="1985" spans="1:7" x14ac:dyDescent="0.25">
      <c r="A1985" t="s">
        <v>3</v>
      </c>
      <c r="B1985">
        <v>1983</v>
      </c>
      <c r="C1985">
        <v>0</v>
      </c>
      <c r="D1985" s="3">
        <v>31.742639064788818</v>
      </c>
      <c r="E1985" s="3" t="s">
        <v>10</v>
      </c>
      <c r="F1985" s="3" t="s">
        <v>41</v>
      </c>
      <c r="G1985" s="3">
        <v>4.9000000000000004</v>
      </c>
    </row>
    <row r="1986" spans="1:7" x14ac:dyDescent="0.25">
      <c r="A1986" t="s">
        <v>3</v>
      </c>
      <c r="B1986">
        <v>1984</v>
      </c>
      <c r="C1986">
        <v>70</v>
      </c>
      <c r="D1986" s="2">
        <v>26.954289674758911</v>
      </c>
      <c r="E1986" s="2" t="s">
        <v>10</v>
      </c>
      <c r="F1986" s="2" t="s">
        <v>41</v>
      </c>
      <c r="G1986" s="2">
        <v>4.9000000000000004</v>
      </c>
    </row>
    <row r="1987" spans="1:7" x14ac:dyDescent="0.25">
      <c r="A1987" t="s">
        <v>3</v>
      </c>
      <c r="B1987">
        <v>1985</v>
      </c>
      <c r="C1987">
        <v>0</v>
      </c>
      <c r="D1987" s="3">
        <v>27.11515998840332</v>
      </c>
      <c r="E1987" s="3" t="s">
        <v>10</v>
      </c>
      <c r="F1987" s="3" t="s">
        <v>41</v>
      </c>
      <c r="G1987" s="3">
        <v>7.8</v>
      </c>
    </row>
    <row r="1988" spans="1:7" x14ac:dyDescent="0.25">
      <c r="A1988" t="s">
        <v>3</v>
      </c>
      <c r="B1988">
        <v>1986</v>
      </c>
      <c r="C1988">
        <v>0</v>
      </c>
      <c r="D1988" s="2">
        <v>22.445667266845703</v>
      </c>
      <c r="E1988" s="2" t="s">
        <v>10</v>
      </c>
      <c r="F1988" s="2" t="s">
        <v>67</v>
      </c>
      <c r="G1988" s="2">
        <v>6.4</v>
      </c>
    </row>
    <row r="1989" spans="1:7" x14ac:dyDescent="0.25">
      <c r="A1989" t="s">
        <v>3</v>
      </c>
      <c r="B1989">
        <v>1987</v>
      </c>
      <c r="C1989">
        <v>100</v>
      </c>
      <c r="D1989" s="3">
        <v>26.181048154830933</v>
      </c>
      <c r="E1989" s="3" t="s">
        <v>10</v>
      </c>
      <c r="F1989" s="3" t="s">
        <v>46</v>
      </c>
      <c r="G1989" s="3">
        <v>4</v>
      </c>
    </row>
    <row r="1990" spans="1:7" x14ac:dyDescent="0.25">
      <c r="A1990" t="s">
        <v>3</v>
      </c>
      <c r="B1990">
        <v>1988</v>
      </c>
      <c r="C1990">
        <v>0</v>
      </c>
      <c r="D1990" s="2">
        <v>41.076698541641235</v>
      </c>
      <c r="E1990" s="2" t="s">
        <v>10</v>
      </c>
      <c r="F1990" s="2" t="s">
        <v>46</v>
      </c>
      <c r="G1990" s="2">
        <v>4</v>
      </c>
    </row>
    <row r="1991" spans="1:7" x14ac:dyDescent="0.25">
      <c r="A1991" t="s">
        <v>3</v>
      </c>
      <c r="B1991">
        <v>1989</v>
      </c>
      <c r="C1991">
        <v>25</v>
      </c>
      <c r="D1991" s="3">
        <v>16.562429904937744</v>
      </c>
      <c r="E1991" s="3" t="s">
        <v>10</v>
      </c>
      <c r="F1991" s="3" t="s">
        <v>46</v>
      </c>
      <c r="G1991" s="3">
        <v>4</v>
      </c>
    </row>
    <row r="1992" spans="1:7" x14ac:dyDescent="0.25">
      <c r="A1992" t="s">
        <v>3</v>
      </c>
      <c r="B1992">
        <v>1990</v>
      </c>
      <c r="C1992">
        <v>0</v>
      </c>
      <c r="D1992" s="2">
        <v>17.304198741912842</v>
      </c>
      <c r="E1992" s="2" t="s">
        <v>10</v>
      </c>
      <c r="F1992" s="2" t="s">
        <v>46</v>
      </c>
      <c r="G1992" s="2">
        <v>4</v>
      </c>
    </row>
    <row r="1993" spans="1:7" x14ac:dyDescent="0.25">
      <c r="A1993" t="s">
        <v>3</v>
      </c>
      <c r="B1993">
        <v>1991</v>
      </c>
      <c r="C1993">
        <v>100</v>
      </c>
      <c r="D1993" s="3">
        <v>17.184682130813599</v>
      </c>
      <c r="E1993" s="3" t="s">
        <v>10</v>
      </c>
      <c r="F1993" s="3" t="s">
        <v>46</v>
      </c>
      <c r="G1993" s="3">
        <v>4</v>
      </c>
    </row>
    <row r="1994" spans="1:7" x14ac:dyDescent="0.25">
      <c r="A1994" t="s">
        <v>3</v>
      </c>
      <c r="B1994">
        <v>1992</v>
      </c>
      <c r="C1994">
        <v>0</v>
      </c>
      <c r="D1994" s="2">
        <v>37.93610405921936</v>
      </c>
      <c r="E1994" s="2" t="s">
        <v>10</v>
      </c>
      <c r="F1994" s="2" t="s">
        <v>46</v>
      </c>
      <c r="G1994" s="2">
        <v>4</v>
      </c>
    </row>
    <row r="1995" spans="1:7" x14ac:dyDescent="0.25">
      <c r="A1995" t="s">
        <v>3</v>
      </c>
      <c r="B1995">
        <v>1993</v>
      </c>
      <c r="C1995">
        <v>40</v>
      </c>
      <c r="D1995" s="3">
        <v>34.359308958053589</v>
      </c>
      <c r="E1995" s="3" t="s">
        <v>10</v>
      </c>
      <c r="F1995" s="3" t="s">
        <v>43</v>
      </c>
      <c r="G1995" s="3">
        <v>4.9000000000000004</v>
      </c>
    </row>
    <row r="1996" spans="1:7" x14ac:dyDescent="0.25">
      <c r="A1996" t="s">
        <v>3</v>
      </c>
      <c r="B1996">
        <v>1994</v>
      </c>
      <c r="C1996">
        <v>30</v>
      </c>
      <c r="D1996" s="2">
        <v>18.495445013046265</v>
      </c>
      <c r="E1996" s="2" t="s">
        <v>10</v>
      </c>
      <c r="F1996" s="2" t="s">
        <v>41</v>
      </c>
      <c r="G1996" s="2">
        <v>4.9000000000000004</v>
      </c>
    </row>
    <row r="1997" spans="1:7" x14ac:dyDescent="0.25">
      <c r="A1997" t="s">
        <v>3</v>
      </c>
      <c r="B1997">
        <v>1995</v>
      </c>
      <c r="C1997">
        <v>65</v>
      </c>
      <c r="D1997" s="3">
        <v>28.253716707229614</v>
      </c>
      <c r="E1997" s="3" t="s">
        <v>10</v>
      </c>
      <c r="F1997" s="3" t="s">
        <v>45</v>
      </c>
      <c r="G1997" s="3">
        <v>7.2</v>
      </c>
    </row>
    <row r="1998" spans="1:7" x14ac:dyDescent="0.25">
      <c r="A1998" t="s">
        <v>3</v>
      </c>
      <c r="B1998">
        <v>1996</v>
      </c>
      <c r="C1998">
        <v>50</v>
      </c>
      <c r="D1998" s="2">
        <v>21.940093040466309</v>
      </c>
      <c r="E1998" s="2" t="s">
        <v>10</v>
      </c>
      <c r="F1998" s="2" t="s">
        <v>59</v>
      </c>
      <c r="G1998" s="2">
        <v>1.9</v>
      </c>
    </row>
    <row r="1999" spans="1:7" x14ac:dyDescent="0.25">
      <c r="A1999" t="s">
        <v>3</v>
      </c>
      <c r="B1999">
        <v>1997</v>
      </c>
      <c r="C1999">
        <v>100</v>
      </c>
      <c r="D1999" s="3">
        <v>32.359263181686401</v>
      </c>
      <c r="E1999" s="3" t="s">
        <v>10</v>
      </c>
      <c r="F1999" s="3" t="s">
        <v>59</v>
      </c>
      <c r="G1999" s="3">
        <v>1.9</v>
      </c>
    </row>
    <row r="2000" spans="1:7" x14ac:dyDescent="0.25">
      <c r="A2000" t="s">
        <v>3</v>
      </c>
      <c r="B2000">
        <v>1998</v>
      </c>
      <c r="C2000">
        <v>35</v>
      </c>
      <c r="D2000" s="2">
        <v>37.414102792739868</v>
      </c>
      <c r="E2000" s="2" t="s">
        <v>10</v>
      </c>
      <c r="F2000" s="2" t="s">
        <v>50</v>
      </c>
      <c r="G2000" s="2">
        <v>6.9</v>
      </c>
    </row>
    <row r="2001" spans="1:7" x14ac:dyDescent="0.25">
      <c r="A2001" t="s">
        <v>4</v>
      </c>
      <c r="B2001">
        <v>1999</v>
      </c>
      <c r="C2001">
        <v>95</v>
      </c>
      <c r="D2001" s="3">
        <v>28.913129876474802</v>
      </c>
      <c r="E2001" t="s">
        <v>10</v>
      </c>
      <c r="F2001" t="s">
        <v>50</v>
      </c>
      <c r="G2001">
        <v>6.9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21CED1-1310-44CD-918B-F7D736C5E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Tables</vt:lpstr>
      <vt:lpstr>qwen2FinalScores</vt:lpstr>
      <vt:lpstr>llama3FinalScores</vt:lpstr>
      <vt:lpstr>gemma4FinalScores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Sepiol</dc:creator>
  <cp:lastModifiedBy>SEPIOL, KEEGAN (OHS)</cp:lastModifiedBy>
  <dcterms:created xsi:type="dcterms:W3CDTF">2015-06-05T18:17:20Z</dcterms:created>
  <dcterms:modified xsi:type="dcterms:W3CDTF">2026-04-15T18:05:34Z</dcterms:modified>
</cp:coreProperties>
</file>